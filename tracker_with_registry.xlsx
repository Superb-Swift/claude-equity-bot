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er\claude-equity-bot\"/>
    </mc:Choice>
  </mc:AlternateContent>
  <xr:revisionPtr revIDLastSave="0" documentId="13_ncr:1_{8822953C-CF5D-458B-8041-D437EE37D391}" xr6:coauthVersionLast="47" xr6:coauthVersionMax="47" xr10:uidLastSave="{00000000-0000-0000-0000-000000000000}"/>
  <bookViews>
    <workbookView xWindow="-120" yWindow="-120" windowWidth="29040" windowHeight="15720" tabRatio="500" firstSheet="1" activeTab="6" xr2:uid="{00000000-000D-0000-FFFF-FFFF00000000}"/>
  </bookViews>
  <sheets>
    <sheet name="Dashboard" sheetId="1" r:id="rId1"/>
    <sheet name="Signals" sheetId="2" r:id="rId2"/>
    <sheet name="Near-Miss BUYs" sheetId="3" r:id="rId3"/>
    <sheet name="Cohort Analysis" sheetId="4" r:id="rId4"/>
    <sheet name="How to Use" sheetId="5" r:id="rId5"/>
    <sheet name="Guardrail Trace" sheetId="6" r:id="rId6"/>
    <sheet name="Live Cohort Scoreboar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4" l="1"/>
  <c r="G92" i="4"/>
  <c r="F92" i="4"/>
  <c r="E92" i="4"/>
  <c r="D92" i="4"/>
  <c r="C92" i="4"/>
  <c r="B92" i="4"/>
  <c r="I92" i="4" s="1"/>
  <c r="H91" i="4"/>
  <c r="G91" i="4"/>
  <c r="F91" i="4"/>
  <c r="E91" i="4"/>
  <c r="D91" i="4"/>
  <c r="C91" i="4"/>
  <c r="B91" i="4"/>
  <c r="I91" i="4" s="1"/>
  <c r="H90" i="4"/>
  <c r="G90" i="4"/>
  <c r="F90" i="4"/>
  <c r="E90" i="4"/>
  <c r="D90" i="4"/>
  <c r="C90" i="4"/>
  <c r="B90" i="4"/>
  <c r="I90" i="4" s="1"/>
  <c r="H89" i="4"/>
  <c r="G89" i="4"/>
  <c r="F89" i="4"/>
  <c r="E89" i="4"/>
  <c r="D89" i="4"/>
  <c r="C89" i="4"/>
  <c r="B89" i="4"/>
  <c r="I89" i="4" s="1"/>
  <c r="H88" i="4"/>
  <c r="G88" i="4"/>
  <c r="F88" i="4"/>
  <c r="E88" i="4"/>
  <c r="D88" i="4"/>
  <c r="C88" i="4"/>
  <c r="B88" i="4"/>
  <c r="I88" i="4" s="1"/>
  <c r="H87" i="4"/>
  <c r="G87" i="4"/>
  <c r="F87" i="4"/>
  <c r="E87" i="4"/>
  <c r="D87" i="4"/>
  <c r="C87" i="4"/>
  <c r="B87" i="4"/>
  <c r="I87" i="4" s="1"/>
  <c r="H86" i="4"/>
  <c r="G86" i="4"/>
  <c r="F86" i="4"/>
  <c r="E86" i="4"/>
  <c r="D86" i="4"/>
  <c r="C86" i="4"/>
  <c r="B86" i="4"/>
  <c r="I86" i="4" s="1"/>
  <c r="H85" i="4"/>
  <c r="G85" i="4"/>
  <c r="F85" i="4"/>
  <c r="E85" i="4"/>
  <c r="D85" i="4"/>
  <c r="C85" i="4"/>
  <c r="B85" i="4"/>
  <c r="I85" i="4" s="1"/>
  <c r="H84" i="4"/>
  <c r="G84" i="4"/>
  <c r="F84" i="4"/>
  <c r="E84" i="4"/>
  <c r="D84" i="4"/>
  <c r="C84" i="4"/>
  <c r="B84" i="4"/>
  <c r="I84" i="4" s="1"/>
  <c r="H83" i="4"/>
  <c r="G83" i="4"/>
  <c r="F83" i="4"/>
  <c r="E83" i="4"/>
  <c r="D83" i="4"/>
  <c r="C83" i="4"/>
  <c r="B83" i="4"/>
  <c r="I83" i="4" s="1"/>
  <c r="H82" i="4"/>
  <c r="G82" i="4"/>
  <c r="F82" i="4"/>
  <c r="E82" i="4"/>
  <c r="D82" i="4"/>
  <c r="C82" i="4"/>
  <c r="B82" i="4"/>
  <c r="I82" i="4" s="1"/>
  <c r="H81" i="4"/>
  <c r="G81" i="4"/>
  <c r="F81" i="4"/>
  <c r="E81" i="4"/>
  <c r="D81" i="4"/>
  <c r="C81" i="4"/>
  <c r="B81" i="4"/>
  <c r="I81" i="4" s="1"/>
  <c r="H80" i="4"/>
  <c r="G80" i="4"/>
  <c r="F80" i="4"/>
  <c r="E80" i="4"/>
  <c r="D80" i="4"/>
  <c r="C80" i="4"/>
  <c r="B80" i="4"/>
  <c r="I80" i="4" s="1"/>
  <c r="H79" i="4"/>
  <c r="G79" i="4"/>
  <c r="F79" i="4"/>
  <c r="E79" i="4"/>
  <c r="D79" i="4"/>
  <c r="C79" i="4"/>
  <c r="B79" i="4"/>
  <c r="I79" i="4" s="1"/>
  <c r="H78" i="4"/>
  <c r="G78" i="4"/>
  <c r="F78" i="4"/>
  <c r="E78" i="4"/>
  <c r="D78" i="4"/>
  <c r="C78" i="4"/>
  <c r="B78" i="4"/>
  <c r="I78" i="4" s="1"/>
  <c r="H77" i="4"/>
  <c r="G77" i="4"/>
  <c r="F77" i="4"/>
  <c r="E77" i="4"/>
  <c r="D77" i="4"/>
  <c r="C77" i="4"/>
  <c r="B77" i="4"/>
  <c r="I77" i="4" s="1"/>
  <c r="H76" i="4"/>
  <c r="G76" i="4"/>
  <c r="F76" i="4"/>
  <c r="E76" i="4"/>
  <c r="D76" i="4"/>
  <c r="C76" i="4"/>
  <c r="B76" i="4"/>
  <c r="I76" i="4" s="1"/>
  <c r="H75" i="4"/>
  <c r="G75" i="4"/>
  <c r="F75" i="4"/>
  <c r="E75" i="4"/>
  <c r="D75" i="4"/>
  <c r="C75" i="4"/>
  <c r="B75" i="4"/>
  <c r="I75" i="4" s="1"/>
  <c r="H74" i="4"/>
  <c r="G74" i="4"/>
  <c r="F74" i="4"/>
  <c r="E74" i="4"/>
  <c r="D74" i="4"/>
  <c r="C74" i="4"/>
  <c r="B74" i="4"/>
  <c r="I74" i="4" s="1"/>
  <c r="H73" i="4"/>
  <c r="G73" i="4"/>
  <c r="F73" i="4"/>
  <c r="E73" i="4"/>
  <c r="D73" i="4"/>
  <c r="C73" i="4"/>
  <c r="B73" i="4"/>
  <c r="I73" i="4" s="1"/>
  <c r="H72" i="4"/>
  <c r="G72" i="4"/>
  <c r="F72" i="4"/>
  <c r="E72" i="4"/>
  <c r="D72" i="4"/>
  <c r="C72" i="4"/>
  <c r="B72" i="4"/>
  <c r="I72" i="4" s="1"/>
  <c r="H71" i="4"/>
  <c r="G71" i="4"/>
  <c r="F71" i="4"/>
  <c r="E71" i="4"/>
  <c r="D71" i="4"/>
  <c r="C71" i="4"/>
  <c r="B71" i="4"/>
  <c r="I71" i="4" s="1"/>
  <c r="H70" i="4"/>
  <c r="G70" i="4"/>
  <c r="F70" i="4"/>
  <c r="E70" i="4"/>
  <c r="D70" i="4"/>
  <c r="C70" i="4"/>
  <c r="B70" i="4"/>
  <c r="I70" i="4" s="1"/>
  <c r="H69" i="4"/>
  <c r="G69" i="4"/>
  <c r="F69" i="4"/>
  <c r="E69" i="4"/>
  <c r="D69" i="4"/>
  <c r="C69" i="4"/>
  <c r="B69" i="4"/>
  <c r="I69" i="4" s="1"/>
  <c r="H68" i="4"/>
  <c r="G68" i="4"/>
  <c r="F68" i="4"/>
  <c r="E68" i="4"/>
  <c r="D68" i="4"/>
  <c r="C68" i="4"/>
  <c r="B68" i="4"/>
  <c r="I68" i="4" s="1"/>
  <c r="H67" i="4"/>
  <c r="G67" i="4"/>
  <c r="F67" i="4"/>
  <c r="E67" i="4"/>
  <c r="D67" i="4"/>
  <c r="C67" i="4"/>
  <c r="B67" i="4"/>
  <c r="I67" i="4" s="1"/>
  <c r="H66" i="4"/>
  <c r="G66" i="4"/>
  <c r="F66" i="4"/>
  <c r="E66" i="4"/>
  <c r="D66" i="4"/>
  <c r="C66" i="4"/>
  <c r="B66" i="4"/>
  <c r="I66" i="4" s="1"/>
  <c r="H65" i="4"/>
  <c r="G65" i="4"/>
  <c r="F65" i="4"/>
  <c r="E65" i="4"/>
  <c r="D65" i="4"/>
  <c r="C65" i="4"/>
  <c r="B65" i="4"/>
  <c r="I65" i="4" s="1"/>
  <c r="H64" i="4"/>
  <c r="G64" i="4"/>
  <c r="F64" i="4"/>
  <c r="E64" i="4"/>
  <c r="D64" i="4"/>
  <c r="C64" i="4"/>
  <c r="B64" i="4"/>
  <c r="I64" i="4" s="1"/>
  <c r="H63" i="4"/>
  <c r="G63" i="4"/>
  <c r="F63" i="4"/>
  <c r="E63" i="4"/>
  <c r="D63" i="4"/>
  <c r="C63" i="4"/>
  <c r="B63" i="4"/>
  <c r="I63" i="4" s="1"/>
  <c r="H62" i="4"/>
  <c r="G62" i="4"/>
  <c r="F62" i="4"/>
  <c r="E62" i="4"/>
  <c r="D62" i="4"/>
  <c r="C62" i="4"/>
  <c r="B62" i="4"/>
  <c r="I62" i="4" s="1"/>
  <c r="B48" i="3"/>
  <c r="B43" i="3"/>
  <c r="B39" i="3"/>
  <c r="B38" i="3"/>
  <c r="B35" i="3"/>
  <c r="B32" i="3"/>
  <c r="B31" i="3"/>
  <c r="B28" i="3"/>
  <c r="B27" i="3"/>
  <c r="L24" i="3"/>
  <c r="N24" i="3" s="1"/>
  <c r="K24" i="3"/>
  <c r="M24" i="3" s="1"/>
  <c r="L23" i="3"/>
  <c r="N23" i="3" s="1"/>
  <c r="K23" i="3"/>
  <c r="M23" i="3" s="1"/>
  <c r="L22" i="3"/>
  <c r="N22" i="3" s="1"/>
  <c r="K22" i="3"/>
  <c r="M22" i="3" s="1"/>
  <c r="L21" i="3"/>
  <c r="N21" i="3" s="1"/>
  <c r="K21" i="3"/>
  <c r="M21" i="3" s="1"/>
  <c r="L20" i="3"/>
  <c r="N20" i="3" s="1"/>
  <c r="K20" i="3"/>
  <c r="M20" i="3" s="1"/>
  <c r="L19" i="3"/>
  <c r="K19" i="3"/>
  <c r="L18" i="3"/>
  <c r="N18" i="3" s="1"/>
  <c r="K18" i="3"/>
  <c r="M18" i="3" s="1"/>
  <c r="L17" i="3"/>
  <c r="N17" i="3" s="1"/>
  <c r="K17" i="3"/>
  <c r="M17" i="3" s="1"/>
  <c r="L16" i="3"/>
  <c r="N16" i="3" s="1"/>
  <c r="K16" i="3"/>
  <c r="M16" i="3" s="1"/>
  <c r="L15" i="3"/>
  <c r="N15" i="3" s="1"/>
  <c r="K15" i="3"/>
  <c r="M15" i="3" s="1"/>
  <c r="L14" i="3"/>
  <c r="N14" i="3" s="1"/>
  <c r="K14" i="3"/>
  <c r="M14" i="3" s="1"/>
  <c r="L13" i="3"/>
  <c r="N13" i="3" s="1"/>
  <c r="K13" i="3"/>
  <c r="M13" i="3" s="1"/>
  <c r="L12" i="3"/>
  <c r="N12" i="3" s="1"/>
  <c r="K12" i="3"/>
  <c r="M12" i="3" s="1"/>
  <c r="L11" i="3"/>
  <c r="N11" i="3" s="1"/>
  <c r="K11" i="3"/>
  <c r="M11" i="3" s="1"/>
  <c r="L10" i="3"/>
  <c r="N10" i="3" s="1"/>
  <c r="K10" i="3"/>
  <c r="M10" i="3" s="1"/>
  <c r="L9" i="3"/>
  <c r="N9" i="3" s="1"/>
  <c r="K9" i="3"/>
  <c r="M9" i="3" s="1"/>
  <c r="L8" i="3"/>
  <c r="N8" i="3" s="1"/>
  <c r="K8" i="3"/>
  <c r="M8" i="3" s="1"/>
  <c r="L7" i="3"/>
  <c r="N7" i="3" s="1"/>
  <c r="K7" i="3"/>
  <c r="M7" i="3" s="1"/>
  <c r="L6" i="3"/>
  <c r="N6" i="3" s="1"/>
  <c r="K6" i="3"/>
  <c r="M6" i="3" s="1"/>
  <c r="L5" i="3"/>
  <c r="N5" i="3" s="1"/>
  <c r="K5" i="3"/>
  <c r="M5" i="3" s="1"/>
  <c r="N2000" i="2"/>
  <c r="M2000" i="2"/>
  <c r="L2000" i="2"/>
  <c r="K2000" i="2"/>
  <c r="N1999" i="2"/>
  <c r="M1999" i="2"/>
  <c r="L1999" i="2"/>
  <c r="K1999" i="2"/>
  <c r="N1998" i="2"/>
  <c r="M1998" i="2"/>
  <c r="L1998" i="2"/>
  <c r="K1998" i="2"/>
  <c r="N1997" i="2"/>
  <c r="M1997" i="2"/>
  <c r="L1997" i="2"/>
  <c r="K1997" i="2"/>
  <c r="N1996" i="2"/>
  <c r="M1996" i="2"/>
  <c r="L1996" i="2"/>
  <c r="K1996" i="2"/>
  <c r="N1995" i="2"/>
  <c r="M1995" i="2"/>
  <c r="L1995" i="2"/>
  <c r="K1995" i="2"/>
  <c r="N1994" i="2"/>
  <c r="M1994" i="2"/>
  <c r="L1994" i="2"/>
  <c r="K1994" i="2"/>
  <c r="N1993" i="2"/>
  <c r="M1993" i="2"/>
  <c r="L1993" i="2"/>
  <c r="K1993" i="2"/>
  <c r="N1992" i="2"/>
  <c r="M1992" i="2"/>
  <c r="L1992" i="2"/>
  <c r="K1992" i="2"/>
  <c r="N1991" i="2"/>
  <c r="M1991" i="2"/>
  <c r="L1991" i="2"/>
  <c r="K1991" i="2"/>
  <c r="N1990" i="2"/>
  <c r="M1990" i="2"/>
  <c r="L1990" i="2"/>
  <c r="K1990" i="2"/>
  <c r="N1989" i="2"/>
  <c r="M1989" i="2"/>
  <c r="L1989" i="2"/>
  <c r="K1989" i="2"/>
  <c r="N1988" i="2"/>
  <c r="M1988" i="2"/>
  <c r="L1988" i="2"/>
  <c r="K1988" i="2"/>
  <c r="N1987" i="2"/>
  <c r="M1987" i="2"/>
  <c r="L1987" i="2"/>
  <c r="K1987" i="2"/>
  <c r="N1986" i="2"/>
  <c r="M1986" i="2"/>
  <c r="L1986" i="2"/>
  <c r="K1986" i="2"/>
  <c r="N1985" i="2"/>
  <c r="M1985" i="2"/>
  <c r="L1985" i="2"/>
  <c r="K1985" i="2"/>
  <c r="N1984" i="2"/>
  <c r="M1984" i="2"/>
  <c r="L1984" i="2"/>
  <c r="K1984" i="2"/>
  <c r="N1983" i="2"/>
  <c r="M1983" i="2"/>
  <c r="L1983" i="2"/>
  <c r="K1983" i="2"/>
  <c r="N1982" i="2"/>
  <c r="M1982" i="2"/>
  <c r="L1982" i="2"/>
  <c r="K1982" i="2"/>
  <c r="N1981" i="2"/>
  <c r="M1981" i="2"/>
  <c r="L1981" i="2"/>
  <c r="K1981" i="2"/>
  <c r="N1980" i="2"/>
  <c r="M1980" i="2"/>
  <c r="L1980" i="2"/>
  <c r="K1980" i="2"/>
  <c r="N1979" i="2"/>
  <c r="M1979" i="2"/>
  <c r="L1979" i="2"/>
  <c r="K1979" i="2"/>
  <c r="N1978" i="2"/>
  <c r="M1978" i="2"/>
  <c r="L1978" i="2"/>
  <c r="K1978" i="2"/>
  <c r="N1977" i="2"/>
  <c r="M1977" i="2"/>
  <c r="L1977" i="2"/>
  <c r="K1977" i="2"/>
  <c r="N1976" i="2"/>
  <c r="M1976" i="2"/>
  <c r="L1976" i="2"/>
  <c r="K1976" i="2"/>
  <c r="N1975" i="2"/>
  <c r="M1975" i="2"/>
  <c r="L1975" i="2"/>
  <c r="K1975" i="2"/>
  <c r="N1974" i="2"/>
  <c r="M1974" i="2"/>
  <c r="L1974" i="2"/>
  <c r="K1974" i="2"/>
  <c r="N1973" i="2"/>
  <c r="M1973" i="2"/>
  <c r="L1973" i="2"/>
  <c r="K1973" i="2"/>
  <c r="N1972" i="2"/>
  <c r="M1972" i="2"/>
  <c r="L1972" i="2"/>
  <c r="K1972" i="2"/>
  <c r="N1971" i="2"/>
  <c r="M1971" i="2"/>
  <c r="L1971" i="2"/>
  <c r="K1971" i="2"/>
  <c r="N1970" i="2"/>
  <c r="M1970" i="2"/>
  <c r="L1970" i="2"/>
  <c r="K1970" i="2"/>
  <c r="N1969" i="2"/>
  <c r="M1969" i="2"/>
  <c r="L1969" i="2"/>
  <c r="K1969" i="2"/>
  <c r="N1968" i="2"/>
  <c r="M1968" i="2"/>
  <c r="L1968" i="2"/>
  <c r="K1968" i="2"/>
  <c r="N1967" i="2"/>
  <c r="M1967" i="2"/>
  <c r="L1967" i="2"/>
  <c r="K1967" i="2"/>
  <c r="N1966" i="2"/>
  <c r="M1966" i="2"/>
  <c r="L1966" i="2"/>
  <c r="K1966" i="2"/>
  <c r="N1965" i="2"/>
  <c r="M1965" i="2"/>
  <c r="L1965" i="2"/>
  <c r="K1965" i="2"/>
  <c r="N1964" i="2"/>
  <c r="M1964" i="2"/>
  <c r="L1964" i="2"/>
  <c r="K1964" i="2"/>
  <c r="N1963" i="2"/>
  <c r="M1963" i="2"/>
  <c r="L1963" i="2"/>
  <c r="K1963" i="2"/>
  <c r="N1962" i="2"/>
  <c r="M1962" i="2"/>
  <c r="L1962" i="2"/>
  <c r="K1962" i="2"/>
  <c r="N1961" i="2"/>
  <c r="M1961" i="2"/>
  <c r="L1961" i="2"/>
  <c r="K1961" i="2"/>
  <c r="N1960" i="2"/>
  <c r="M1960" i="2"/>
  <c r="L1960" i="2"/>
  <c r="K1960" i="2"/>
  <c r="N1959" i="2"/>
  <c r="M1959" i="2"/>
  <c r="L1959" i="2"/>
  <c r="K1959" i="2"/>
  <c r="N1958" i="2"/>
  <c r="M1958" i="2"/>
  <c r="L1958" i="2"/>
  <c r="K1958" i="2"/>
  <c r="N1957" i="2"/>
  <c r="M1957" i="2"/>
  <c r="L1957" i="2"/>
  <c r="K1957" i="2"/>
  <c r="N1956" i="2"/>
  <c r="M1956" i="2"/>
  <c r="L1956" i="2"/>
  <c r="K1956" i="2"/>
  <c r="N1955" i="2"/>
  <c r="M1955" i="2"/>
  <c r="L1955" i="2"/>
  <c r="K1955" i="2"/>
  <c r="N1954" i="2"/>
  <c r="M1954" i="2"/>
  <c r="L1954" i="2"/>
  <c r="K1954" i="2"/>
  <c r="N1953" i="2"/>
  <c r="M1953" i="2"/>
  <c r="L1953" i="2"/>
  <c r="K1953" i="2"/>
  <c r="N1952" i="2"/>
  <c r="M1952" i="2"/>
  <c r="L1952" i="2"/>
  <c r="K1952" i="2"/>
  <c r="N1951" i="2"/>
  <c r="M1951" i="2"/>
  <c r="L1951" i="2"/>
  <c r="K1951" i="2"/>
  <c r="N1950" i="2"/>
  <c r="M1950" i="2"/>
  <c r="L1950" i="2"/>
  <c r="K1950" i="2"/>
  <c r="N1949" i="2"/>
  <c r="M1949" i="2"/>
  <c r="L1949" i="2"/>
  <c r="K1949" i="2"/>
  <c r="N1948" i="2"/>
  <c r="M1948" i="2"/>
  <c r="L1948" i="2"/>
  <c r="K1948" i="2"/>
  <c r="N1947" i="2"/>
  <c r="M1947" i="2"/>
  <c r="L1947" i="2"/>
  <c r="K1947" i="2"/>
  <c r="N1946" i="2"/>
  <c r="M1946" i="2"/>
  <c r="L1946" i="2"/>
  <c r="K1946" i="2"/>
  <c r="N1945" i="2"/>
  <c r="M1945" i="2"/>
  <c r="L1945" i="2"/>
  <c r="K1945" i="2"/>
  <c r="N1944" i="2"/>
  <c r="M1944" i="2"/>
  <c r="L1944" i="2"/>
  <c r="K1944" i="2"/>
  <c r="N1943" i="2"/>
  <c r="M1943" i="2"/>
  <c r="L1943" i="2"/>
  <c r="K1943" i="2"/>
  <c r="N1942" i="2"/>
  <c r="M1942" i="2"/>
  <c r="L1942" i="2"/>
  <c r="K1942" i="2"/>
  <c r="N1941" i="2"/>
  <c r="M1941" i="2"/>
  <c r="L1941" i="2"/>
  <c r="K1941" i="2"/>
  <c r="N1940" i="2"/>
  <c r="M1940" i="2"/>
  <c r="L1940" i="2"/>
  <c r="K1940" i="2"/>
  <c r="N1939" i="2"/>
  <c r="M1939" i="2"/>
  <c r="L1939" i="2"/>
  <c r="K1939" i="2"/>
  <c r="N1938" i="2"/>
  <c r="M1938" i="2"/>
  <c r="L1938" i="2"/>
  <c r="K1938" i="2"/>
  <c r="N1937" i="2"/>
  <c r="M1937" i="2"/>
  <c r="L1937" i="2"/>
  <c r="K1937" i="2"/>
  <c r="N1936" i="2"/>
  <c r="M1936" i="2"/>
  <c r="L1936" i="2"/>
  <c r="K1936" i="2"/>
  <c r="N1935" i="2"/>
  <c r="M1935" i="2"/>
  <c r="L1935" i="2"/>
  <c r="K1935" i="2"/>
  <c r="N1934" i="2"/>
  <c r="M1934" i="2"/>
  <c r="L1934" i="2"/>
  <c r="K1934" i="2"/>
  <c r="N1933" i="2"/>
  <c r="M1933" i="2"/>
  <c r="L1933" i="2"/>
  <c r="K1933" i="2"/>
  <c r="N1932" i="2"/>
  <c r="M1932" i="2"/>
  <c r="L1932" i="2"/>
  <c r="K1932" i="2"/>
  <c r="N1931" i="2"/>
  <c r="M1931" i="2"/>
  <c r="L1931" i="2"/>
  <c r="K1931" i="2"/>
  <c r="N1930" i="2"/>
  <c r="M1930" i="2"/>
  <c r="L1930" i="2"/>
  <c r="K1930" i="2"/>
  <c r="N1929" i="2"/>
  <c r="M1929" i="2"/>
  <c r="L1929" i="2"/>
  <c r="K1929" i="2"/>
  <c r="N1928" i="2"/>
  <c r="M1928" i="2"/>
  <c r="L1928" i="2"/>
  <c r="K1928" i="2"/>
  <c r="N1927" i="2"/>
  <c r="M1927" i="2"/>
  <c r="L1927" i="2"/>
  <c r="K1927" i="2"/>
  <c r="N1926" i="2"/>
  <c r="M1926" i="2"/>
  <c r="L1926" i="2"/>
  <c r="K1926" i="2"/>
  <c r="N1925" i="2"/>
  <c r="M1925" i="2"/>
  <c r="L1925" i="2"/>
  <c r="K1925" i="2"/>
  <c r="N1924" i="2"/>
  <c r="M1924" i="2"/>
  <c r="L1924" i="2"/>
  <c r="K1924" i="2"/>
  <c r="N1923" i="2"/>
  <c r="M1923" i="2"/>
  <c r="L1923" i="2"/>
  <c r="K1923" i="2"/>
  <c r="N1922" i="2"/>
  <c r="M1922" i="2"/>
  <c r="L1922" i="2"/>
  <c r="K1922" i="2"/>
  <c r="N1921" i="2"/>
  <c r="M1921" i="2"/>
  <c r="L1921" i="2"/>
  <c r="K1921" i="2"/>
  <c r="N1920" i="2"/>
  <c r="M1920" i="2"/>
  <c r="L1920" i="2"/>
  <c r="K1920" i="2"/>
  <c r="N1919" i="2"/>
  <c r="M1919" i="2"/>
  <c r="L1919" i="2"/>
  <c r="K1919" i="2"/>
  <c r="N1918" i="2"/>
  <c r="M1918" i="2"/>
  <c r="L1918" i="2"/>
  <c r="K1918" i="2"/>
  <c r="N1917" i="2"/>
  <c r="M1917" i="2"/>
  <c r="L1917" i="2"/>
  <c r="K1917" i="2"/>
  <c r="N1916" i="2"/>
  <c r="M1916" i="2"/>
  <c r="L1916" i="2"/>
  <c r="K1916" i="2"/>
  <c r="N1915" i="2"/>
  <c r="M1915" i="2"/>
  <c r="L1915" i="2"/>
  <c r="K1915" i="2"/>
  <c r="N1914" i="2"/>
  <c r="M1914" i="2"/>
  <c r="L1914" i="2"/>
  <c r="K1914" i="2"/>
  <c r="N1913" i="2"/>
  <c r="M1913" i="2"/>
  <c r="L1913" i="2"/>
  <c r="K1913" i="2"/>
  <c r="N1912" i="2"/>
  <c r="M1912" i="2"/>
  <c r="L1912" i="2"/>
  <c r="K1912" i="2"/>
  <c r="N1911" i="2"/>
  <c r="M1911" i="2"/>
  <c r="L1911" i="2"/>
  <c r="K1911" i="2"/>
  <c r="N1910" i="2"/>
  <c r="M1910" i="2"/>
  <c r="L1910" i="2"/>
  <c r="K1910" i="2"/>
  <c r="N1909" i="2"/>
  <c r="M1909" i="2"/>
  <c r="L1909" i="2"/>
  <c r="K1909" i="2"/>
  <c r="N1908" i="2"/>
  <c r="M1908" i="2"/>
  <c r="L1908" i="2"/>
  <c r="K1908" i="2"/>
  <c r="N1907" i="2"/>
  <c r="M1907" i="2"/>
  <c r="L1907" i="2"/>
  <c r="K1907" i="2"/>
  <c r="N1906" i="2"/>
  <c r="M1906" i="2"/>
  <c r="L1906" i="2"/>
  <c r="K1906" i="2"/>
  <c r="N1905" i="2"/>
  <c r="M1905" i="2"/>
  <c r="L1905" i="2"/>
  <c r="K1905" i="2"/>
  <c r="N1904" i="2"/>
  <c r="M1904" i="2"/>
  <c r="L1904" i="2"/>
  <c r="K1904" i="2"/>
  <c r="N1903" i="2"/>
  <c r="M1903" i="2"/>
  <c r="L1903" i="2"/>
  <c r="K1903" i="2"/>
  <c r="N1902" i="2"/>
  <c r="M1902" i="2"/>
  <c r="L1902" i="2"/>
  <c r="K1902" i="2"/>
  <c r="N1901" i="2"/>
  <c r="M1901" i="2"/>
  <c r="L1901" i="2"/>
  <c r="K1901" i="2"/>
  <c r="N1900" i="2"/>
  <c r="M1900" i="2"/>
  <c r="L1900" i="2"/>
  <c r="K1900" i="2"/>
  <c r="N1899" i="2"/>
  <c r="M1899" i="2"/>
  <c r="L1899" i="2"/>
  <c r="K1899" i="2"/>
  <c r="N1898" i="2"/>
  <c r="M1898" i="2"/>
  <c r="L1898" i="2"/>
  <c r="K1898" i="2"/>
  <c r="N1897" i="2"/>
  <c r="M1897" i="2"/>
  <c r="L1897" i="2"/>
  <c r="K1897" i="2"/>
  <c r="N1896" i="2"/>
  <c r="M1896" i="2"/>
  <c r="L1896" i="2"/>
  <c r="K1896" i="2"/>
  <c r="N1895" i="2"/>
  <c r="M1895" i="2"/>
  <c r="L1895" i="2"/>
  <c r="K1895" i="2"/>
  <c r="N1894" i="2"/>
  <c r="M1894" i="2"/>
  <c r="L1894" i="2"/>
  <c r="K1894" i="2"/>
  <c r="N1893" i="2"/>
  <c r="M1893" i="2"/>
  <c r="L1893" i="2"/>
  <c r="K1893" i="2"/>
  <c r="N1892" i="2"/>
  <c r="M1892" i="2"/>
  <c r="L1892" i="2"/>
  <c r="K1892" i="2"/>
  <c r="N1891" i="2"/>
  <c r="M1891" i="2"/>
  <c r="L1891" i="2"/>
  <c r="K1891" i="2"/>
  <c r="N1890" i="2"/>
  <c r="M1890" i="2"/>
  <c r="L1890" i="2"/>
  <c r="K1890" i="2"/>
  <c r="N1889" i="2"/>
  <c r="M1889" i="2"/>
  <c r="L1889" i="2"/>
  <c r="K1889" i="2"/>
  <c r="N1888" i="2"/>
  <c r="M1888" i="2"/>
  <c r="L1888" i="2"/>
  <c r="K1888" i="2"/>
  <c r="N1887" i="2"/>
  <c r="M1887" i="2"/>
  <c r="L1887" i="2"/>
  <c r="K1887" i="2"/>
  <c r="N1886" i="2"/>
  <c r="M1886" i="2"/>
  <c r="L1886" i="2"/>
  <c r="K1886" i="2"/>
  <c r="N1885" i="2"/>
  <c r="M1885" i="2"/>
  <c r="L1885" i="2"/>
  <c r="K1885" i="2"/>
  <c r="N1884" i="2"/>
  <c r="M1884" i="2"/>
  <c r="L1884" i="2"/>
  <c r="K1884" i="2"/>
  <c r="N1883" i="2"/>
  <c r="M1883" i="2"/>
  <c r="L1883" i="2"/>
  <c r="K1883" i="2"/>
  <c r="N1882" i="2"/>
  <c r="M1882" i="2"/>
  <c r="L1882" i="2"/>
  <c r="K1882" i="2"/>
  <c r="N1881" i="2"/>
  <c r="M1881" i="2"/>
  <c r="L1881" i="2"/>
  <c r="K1881" i="2"/>
  <c r="N1880" i="2"/>
  <c r="M1880" i="2"/>
  <c r="L1880" i="2"/>
  <c r="K1880" i="2"/>
  <c r="N1879" i="2"/>
  <c r="M1879" i="2"/>
  <c r="L1879" i="2"/>
  <c r="K1879" i="2"/>
  <c r="N1878" i="2"/>
  <c r="M1878" i="2"/>
  <c r="L1878" i="2"/>
  <c r="K1878" i="2"/>
  <c r="N1877" i="2"/>
  <c r="M1877" i="2"/>
  <c r="L1877" i="2"/>
  <c r="K1877" i="2"/>
  <c r="N1876" i="2"/>
  <c r="M1876" i="2"/>
  <c r="L1876" i="2"/>
  <c r="K1876" i="2"/>
  <c r="N1875" i="2"/>
  <c r="M1875" i="2"/>
  <c r="L1875" i="2"/>
  <c r="K1875" i="2"/>
  <c r="N1874" i="2"/>
  <c r="M1874" i="2"/>
  <c r="L1874" i="2"/>
  <c r="K1874" i="2"/>
  <c r="N1873" i="2"/>
  <c r="M1873" i="2"/>
  <c r="L1873" i="2"/>
  <c r="K1873" i="2"/>
  <c r="N1872" i="2"/>
  <c r="M1872" i="2"/>
  <c r="L1872" i="2"/>
  <c r="K1872" i="2"/>
  <c r="N1871" i="2"/>
  <c r="M1871" i="2"/>
  <c r="L1871" i="2"/>
  <c r="K1871" i="2"/>
  <c r="N1870" i="2"/>
  <c r="M1870" i="2"/>
  <c r="L1870" i="2"/>
  <c r="K1870" i="2"/>
  <c r="N1869" i="2"/>
  <c r="M1869" i="2"/>
  <c r="L1869" i="2"/>
  <c r="K1869" i="2"/>
  <c r="N1868" i="2"/>
  <c r="M1868" i="2"/>
  <c r="L1868" i="2"/>
  <c r="K1868" i="2"/>
  <c r="N1867" i="2"/>
  <c r="M1867" i="2"/>
  <c r="L1867" i="2"/>
  <c r="K1867" i="2"/>
  <c r="N1866" i="2"/>
  <c r="M1866" i="2"/>
  <c r="L1866" i="2"/>
  <c r="K1866" i="2"/>
  <c r="N1865" i="2"/>
  <c r="M1865" i="2"/>
  <c r="L1865" i="2"/>
  <c r="K1865" i="2"/>
  <c r="N1864" i="2"/>
  <c r="M1864" i="2"/>
  <c r="L1864" i="2"/>
  <c r="K1864" i="2"/>
  <c r="N1863" i="2"/>
  <c r="M1863" i="2"/>
  <c r="L1863" i="2"/>
  <c r="K1863" i="2"/>
  <c r="N1862" i="2"/>
  <c r="M1862" i="2"/>
  <c r="L1862" i="2"/>
  <c r="K1862" i="2"/>
  <c r="N1861" i="2"/>
  <c r="M1861" i="2"/>
  <c r="L1861" i="2"/>
  <c r="K1861" i="2"/>
  <c r="N1860" i="2"/>
  <c r="M1860" i="2"/>
  <c r="L1860" i="2"/>
  <c r="K1860" i="2"/>
  <c r="N1859" i="2"/>
  <c r="M1859" i="2"/>
  <c r="L1859" i="2"/>
  <c r="K1859" i="2"/>
  <c r="N1858" i="2"/>
  <c r="M1858" i="2"/>
  <c r="L1858" i="2"/>
  <c r="K1858" i="2"/>
  <c r="N1857" i="2"/>
  <c r="M1857" i="2"/>
  <c r="L1857" i="2"/>
  <c r="K1857" i="2"/>
  <c r="N1856" i="2"/>
  <c r="M1856" i="2"/>
  <c r="L1856" i="2"/>
  <c r="K1856" i="2"/>
  <c r="N1855" i="2"/>
  <c r="M1855" i="2"/>
  <c r="L1855" i="2"/>
  <c r="K1855" i="2"/>
  <c r="N1854" i="2"/>
  <c r="M1854" i="2"/>
  <c r="L1854" i="2"/>
  <c r="K1854" i="2"/>
  <c r="N1853" i="2"/>
  <c r="M1853" i="2"/>
  <c r="L1853" i="2"/>
  <c r="K1853" i="2"/>
  <c r="N1852" i="2"/>
  <c r="M1852" i="2"/>
  <c r="L1852" i="2"/>
  <c r="K1852" i="2"/>
  <c r="N1851" i="2"/>
  <c r="M1851" i="2"/>
  <c r="L1851" i="2"/>
  <c r="K1851" i="2"/>
  <c r="N1850" i="2"/>
  <c r="M1850" i="2"/>
  <c r="L1850" i="2"/>
  <c r="K1850" i="2"/>
  <c r="N1849" i="2"/>
  <c r="M1849" i="2"/>
  <c r="L1849" i="2"/>
  <c r="K1849" i="2"/>
  <c r="N1848" i="2"/>
  <c r="M1848" i="2"/>
  <c r="L1848" i="2"/>
  <c r="K1848" i="2"/>
  <c r="N1847" i="2"/>
  <c r="M1847" i="2"/>
  <c r="L1847" i="2"/>
  <c r="K1847" i="2"/>
  <c r="N1846" i="2"/>
  <c r="M1846" i="2"/>
  <c r="L1846" i="2"/>
  <c r="K1846" i="2"/>
  <c r="N1845" i="2"/>
  <c r="M1845" i="2"/>
  <c r="L1845" i="2"/>
  <c r="K1845" i="2"/>
  <c r="N1844" i="2"/>
  <c r="M1844" i="2"/>
  <c r="L1844" i="2"/>
  <c r="K1844" i="2"/>
  <c r="N1843" i="2"/>
  <c r="M1843" i="2"/>
  <c r="L1843" i="2"/>
  <c r="K1843" i="2"/>
  <c r="N1842" i="2"/>
  <c r="M1842" i="2"/>
  <c r="L1842" i="2"/>
  <c r="K1842" i="2"/>
  <c r="N1841" i="2"/>
  <c r="M1841" i="2"/>
  <c r="L1841" i="2"/>
  <c r="K1841" i="2"/>
  <c r="N1840" i="2"/>
  <c r="M1840" i="2"/>
  <c r="L1840" i="2"/>
  <c r="K1840" i="2"/>
  <c r="N1839" i="2"/>
  <c r="M1839" i="2"/>
  <c r="L1839" i="2"/>
  <c r="K1839" i="2"/>
  <c r="N1838" i="2"/>
  <c r="M1838" i="2"/>
  <c r="L1838" i="2"/>
  <c r="K1838" i="2"/>
  <c r="N1837" i="2"/>
  <c r="M1837" i="2"/>
  <c r="L1837" i="2"/>
  <c r="K1837" i="2"/>
  <c r="N1836" i="2"/>
  <c r="M1836" i="2"/>
  <c r="L1836" i="2"/>
  <c r="K1836" i="2"/>
  <c r="N1835" i="2"/>
  <c r="M1835" i="2"/>
  <c r="L1835" i="2"/>
  <c r="K1835" i="2"/>
  <c r="N1834" i="2"/>
  <c r="M1834" i="2"/>
  <c r="L1834" i="2"/>
  <c r="K1834" i="2"/>
  <c r="N1833" i="2"/>
  <c r="M1833" i="2"/>
  <c r="L1833" i="2"/>
  <c r="K1833" i="2"/>
  <c r="N1832" i="2"/>
  <c r="M1832" i="2"/>
  <c r="L1832" i="2"/>
  <c r="K1832" i="2"/>
  <c r="N1831" i="2"/>
  <c r="M1831" i="2"/>
  <c r="L1831" i="2"/>
  <c r="K1831" i="2"/>
  <c r="N1830" i="2"/>
  <c r="M1830" i="2"/>
  <c r="L1830" i="2"/>
  <c r="K1830" i="2"/>
  <c r="N1829" i="2"/>
  <c r="M1829" i="2"/>
  <c r="L1829" i="2"/>
  <c r="K1829" i="2"/>
  <c r="N1828" i="2"/>
  <c r="M1828" i="2"/>
  <c r="L1828" i="2"/>
  <c r="K1828" i="2"/>
  <c r="N1827" i="2"/>
  <c r="M1827" i="2"/>
  <c r="L1827" i="2"/>
  <c r="K1827" i="2"/>
  <c r="N1826" i="2"/>
  <c r="M1826" i="2"/>
  <c r="L1826" i="2"/>
  <c r="K1826" i="2"/>
  <c r="N1825" i="2"/>
  <c r="M1825" i="2"/>
  <c r="L1825" i="2"/>
  <c r="K1825" i="2"/>
  <c r="N1824" i="2"/>
  <c r="M1824" i="2"/>
  <c r="L1824" i="2"/>
  <c r="K1824" i="2"/>
  <c r="N1823" i="2"/>
  <c r="M1823" i="2"/>
  <c r="L1823" i="2"/>
  <c r="K1823" i="2"/>
  <c r="N1822" i="2"/>
  <c r="M1822" i="2"/>
  <c r="L1822" i="2"/>
  <c r="K1822" i="2"/>
  <c r="N1821" i="2"/>
  <c r="M1821" i="2"/>
  <c r="L1821" i="2"/>
  <c r="K1821" i="2"/>
  <c r="N1820" i="2"/>
  <c r="M1820" i="2"/>
  <c r="L1820" i="2"/>
  <c r="K1820" i="2"/>
  <c r="N1819" i="2"/>
  <c r="M1819" i="2"/>
  <c r="L1819" i="2"/>
  <c r="K1819" i="2"/>
  <c r="N1818" i="2"/>
  <c r="M1818" i="2"/>
  <c r="L1818" i="2"/>
  <c r="K1818" i="2"/>
  <c r="N1817" i="2"/>
  <c r="M1817" i="2"/>
  <c r="L1817" i="2"/>
  <c r="K1817" i="2"/>
  <c r="N1816" i="2"/>
  <c r="M1816" i="2"/>
  <c r="L1816" i="2"/>
  <c r="K1816" i="2"/>
  <c r="N1815" i="2"/>
  <c r="M1815" i="2"/>
  <c r="L1815" i="2"/>
  <c r="K1815" i="2"/>
  <c r="N1814" i="2"/>
  <c r="M1814" i="2"/>
  <c r="L1814" i="2"/>
  <c r="K1814" i="2"/>
  <c r="N1813" i="2"/>
  <c r="M1813" i="2"/>
  <c r="L1813" i="2"/>
  <c r="K1813" i="2"/>
  <c r="N1812" i="2"/>
  <c r="M1812" i="2"/>
  <c r="L1812" i="2"/>
  <c r="K1812" i="2"/>
  <c r="N1811" i="2"/>
  <c r="M1811" i="2"/>
  <c r="L1811" i="2"/>
  <c r="K1811" i="2"/>
  <c r="N1810" i="2"/>
  <c r="M1810" i="2"/>
  <c r="L1810" i="2"/>
  <c r="K1810" i="2"/>
  <c r="N1809" i="2"/>
  <c r="M1809" i="2"/>
  <c r="L1809" i="2"/>
  <c r="K1809" i="2"/>
  <c r="N1808" i="2"/>
  <c r="M1808" i="2"/>
  <c r="L1808" i="2"/>
  <c r="K1808" i="2"/>
  <c r="N1807" i="2"/>
  <c r="M1807" i="2"/>
  <c r="L1807" i="2"/>
  <c r="K1807" i="2"/>
  <c r="N1806" i="2"/>
  <c r="M1806" i="2"/>
  <c r="L1806" i="2"/>
  <c r="K1806" i="2"/>
  <c r="N1805" i="2"/>
  <c r="M1805" i="2"/>
  <c r="L1805" i="2"/>
  <c r="K1805" i="2"/>
  <c r="N1804" i="2"/>
  <c r="M1804" i="2"/>
  <c r="L1804" i="2"/>
  <c r="K1804" i="2"/>
  <c r="N1803" i="2"/>
  <c r="M1803" i="2"/>
  <c r="L1803" i="2"/>
  <c r="K1803" i="2"/>
  <c r="N1802" i="2"/>
  <c r="M1802" i="2"/>
  <c r="L1802" i="2"/>
  <c r="K1802" i="2"/>
  <c r="N1801" i="2"/>
  <c r="M1801" i="2"/>
  <c r="L1801" i="2"/>
  <c r="K1801" i="2"/>
  <c r="N1800" i="2"/>
  <c r="M1800" i="2"/>
  <c r="L1800" i="2"/>
  <c r="K1800" i="2"/>
  <c r="N1799" i="2"/>
  <c r="M1799" i="2"/>
  <c r="L1799" i="2"/>
  <c r="K1799" i="2"/>
  <c r="N1798" i="2"/>
  <c r="M1798" i="2"/>
  <c r="L1798" i="2"/>
  <c r="K1798" i="2"/>
  <c r="N1797" i="2"/>
  <c r="M1797" i="2"/>
  <c r="L1797" i="2"/>
  <c r="K1797" i="2"/>
  <c r="N1796" i="2"/>
  <c r="M1796" i="2"/>
  <c r="L1796" i="2"/>
  <c r="K1796" i="2"/>
  <c r="N1795" i="2"/>
  <c r="M1795" i="2"/>
  <c r="L1795" i="2"/>
  <c r="K1795" i="2"/>
  <c r="N1794" i="2"/>
  <c r="M1794" i="2"/>
  <c r="L1794" i="2"/>
  <c r="K1794" i="2"/>
  <c r="N1793" i="2"/>
  <c r="M1793" i="2"/>
  <c r="L1793" i="2"/>
  <c r="K1793" i="2"/>
  <c r="N1792" i="2"/>
  <c r="M1792" i="2"/>
  <c r="L1792" i="2"/>
  <c r="K1792" i="2"/>
  <c r="N1791" i="2"/>
  <c r="M1791" i="2"/>
  <c r="L1791" i="2"/>
  <c r="K1791" i="2"/>
  <c r="N1790" i="2"/>
  <c r="M1790" i="2"/>
  <c r="L1790" i="2"/>
  <c r="K1790" i="2"/>
  <c r="N1789" i="2"/>
  <c r="M1789" i="2"/>
  <c r="L1789" i="2"/>
  <c r="K1789" i="2"/>
  <c r="N1788" i="2"/>
  <c r="M1788" i="2"/>
  <c r="L1788" i="2"/>
  <c r="K1788" i="2"/>
  <c r="N1787" i="2"/>
  <c r="M1787" i="2"/>
  <c r="L1787" i="2"/>
  <c r="K1787" i="2"/>
  <c r="N1786" i="2"/>
  <c r="M1786" i="2"/>
  <c r="L1786" i="2"/>
  <c r="K1786" i="2"/>
  <c r="N1785" i="2"/>
  <c r="M1785" i="2"/>
  <c r="L1785" i="2"/>
  <c r="K1785" i="2"/>
  <c r="N1784" i="2"/>
  <c r="M1784" i="2"/>
  <c r="L1784" i="2"/>
  <c r="K1784" i="2"/>
  <c r="N1783" i="2"/>
  <c r="M1783" i="2"/>
  <c r="L1783" i="2"/>
  <c r="K1783" i="2"/>
  <c r="N1782" i="2"/>
  <c r="M1782" i="2"/>
  <c r="L1782" i="2"/>
  <c r="K1782" i="2"/>
  <c r="N1781" i="2"/>
  <c r="M1781" i="2"/>
  <c r="L1781" i="2"/>
  <c r="K1781" i="2"/>
  <c r="N1780" i="2"/>
  <c r="M1780" i="2"/>
  <c r="L1780" i="2"/>
  <c r="K1780" i="2"/>
  <c r="N1779" i="2"/>
  <c r="M1779" i="2"/>
  <c r="L1779" i="2"/>
  <c r="K1779" i="2"/>
  <c r="N1778" i="2"/>
  <c r="M1778" i="2"/>
  <c r="L1778" i="2"/>
  <c r="K1778" i="2"/>
  <c r="N1777" i="2"/>
  <c r="M1777" i="2"/>
  <c r="L1777" i="2"/>
  <c r="K1777" i="2"/>
  <c r="N1776" i="2"/>
  <c r="M1776" i="2"/>
  <c r="L1776" i="2"/>
  <c r="K1776" i="2"/>
  <c r="N1775" i="2"/>
  <c r="M1775" i="2"/>
  <c r="L1775" i="2"/>
  <c r="K1775" i="2"/>
  <c r="N1774" i="2"/>
  <c r="M1774" i="2"/>
  <c r="L1774" i="2"/>
  <c r="K1774" i="2"/>
  <c r="N1773" i="2"/>
  <c r="M1773" i="2"/>
  <c r="L1773" i="2"/>
  <c r="K1773" i="2"/>
  <c r="N1772" i="2"/>
  <c r="M1772" i="2"/>
  <c r="L1772" i="2"/>
  <c r="K1772" i="2"/>
  <c r="N1771" i="2"/>
  <c r="M1771" i="2"/>
  <c r="L1771" i="2"/>
  <c r="K1771" i="2"/>
  <c r="N1770" i="2"/>
  <c r="M1770" i="2"/>
  <c r="L1770" i="2"/>
  <c r="K1770" i="2"/>
  <c r="N1769" i="2"/>
  <c r="M1769" i="2"/>
  <c r="L1769" i="2"/>
  <c r="K1769" i="2"/>
  <c r="N1768" i="2"/>
  <c r="M1768" i="2"/>
  <c r="L1768" i="2"/>
  <c r="K1768" i="2"/>
  <c r="N1767" i="2"/>
  <c r="M1767" i="2"/>
  <c r="L1767" i="2"/>
  <c r="K1767" i="2"/>
  <c r="N1766" i="2"/>
  <c r="M1766" i="2"/>
  <c r="L1766" i="2"/>
  <c r="K1766" i="2"/>
  <c r="N1765" i="2"/>
  <c r="M1765" i="2"/>
  <c r="L1765" i="2"/>
  <c r="K1765" i="2"/>
  <c r="N1764" i="2"/>
  <c r="M1764" i="2"/>
  <c r="L1764" i="2"/>
  <c r="K1764" i="2"/>
  <c r="N1763" i="2"/>
  <c r="M1763" i="2"/>
  <c r="L1763" i="2"/>
  <c r="K1763" i="2"/>
  <c r="N1762" i="2"/>
  <c r="M1762" i="2"/>
  <c r="L1762" i="2"/>
  <c r="K1762" i="2"/>
  <c r="N1761" i="2"/>
  <c r="M1761" i="2"/>
  <c r="L1761" i="2"/>
  <c r="K1761" i="2"/>
  <c r="N1760" i="2"/>
  <c r="M1760" i="2"/>
  <c r="L1760" i="2"/>
  <c r="K1760" i="2"/>
  <c r="N1759" i="2"/>
  <c r="M1759" i="2"/>
  <c r="L1759" i="2"/>
  <c r="K1759" i="2"/>
  <c r="N1758" i="2"/>
  <c r="M1758" i="2"/>
  <c r="L1758" i="2"/>
  <c r="K1758" i="2"/>
  <c r="N1757" i="2"/>
  <c r="M1757" i="2"/>
  <c r="L1757" i="2"/>
  <c r="K1757" i="2"/>
  <c r="N1756" i="2"/>
  <c r="M1756" i="2"/>
  <c r="L1756" i="2"/>
  <c r="K1756" i="2"/>
  <c r="N1755" i="2"/>
  <c r="M1755" i="2"/>
  <c r="L1755" i="2"/>
  <c r="K1755" i="2"/>
  <c r="N1754" i="2"/>
  <c r="M1754" i="2"/>
  <c r="L1754" i="2"/>
  <c r="K1754" i="2"/>
  <c r="N1753" i="2"/>
  <c r="M1753" i="2"/>
  <c r="L1753" i="2"/>
  <c r="K1753" i="2"/>
  <c r="N1752" i="2"/>
  <c r="M1752" i="2"/>
  <c r="L1752" i="2"/>
  <c r="K1752" i="2"/>
  <c r="N1751" i="2"/>
  <c r="M1751" i="2"/>
  <c r="L1751" i="2"/>
  <c r="K1751" i="2"/>
  <c r="N1750" i="2"/>
  <c r="M1750" i="2"/>
  <c r="L1750" i="2"/>
  <c r="K1750" i="2"/>
  <c r="N1749" i="2"/>
  <c r="M1749" i="2"/>
  <c r="L1749" i="2"/>
  <c r="K1749" i="2"/>
  <c r="N1748" i="2"/>
  <c r="M1748" i="2"/>
  <c r="L1748" i="2"/>
  <c r="K1748" i="2"/>
  <c r="N1747" i="2"/>
  <c r="M1747" i="2"/>
  <c r="L1747" i="2"/>
  <c r="K1747" i="2"/>
  <c r="N1746" i="2"/>
  <c r="M1746" i="2"/>
  <c r="L1746" i="2"/>
  <c r="K1746" i="2"/>
  <c r="N1745" i="2"/>
  <c r="M1745" i="2"/>
  <c r="L1745" i="2"/>
  <c r="K1745" i="2"/>
  <c r="N1744" i="2"/>
  <c r="M1744" i="2"/>
  <c r="L1744" i="2"/>
  <c r="K1744" i="2"/>
  <c r="N1743" i="2"/>
  <c r="M1743" i="2"/>
  <c r="L1743" i="2"/>
  <c r="K1743" i="2"/>
  <c r="N1742" i="2"/>
  <c r="M1742" i="2"/>
  <c r="L1742" i="2"/>
  <c r="K1742" i="2"/>
  <c r="N1741" i="2"/>
  <c r="M1741" i="2"/>
  <c r="L1741" i="2"/>
  <c r="K1741" i="2"/>
  <c r="N1740" i="2"/>
  <c r="M1740" i="2"/>
  <c r="L1740" i="2"/>
  <c r="K1740" i="2"/>
  <c r="N1739" i="2"/>
  <c r="M1739" i="2"/>
  <c r="L1739" i="2"/>
  <c r="K1739" i="2"/>
  <c r="N1738" i="2"/>
  <c r="M1738" i="2"/>
  <c r="L1738" i="2"/>
  <c r="K1738" i="2"/>
  <c r="N1737" i="2"/>
  <c r="M1737" i="2"/>
  <c r="L1737" i="2"/>
  <c r="K1737" i="2"/>
  <c r="N1736" i="2"/>
  <c r="M1736" i="2"/>
  <c r="L1736" i="2"/>
  <c r="K1736" i="2"/>
  <c r="N1735" i="2"/>
  <c r="M1735" i="2"/>
  <c r="L1735" i="2"/>
  <c r="K1735" i="2"/>
  <c r="N1734" i="2"/>
  <c r="M1734" i="2"/>
  <c r="L1734" i="2"/>
  <c r="K1734" i="2"/>
  <c r="N1733" i="2"/>
  <c r="M1733" i="2"/>
  <c r="L1733" i="2"/>
  <c r="K1733" i="2"/>
  <c r="N1732" i="2"/>
  <c r="M1732" i="2"/>
  <c r="L1732" i="2"/>
  <c r="K1732" i="2"/>
  <c r="N1731" i="2"/>
  <c r="M1731" i="2"/>
  <c r="L1731" i="2"/>
  <c r="K1731" i="2"/>
  <c r="N1730" i="2"/>
  <c r="M1730" i="2"/>
  <c r="L1730" i="2"/>
  <c r="K1730" i="2"/>
  <c r="N1729" i="2"/>
  <c r="M1729" i="2"/>
  <c r="L1729" i="2"/>
  <c r="K1729" i="2"/>
  <c r="N1728" i="2"/>
  <c r="M1728" i="2"/>
  <c r="L1728" i="2"/>
  <c r="K1728" i="2"/>
  <c r="N1727" i="2"/>
  <c r="M1727" i="2"/>
  <c r="L1727" i="2"/>
  <c r="K1727" i="2"/>
  <c r="N1726" i="2"/>
  <c r="M1726" i="2"/>
  <c r="L1726" i="2"/>
  <c r="K1726" i="2"/>
  <c r="N1725" i="2"/>
  <c r="M1725" i="2"/>
  <c r="L1725" i="2"/>
  <c r="K1725" i="2"/>
  <c r="N1724" i="2"/>
  <c r="M1724" i="2"/>
  <c r="L1724" i="2"/>
  <c r="K1724" i="2"/>
  <c r="N1723" i="2"/>
  <c r="M1723" i="2"/>
  <c r="L1723" i="2"/>
  <c r="K1723" i="2"/>
  <c r="N1722" i="2"/>
  <c r="M1722" i="2"/>
  <c r="L1722" i="2"/>
  <c r="K1722" i="2"/>
  <c r="N1721" i="2"/>
  <c r="M1721" i="2"/>
  <c r="L1721" i="2"/>
  <c r="K1721" i="2"/>
  <c r="N1720" i="2"/>
  <c r="M1720" i="2"/>
  <c r="L1720" i="2"/>
  <c r="K1720" i="2"/>
  <c r="N1719" i="2"/>
  <c r="M1719" i="2"/>
  <c r="L1719" i="2"/>
  <c r="K1719" i="2"/>
  <c r="N1718" i="2"/>
  <c r="M1718" i="2"/>
  <c r="L1718" i="2"/>
  <c r="K1718" i="2"/>
  <c r="N1717" i="2"/>
  <c r="M1717" i="2"/>
  <c r="L1717" i="2"/>
  <c r="K1717" i="2"/>
  <c r="N1716" i="2"/>
  <c r="M1716" i="2"/>
  <c r="L1716" i="2"/>
  <c r="K1716" i="2"/>
  <c r="N1715" i="2"/>
  <c r="M1715" i="2"/>
  <c r="L1715" i="2"/>
  <c r="K1715" i="2"/>
  <c r="N1714" i="2"/>
  <c r="M1714" i="2"/>
  <c r="L1714" i="2"/>
  <c r="K1714" i="2"/>
  <c r="N1713" i="2"/>
  <c r="M1713" i="2"/>
  <c r="L1713" i="2"/>
  <c r="K1713" i="2"/>
  <c r="N1712" i="2"/>
  <c r="M1712" i="2"/>
  <c r="L1712" i="2"/>
  <c r="K1712" i="2"/>
  <c r="N1711" i="2"/>
  <c r="M1711" i="2"/>
  <c r="L1711" i="2"/>
  <c r="K1711" i="2"/>
  <c r="N1710" i="2"/>
  <c r="M1710" i="2"/>
  <c r="L1710" i="2"/>
  <c r="K1710" i="2"/>
  <c r="N1709" i="2"/>
  <c r="M1709" i="2"/>
  <c r="L1709" i="2"/>
  <c r="K1709" i="2"/>
  <c r="N1708" i="2"/>
  <c r="M1708" i="2"/>
  <c r="L1708" i="2"/>
  <c r="K1708" i="2"/>
  <c r="N1707" i="2"/>
  <c r="M1707" i="2"/>
  <c r="L1707" i="2"/>
  <c r="K1707" i="2"/>
  <c r="N1706" i="2"/>
  <c r="M1706" i="2"/>
  <c r="L1706" i="2"/>
  <c r="K1706" i="2"/>
  <c r="N1705" i="2"/>
  <c r="M1705" i="2"/>
  <c r="L1705" i="2"/>
  <c r="K1705" i="2"/>
  <c r="N1704" i="2"/>
  <c r="M1704" i="2"/>
  <c r="L1704" i="2"/>
  <c r="K1704" i="2"/>
  <c r="N1703" i="2"/>
  <c r="M1703" i="2"/>
  <c r="L1703" i="2"/>
  <c r="K1703" i="2"/>
  <c r="N1702" i="2"/>
  <c r="M1702" i="2"/>
  <c r="L1702" i="2"/>
  <c r="K1702" i="2"/>
  <c r="N1701" i="2"/>
  <c r="M1701" i="2"/>
  <c r="L1701" i="2"/>
  <c r="K1701" i="2"/>
  <c r="N1700" i="2"/>
  <c r="M1700" i="2"/>
  <c r="L1700" i="2"/>
  <c r="K1700" i="2"/>
  <c r="N1699" i="2"/>
  <c r="M1699" i="2"/>
  <c r="L1699" i="2"/>
  <c r="K1699" i="2"/>
  <c r="N1698" i="2"/>
  <c r="M1698" i="2"/>
  <c r="L1698" i="2"/>
  <c r="K1698" i="2"/>
  <c r="N1697" i="2"/>
  <c r="M1697" i="2"/>
  <c r="L1697" i="2"/>
  <c r="K1697" i="2"/>
  <c r="N1696" i="2"/>
  <c r="M1696" i="2"/>
  <c r="L1696" i="2"/>
  <c r="K1696" i="2"/>
  <c r="N1695" i="2"/>
  <c r="M1695" i="2"/>
  <c r="L1695" i="2"/>
  <c r="K1695" i="2"/>
  <c r="N1694" i="2"/>
  <c r="M1694" i="2"/>
  <c r="L1694" i="2"/>
  <c r="K1694" i="2"/>
  <c r="N1693" i="2"/>
  <c r="M1693" i="2"/>
  <c r="L1693" i="2"/>
  <c r="K1693" i="2"/>
  <c r="N1692" i="2"/>
  <c r="M1692" i="2"/>
  <c r="L1692" i="2"/>
  <c r="K1692" i="2"/>
  <c r="N1691" i="2"/>
  <c r="M1691" i="2"/>
  <c r="L1691" i="2"/>
  <c r="K1691" i="2"/>
  <c r="N1690" i="2"/>
  <c r="M1690" i="2"/>
  <c r="L1690" i="2"/>
  <c r="K1690" i="2"/>
  <c r="N1689" i="2"/>
  <c r="M1689" i="2"/>
  <c r="L1689" i="2"/>
  <c r="K1689" i="2"/>
  <c r="N1688" i="2"/>
  <c r="M1688" i="2"/>
  <c r="L1688" i="2"/>
  <c r="K1688" i="2"/>
  <c r="N1687" i="2"/>
  <c r="M1687" i="2"/>
  <c r="L1687" i="2"/>
  <c r="K1687" i="2"/>
  <c r="N1686" i="2"/>
  <c r="M1686" i="2"/>
  <c r="L1686" i="2"/>
  <c r="K1686" i="2"/>
  <c r="N1685" i="2"/>
  <c r="M1685" i="2"/>
  <c r="L1685" i="2"/>
  <c r="K1685" i="2"/>
  <c r="N1684" i="2"/>
  <c r="M1684" i="2"/>
  <c r="L1684" i="2"/>
  <c r="K1684" i="2"/>
  <c r="N1683" i="2"/>
  <c r="M1683" i="2"/>
  <c r="L1683" i="2"/>
  <c r="K1683" i="2"/>
  <c r="N1682" i="2"/>
  <c r="M1682" i="2"/>
  <c r="L1682" i="2"/>
  <c r="K1682" i="2"/>
  <c r="N1681" i="2"/>
  <c r="M1681" i="2"/>
  <c r="L1681" i="2"/>
  <c r="K1681" i="2"/>
  <c r="N1680" i="2"/>
  <c r="M1680" i="2"/>
  <c r="L1680" i="2"/>
  <c r="K1680" i="2"/>
  <c r="N1679" i="2"/>
  <c r="M1679" i="2"/>
  <c r="L1679" i="2"/>
  <c r="K1679" i="2"/>
  <c r="N1678" i="2"/>
  <c r="M1678" i="2"/>
  <c r="L1678" i="2"/>
  <c r="K1678" i="2"/>
  <c r="N1677" i="2"/>
  <c r="M1677" i="2"/>
  <c r="L1677" i="2"/>
  <c r="K1677" i="2"/>
  <c r="N1676" i="2"/>
  <c r="M1676" i="2"/>
  <c r="L1676" i="2"/>
  <c r="K1676" i="2"/>
  <c r="N1675" i="2"/>
  <c r="M1675" i="2"/>
  <c r="L1675" i="2"/>
  <c r="K1675" i="2"/>
  <c r="N1674" i="2"/>
  <c r="M1674" i="2"/>
  <c r="L1674" i="2"/>
  <c r="K1674" i="2"/>
  <c r="N1673" i="2"/>
  <c r="M1673" i="2"/>
  <c r="L1673" i="2"/>
  <c r="K1673" i="2"/>
  <c r="N1672" i="2"/>
  <c r="M1672" i="2"/>
  <c r="L1672" i="2"/>
  <c r="K1672" i="2"/>
  <c r="N1671" i="2"/>
  <c r="M1671" i="2"/>
  <c r="L1671" i="2"/>
  <c r="K1671" i="2"/>
  <c r="N1670" i="2"/>
  <c r="M1670" i="2"/>
  <c r="L1670" i="2"/>
  <c r="K1670" i="2"/>
  <c r="N1669" i="2"/>
  <c r="M1669" i="2"/>
  <c r="L1669" i="2"/>
  <c r="K1669" i="2"/>
  <c r="N1668" i="2"/>
  <c r="M1668" i="2"/>
  <c r="L1668" i="2"/>
  <c r="K1668" i="2"/>
  <c r="N1667" i="2"/>
  <c r="M1667" i="2"/>
  <c r="L1667" i="2"/>
  <c r="K1667" i="2"/>
  <c r="N1666" i="2"/>
  <c r="M1666" i="2"/>
  <c r="L1666" i="2"/>
  <c r="K1666" i="2"/>
  <c r="N1665" i="2"/>
  <c r="M1665" i="2"/>
  <c r="L1665" i="2"/>
  <c r="K1665" i="2"/>
  <c r="N1664" i="2"/>
  <c r="M1664" i="2"/>
  <c r="L1664" i="2"/>
  <c r="K1664" i="2"/>
  <c r="N1663" i="2"/>
  <c r="M1663" i="2"/>
  <c r="L1663" i="2"/>
  <c r="K1663" i="2"/>
  <c r="N1662" i="2"/>
  <c r="M1662" i="2"/>
  <c r="L1662" i="2"/>
  <c r="K1662" i="2"/>
  <c r="N1661" i="2"/>
  <c r="M1661" i="2"/>
  <c r="L1661" i="2"/>
  <c r="K1661" i="2"/>
  <c r="N1660" i="2"/>
  <c r="M1660" i="2"/>
  <c r="L1660" i="2"/>
  <c r="K1660" i="2"/>
  <c r="N1659" i="2"/>
  <c r="M1659" i="2"/>
  <c r="L1659" i="2"/>
  <c r="K1659" i="2"/>
  <c r="N1658" i="2"/>
  <c r="M1658" i="2"/>
  <c r="L1658" i="2"/>
  <c r="K1658" i="2"/>
  <c r="N1657" i="2"/>
  <c r="M1657" i="2"/>
  <c r="L1657" i="2"/>
  <c r="K1657" i="2"/>
  <c r="N1656" i="2"/>
  <c r="M1656" i="2"/>
  <c r="L1656" i="2"/>
  <c r="K1656" i="2"/>
  <c r="N1655" i="2"/>
  <c r="M1655" i="2"/>
  <c r="L1655" i="2"/>
  <c r="K1655" i="2"/>
  <c r="N1654" i="2"/>
  <c r="M1654" i="2"/>
  <c r="L1654" i="2"/>
  <c r="K1654" i="2"/>
  <c r="N1653" i="2"/>
  <c r="M1653" i="2"/>
  <c r="L1653" i="2"/>
  <c r="K1653" i="2"/>
  <c r="N1652" i="2"/>
  <c r="M1652" i="2"/>
  <c r="L1652" i="2"/>
  <c r="K1652" i="2"/>
  <c r="N1651" i="2"/>
  <c r="M1651" i="2"/>
  <c r="L1651" i="2"/>
  <c r="K1651" i="2"/>
  <c r="N1650" i="2"/>
  <c r="M1650" i="2"/>
  <c r="L1650" i="2"/>
  <c r="K1650" i="2"/>
  <c r="N1649" i="2"/>
  <c r="M1649" i="2"/>
  <c r="L1649" i="2"/>
  <c r="K1649" i="2"/>
  <c r="N1648" i="2"/>
  <c r="M1648" i="2"/>
  <c r="L1648" i="2"/>
  <c r="K1648" i="2"/>
  <c r="N1647" i="2"/>
  <c r="M1647" i="2"/>
  <c r="L1647" i="2"/>
  <c r="K1647" i="2"/>
  <c r="N1646" i="2"/>
  <c r="M1646" i="2"/>
  <c r="L1646" i="2"/>
  <c r="K1646" i="2"/>
  <c r="N1645" i="2"/>
  <c r="M1645" i="2"/>
  <c r="L1645" i="2"/>
  <c r="K1645" i="2"/>
  <c r="N1644" i="2"/>
  <c r="M1644" i="2"/>
  <c r="L1644" i="2"/>
  <c r="K1644" i="2"/>
  <c r="N1643" i="2"/>
  <c r="M1643" i="2"/>
  <c r="L1643" i="2"/>
  <c r="K1643" i="2"/>
  <c r="N1642" i="2"/>
  <c r="M1642" i="2"/>
  <c r="L1642" i="2"/>
  <c r="K1642" i="2"/>
  <c r="N1641" i="2"/>
  <c r="M1641" i="2"/>
  <c r="L1641" i="2"/>
  <c r="K1641" i="2"/>
  <c r="N1640" i="2"/>
  <c r="M1640" i="2"/>
  <c r="L1640" i="2"/>
  <c r="K1640" i="2"/>
  <c r="N1639" i="2"/>
  <c r="M1639" i="2"/>
  <c r="L1639" i="2"/>
  <c r="K1639" i="2"/>
  <c r="N1638" i="2"/>
  <c r="M1638" i="2"/>
  <c r="L1638" i="2"/>
  <c r="K1638" i="2"/>
  <c r="N1637" i="2"/>
  <c r="M1637" i="2"/>
  <c r="L1637" i="2"/>
  <c r="K1637" i="2"/>
  <c r="N1636" i="2"/>
  <c r="M1636" i="2"/>
  <c r="L1636" i="2"/>
  <c r="K1636" i="2"/>
  <c r="N1635" i="2"/>
  <c r="M1635" i="2"/>
  <c r="L1635" i="2"/>
  <c r="K1635" i="2"/>
  <c r="N1634" i="2"/>
  <c r="M1634" i="2"/>
  <c r="L1634" i="2"/>
  <c r="K1634" i="2"/>
  <c r="N1633" i="2"/>
  <c r="M1633" i="2"/>
  <c r="L1633" i="2"/>
  <c r="K1633" i="2"/>
  <c r="N1632" i="2"/>
  <c r="M1632" i="2"/>
  <c r="L1632" i="2"/>
  <c r="K1632" i="2"/>
  <c r="N1631" i="2"/>
  <c r="M1631" i="2"/>
  <c r="L1631" i="2"/>
  <c r="K1631" i="2"/>
  <c r="N1630" i="2"/>
  <c r="M1630" i="2"/>
  <c r="L1630" i="2"/>
  <c r="K1630" i="2"/>
  <c r="N1629" i="2"/>
  <c r="M1629" i="2"/>
  <c r="L1629" i="2"/>
  <c r="K1629" i="2"/>
  <c r="N1628" i="2"/>
  <c r="M1628" i="2"/>
  <c r="L1628" i="2"/>
  <c r="K1628" i="2"/>
  <c r="N1627" i="2"/>
  <c r="M1627" i="2"/>
  <c r="L1627" i="2"/>
  <c r="K1627" i="2"/>
  <c r="N1626" i="2"/>
  <c r="M1626" i="2"/>
  <c r="L1626" i="2"/>
  <c r="K1626" i="2"/>
  <c r="N1625" i="2"/>
  <c r="M1625" i="2"/>
  <c r="L1625" i="2"/>
  <c r="K1625" i="2"/>
  <c r="N1624" i="2"/>
  <c r="M1624" i="2"/>
  <c r="L1624" i="2"/>
  <c r="K1624" i="2"/>
  <c r="N1623" i="2"/>
  <c r="M1623" i="2"/>
  <c r="L1623" i="2"/>
  <c r="K1623" i="2"/>
  <c r="N1622" i="2"/>
  <c r="M1622" i="2"/>
  <c r="L1622" i="2"/>
  <c r="K1622" i="2"/>
  <c r="N1621" i="2"/>
  <c r="M1621" i="2"/>
  <c r="L1621" i="2"/>
  <c r="K1621" i="2"/>
  <c r="N1620" i="2"/>
  <c r="M1620" i="2"/>
  <c r="L1620" i="2"/>
  <c r="K1620" i="2"/>
  <c r="N1619" i="2"/>
  <c r="M1619" i="2"/>
  <c r="L1619" i="2"/>
  <c r="K1619" i="2"/>
  <c r="N1618" i="2"/>
  <c r="M1618" i="2"/>
  <c r="L1618" i="2"/>
  <c r="K1618" i="2"/>
  <c r="N1617" i="2"/>
  <c r="M1617" i="2"/>
  <c r="L1617" i="2"/>
  <c r="K1617" i="2"/>
  <c r="N1616" i="2"/>
  <c r="M1616" i="2"/>
  <c r="L1616" i="2"/>
  <c r="K1616" i="2"/>
  <c r="N1615" i="2"/>
  <c r="M1615" i="2"/>
  <c r="L1615" i="2"/>
  <c r="K1615" i="2"/>
  <c r="N1614" i="2"/>
  <c r="M1614" i="2"/>
  <c r="L1614" i="2"/>
  <c r="K1614" i="2"/>
  <c r="N1613" i="2"/>
  <c r="M1613" i="2"/>
  <c r="L1613" i="2"/>
  <c r="K1613" i="2"/>
  <c r="N1612" i="2"/>
  <c r="M1612" i="2"/>
  <c r="L1612" i="2"/>
  <c r="K1612" i="2"/>
  <c r="N1611" i="2"/>
  <c r="M1611" i="2"/>
  <c r="L1611" i="2"/>
  <c r="K1611" i="2"/>
  <c r="N1610" i="2"/>
  <c r="M1610" i="2"/>
  <c r="L1610" i="2"/>
  <c r="K1610" i="2"/>
  <c r="N1609" i="2"/>
  <c r="M1609" i="2"/>
  <c r="L1609" i="2"/>
  <c r="K1609" i="2"/>
  <c r="N1608" i="2"/>
  <c r="M1608" i="2"/>
  <c r="L1608" i="2"/>
  <c r="K1608" i="2"/>
  <c r="N1607" i="2"/>
  <c r="M1607" i="2"/>
  <c r="L1607" i="2"/>
  <c r="K1607" i="2"/>
  <c r="N1606" i="2"/>
  <c r="M1606" i="2"/>
  <c r="L1606" i="2"/>
  <c r="K1606" i="2"/>
  <c r="N1605" i="2"/>
  <c r="M1605" i="2"/>
  <c r="L1605" i="2"/>
  <c r="K1605" i="2"/>
  <c r="N1604" i="2"/>
  <c r="M1604" i="2"/>
  <c r="L1604" i="2"/>
  <c r="K1604" i="2"/>
  <c r="N1603" i="2"/>
  <c r="M1603" i="2"/>
  <c r="L1603" i="2"/>
  <c r="K1603" i="2"/>
  <c r="N1602" i="2"/>
  <c r="M1602" i="2"/>
  <c r="L1602" i="2"/>
  <c r="K1602" i="2"/>
  <c r="N1601" i="2"/>
  <c r="M1601" i="2"/>
  <c r="L1601" i="2"/>
  <c r="K1601" i="2"/>
  <c r="N1600" i="2"/>
  <c r="M1600" i="2"/>
  <c r="L1600" i="2"/>
  <c r="K1600" i="2"/>
  <c r="N1599" i="2"/>
  <c r="M1599" i="2"/>
  <c r="L1599" i="2"/>
  <c r="K1599" i="2"/>
  <c r="N1598" i="2"/>
  <c r="M1598" i="2"/>
  <c r="L1598" i="2"/>
  <c r="K1598" i="2"/>
  <c r="N1597" i="2"/>
  <c r="M1597" i="2"/>
  <c r="L1597" i="2"/>
  <c r="K1597" i="2"/>
  <c r="N1596" i="2"/>
  <c r="M1596" i="2"/>
  <c r="L1596" i="2"/>
  <c r="K1596" i="2"/>
  <c r="N1595" i="2"/>
  <c r="M1595" i="2"/>
  <c r="L1595" i="2"/>
  <c r="K1595" i="2"/>
  <c r="N1594" i="2"/>
  <c r="M1594" i="2"/>
  <c r="L1594" i="2"/>
  <c r="K1594" i="2"/>
  <c r="N1593" i="2"/>
  <c r="M1593" i="2"/>
  <c r="L1593" i="2"/>
  <c r="K1593" i="2"/>
  <c r="N1592" i="2"/>
  <c r="M1592" i="2"/>
  <c r="L1592" i="2"/>
  <c r="K1592" i="2"/>
  <c r="N1591" i="2"/>
  <c r="M1591" i="2"/>
  <c r="L1591" i="2"/>
  <c r="K1591" i="2"/>
  <c r="N1590" i="2"/>
  <c r="M1590" i="2"/>
  <c r="L1590" i="2"/>
  <c r="K1590" i="2"/>
  <c r="N1589" i="2"/>
  <c r="M1589" i="2"/>
  <c r="L1589" i="2"/>
  <c r="K1589" i="2"/>
  <c r="N1588" i="2"/>
  <c r="M1588" i="2"/>
  <c r="L1588" i="2"/>
  <c r="K1588" i="2"/>
  <c r="N1587" i="2"/>
  <c r="M1587" i="2"/>
  <c r="L1587" i="2"/>
  <c r="K1587" i="2"/>
  <c r="N1586" i="2"/>
  <c r="M1586" i="2"/>
  <c r="L1586" i="2"/>
  <c r="K1586" i="2"/>
  <c r="N1585" i="2"/>
  <c r="M1585" i="2"/>
  <c r="L1585" i="2"/>
  <c r="K1585" i="2"/>
  <c r="N1584" i="2"/>
  <c r="M1584" i="2"/>
  <c r="L1584" i="2"/>
  <c r="K1584" i="2"/>
  <c r="N1583" i="2"/>
  <c r="M1583" i="2"/>
  <c r="L1583" i="2"/>
  <c r="K1583" i="2"/>
  <c r="N1582" i="2"/>
  <c r="M1582" i="2"/>
  <c r="L1582" i="2"/>
  <c r="K1582" i="2"/>
  <c r="N1581" i="2"/>
  <c r="M1581" i="2"/>
  <c r="L1581" i="2"/>
  <c r="K1581" i="2"/>
  <c r="N1580" i="2"/>
  <c r="M1580" i="2"/>
  <c r="L1580" i="2"/>
  <c r="K1580" i="2"/>
  <c r="N1579" i="2"/>
  <c r="M1579" i="2"/>
  <c r="L1579" i="2"/>
  <c r="K1579" i="2"/>
  <c r="N1578" i="2"/>
  <c r="M1578" i="2"/>
  <c r="L1578" i="2"/>
  <c r="K1578" i="2"/>
  <c r="N1577" i="2"/>
  <c r="M1577" i="2"/>
  <c r="L1577" i="2"/>
  <c r="K1577" i="2"/>
  <c r="N1576" i="2"/>
  <c r="M1576" i="2"/>
  <c r="L1576" i="2"/>
  <c r="K1576" i="2"/>
  <c r="N1575" i="2"/>
  <c r="M1575" i="2"/>
  <c r="L1575" i="2"/>
  <c r="K1575" i="2"/>
  <c r="N1574" i="2"/>
  <c r="M1574" i="2"/>
  <c r="L1574" i="2"/>
  <c r="K1574" i="2"/>
  <c r="N1573" i="2"/>
  <c r="M1573" i="2"/>
  <c r="L1573" i="2"/>
  <c r="K1573" i="2"/>
  <c r="N1572" i="2"/>
  <c r="M1572" i="2"/>
  <c r="L1572" i="2"/>
  <c r="K1572" i="2"/>
  <c r="N1571" i="2"/>
  <c r="M1571" i="2"/>
  <c r="L1571" i="2"/>
  <c r="K1571" i="2"/>
  <c r="N1570" i="2"/>
  <c r="M1570" i="2"/>
  <c r="L1570" i="2"/>
  <c r="K1570" i="2"/>
  <c r="N1569" i="2"/>
  <c r="M1569" i="2"/>
  <c r="L1569" i="2"/>
  <c r="K1569" i="2"/>
  <c r="N1568" i="2"/>
  <c r="M1568" i="2"/>
  <c r="L1568" i="2"/>
  <c r="K1568" i="2"/>
  <c r="N1567" i="2"/>
  <c r="M1567" i="2"/>
  <c r="L1567" i="2"/>
  <c r="K1567" i="2"/>
  <c r="N1566" i="2"/>
  <c r="M1566" i="2"/>
  <c r="L1566" i="2"/>
  <c r="K1566" i="2"/>
  <c r="N1565" i="2"/>
  <c r="M1565" i="2"/>
  <c r="L1565" i="2"/>
  <c r="K1565" i="2"/>
  <c r="N1564" i="2"/>
  <c r="M1564" i="2"/>
  <c r="L1564" i="2"/>
  <c r="K1564" i="2"/>
  <c r="N1563" i="2"/>
  <c r="M1563" i="2"/>
  <c r="L1563" i="2"/>
  <c r="K1563" i="2"/>
  <c r="N1562" i="2"/>
  <c r="M1562" i="2"/>
  <c r="L1562" i="2"/>
  <c r="K1562" i="2"/>
  <c r="N1561" i="2"/>
  <c r="M1561" i="2"/>
  <c r="L1561" i="2"/>
  <c r="K1561" i="2"/>
  <c r="N1560" i="2"/>
  <c r="M1560" i="2"/>
  <c r="L1560" i="2"/>
  <c r="K1560" i="2"/>
  <c r="N1559" i="2"/>
  <c r="M1559" i="2"/>
  <c r="L1559" i="2"/>
  <c r="K1559" i="2"/>
  <c r="N1558" i="2"/>
  <c r="M1558" i="2"/>
  <c r="L1558" i="2"/>
  <c r="K1558" i="2"/>
  <c r="N1557" i="2"/>
  <c r="M1557" i="2"/>
  <c r="L1557" i="2"/>
  <c r="K1557" i="2"/>
  <c r="N1556" i="2"/>
  <c r="M1556" i="2"/>
  <c r="L1556" i="2"/>
  <c r="K1556" i="2"/>
  <c r="N1555" i="2"/>
  <c r="M1555" i="2"/>
  <c r="L1555" i="2"/>
  <c r="K1555" i="2"/>
  <c r="N1554" i="2"/>
  <c r="M1554" i="2"/>
  <c r="L1554" i="2"/>
  <c r="K1554" i="2"/>
  <c r="N1553" i="2"/>
  <c r="M1553" i="2"/>
  <c r="L1553" i="2"/>
  <c r="K1553" i="2"/>
  <c r="N1552" i="2"/>
  <c r="M1552" i="2"/>
  <c r="L1552" i="2"/>
  <c r="K1552" i="2"/>
  <c r="N1551" i="2"/>
  <c r="M1551" i="2"/>
  <c r="L1551" i="2"/>
  <c r="K1551" i="2"/>
  <c r="N1550" i="2"/>
  <c r="M1550" i="2"/>
  <c r="L1550" i="2"/>
  <c r="K1550" i="2"/>
  <c r="N1549" i="2"/>
  <c r="M1549" i="2"/>
  <c r="L1549" i="2"/>
  <c r="K1549" i="2"/>
  <c r="N1548" i="2"/>
  <c r="M1548" i="2"/>
  <c r="L1548" i="2"/>
  <c r="K1548" i="2"/>
  <c r="N1547" i="2"/>
  <c r="M1547" i="2"/>
  <c r="L1547" i="2"/>
  <c r="K1547" i="2"/>
  <c r="N1546" i="2"/>
  <c r="M1546" i="2"/>
  <c r="L1546" i="2"/>
  <c r="K1546" i="2"/>
  <c r="N1545" i="2"/>
  <c r="M1545" i="2"/>
  <c r="L1545" i="2"/>
  <c r="K1545" i="2"/>
  <c r="N1544" i="2"/>
  <c r="M1544" i="2"/>
  <c r="L1544" i="2"/>
  <c r="K1544" i="2"/>
  <c r="N1543" i="2"/>
  <c r="M1543" i="2"/>
  <c r="L1543" i="2"/>
  <c r="K1543" i="2"/>
  <c r="N1542" i="2"/>
  <c r="M1542" i="2"/>
  <c r="L1542" i="2"/>
  <c r="K1542" i="2"/>
  <c r="N1541" i="2"/>
  <c r="M1541" i="2"/>
  <c r="L1541" i="2"/>
  <c r="K1541" i="2"/>
  <c r="N1540" i="2"/>
  <c r="M1540" i="2"/>
  <c r="L1540" i="2"/>
  <c r="K1540" i="2"/>
  <c r="N1539" i="2"/>
  <c r="M1539" i="2"/>
  <c r="L1539" i="2"/>
  <c r="K1539" i="2"/>
  <c r="N1538" i="2"/>
  <c r="M1538" i="2"/>
  <c r="L1538" i="2"/>
  <c r="K1538" i="2"/>
  <c r="N1537" i="2"/>
  <c r="M1537" i="2"/>
  <c r="L1537" i="2"/>
  <c r="K1537" i="2"/>
  <c r="N1536" i="2"/>
  <c r="M1536" i="2"/>
  <c r="L1536" i="2"/>
  <c r="K1536" i="2"/>
  <c r="N1535" i="2"/>
  <c r="M1535" i="2"/>
  <c r="L1535" i="2"/>
  <c r="K1535" i="2"/>
  <c r="N1534" i="2"/>
  <c r="M1534" i="2"/>
  <c r="L1534" i="2"/>
  <c r="K1534" i="2"/>
  <c r="N1533" i="2"/>
  <c r="M1533" i="2"/>
  <c r="L1533" i="2"/>
  <c r="K1533" i="2"/>
  <c r="N1532" i="2"/>
  <c r="M1532" i="2"/>
  <c r="L1532" i="2"/>
  <c r="K1532" i="2"/>
  <c r="N1531" i="2"/>
  <c r="M1531" i="2"/>
  <c r="L1531" i="2"/>
  <c r="K1531" i="2"/>
  <c r="N1530" i="2"/>
  <c r="M1530" i="2"/>
  <c r="L1530" i="2"/>
  <c r="K1530" i="2"/>
  <c r="N1529" i="2"/>
  <c r="M1529" i="2"/>
  <c r="L1529" i="2"/>
  <c r="K1529" i="2"/>
  <c r="N1528" i="2"/>
  <c r="M1528" i="2"/>
  <c r="L1528" i="2"/>
  <c r="K1528" i="2"/>
  <c r="N1527" i="2"/>
  <c r="M1527" i="2"/>
  <c r="L1527" i="2"/>
  <c r="K1527" i="2"/>
  <c r="N1526" i="2"/>
  <c r="M1526" i="2"/>
  <c r="L1526" i="2"/>
  <c r="K1526" i="2"/>
  <c r="N1525" i="2"/>
  <c r="M1525" i="2"/>
  <c r="L1525" i="2"/>
  <c r="K1525" i="2"/>
  <c r="N1524" i="2"/>
  <c r="M1524" i="2"/>
  <c r="L1524" i="2"/>
  <c r="K1524" i="2"/>
  <c r="N1523" i="2"/>
  <c r="M1523" i="2"/>
  <c r="L1523" i="2"/>
  <c r="K1523" i="2"/>
  <c r="N1522" i="2"/>
  <c r="M1522" i="2"/>
  <c r="L1522" i="2"/>
  <c r="K1522" i="2"/>
  <c r="N1521" i="2"/>
  <c r="M1521" i="2"/>
  <c r="L1521" i="2"/>
  <c r="K1521" i="2"/>
  <c r="N1520" i="2"/>
  <c r="M1520" i="2"/>
  <c r="L1520" i="2"/>
  <c r="K1520" i="2"/>
  <c r="N1519" i="2"/>
  <c r="M1519" i="2"/>
  <c r="L1519" i="2"/>
  <c r="K1519" i="2"/>
  <c r="N1518" i="2"/>
  <c r="M1518" i="2"/>
  <c r="L1518" i="2"/>
  <c r="K1518" i="2"/>
  <c r="N1517" i="2"/>
  <c r="M1517" i="2"/>
  <c r="L1517" i="2"/>
  <c r="K1517" i="2"/>
  <c r="N1516" i="2"/>
  <c r="M1516" i="2"/>
  <c r="L1516" i="2"/>
  <c r="K1516" i="2"/>
  <c r="N1515" i="2"/>
  <c r="M1515" i="2"/>
  <c r="L1515" i="2"/>
  <c r="K1515" i="2"/>
  <c r="N1514" i="2"/>
  <c r="M1514" i="2"/>
  <c r="L1514" i="2"/>
  <c r="K1514" i="2"/>
  <c r="N1513" i="2"/>
  <c r="M1513" i="2"/>
  <c r="L1513" i="2"/>
  <c r="K1513" i="2"/>
  <c r="N1512" i="2"/>
  <c r="M1512" i="2"/>
  <c r="L1512" i="2"/>
  <c r="K1512" i="2"/>
  <c r="N1511" i="2"/>
  <c r="M1511" i="2"/>
  <c r="L1511" i="2"/>
  <c r="K1511" i="2"/>
  <c r="N1510" i="2"/>
  <c r="M1510" i="2"/>
  <c r="L1510" i="2"/>
  <c r="K1510" i="2"/>
  <c r="N1509" i="2"/>
  <c r="M1509" i="2"/>
  <c r="L1509" i="2"/>
  <c r="K1509" i="2"/>
  <c r="N1508" i="2"/>
  <c r="M1508" i="2"/>
  <c r="L1508" i="2"/>
  <c r="K1508" i="2"/>
  <c r="N1507" i="2"/>
  <c r="M1507" i="2"/>
  <c r="L1507" i="2"/>
  <c r="K1507" i="2"/>
  <c r="N1506" i="2"/>
  <c r="M1506" i="2"/>
  <c r="L1506" i="2"/>
  <c r="K1506" i="2"/>
  <c r="N1505" i="2"/>
  <c r="M1505" i="2"/>
  <c r="L1505" i="2"/>
  <c r="K1505" i="2"/>
  <c r="N1504" i="2"/>
  <c r="M1504" i="2"/>
  <c r="L1504" i="2"/>
  <c r="K1504" i="2"/>
  <c r="N1503" i="2"/>
  <c r="M1503" i="2"/>
  <c r="L1503" i="2"/>
  <c r="K1503" i="2"/>
  <c r="N1502" i="2"/>
  <c r="M1502" i="2"/>
  <c r="L1502" i="2"/>
  <c r="K1502" i="2"/>
  <c r="N1501" i="2"/>
  <c r="M1501" i="2"/>
  <c r="L1501" i="2"/>
  <c r="K1501" i="2"/>
  <c r="N1500" i="2"/>
  <c r="M1500" i="2"/>
  <c r="L1500" i="2"/>
  <c r="K1500" i="2"/>
  <c r="N1499" i="2"/>
  <c r="M1499" i="2"/>
  <c r="L1499" i="2"/>
  <c r="K1499" i="2"/>
  <c r="N1498" i="2"/>
  <c r="M1498" i="2"/>
  <c r="L1498" i="2"/>
  <c r="K1498" i="2"/>
  <c r="N1497" i="2"/>
  <c r="M1497" i="2"/>
  <c r="L1497" i="2"/>
  <c r="K1497" i="2"/>
  <c r="N1496" i="2"/>
  <c r="M1496" i="2"/>
  <c r="L1496" i="2"/>
  <c r="K1496" i="2"/>
  <c r="N1495" i="2"/>
  <c r="M1495" i="2"/>
  <c r="L1495" i="2"/>
  <c r="K1495" i="2"/>
  <c r="N1494" i="2"/>
  <c r="M1494" i="2"/>
  <c r="L1494" i="2"/>
  <c r="K1494" i="2"/>
  <c r="N1493" i="2"/>
  <c r="M1493" i="2"/>
  <c r="L1493" i="2"/>
  <c r="K1493" i="2"/>
  <c r="N1492" i="2"/>
  <c r="M1492" i="2"/>
  <c r="L1492" i="2"/>
  <c r="K1492" i="2"/>
  <c r="N1491" i="2"/>
  <c r="M1491" i="2"/>
  <c r="L1491" i="2"/>
  <c r="K1491" i="2"/>
  <c r="N1490" i="2"/>
  <c r="M1490" i="2"/>
  <c r="L1490" i="2"/>
  <c r="K1490" i="2"/>
  <c r="N1489" i="2"/>
  <c r="M1489" i="2"/>
  <c r="L1489" i="2"/>
  <c r="K1489" i="2"/>
  <c r="N1488" i="2"/>
  <c r="M1488" i="2"/>
  <c r="L1488" i="2"/>
  <c r="K1488" i="2"/>
  <c r="N1487" i="2"/>
  <c r="M1487" i="2"/>
  <c r="L1487" i="2"/>
  <c r="K1487" i="2"/>
  <c r="N1486" i="2"/>
  <c r="M1486" i="2"/>
  <c r="L1486" i="2"/>
  <c r="K1486" i="2"/>
  <c r="N1485" i="2"/>
  <c r="M1485" i="2"/>
  <c r="L1485" i="2"/>
  <c r="K1485" i="2"/>
  <c r="N1484" i="2"/>
  <c r="M1484" i="2"/>
  <c r="L1484" i="2"/>
  <c r="K1484" i="2"/>
  <c r="N1483" i="2"/>
  <c r="M1483" i="2"/>
  <c r="L1483" i="2"/>
  <c r="K1483" i="2"/>
  <c r="N1482" i="2"/>
  <c r="M1482" i="2"/>
  <c r="L1482" i="2"/>
  <c r="K1482" i="2"/>
  <c r="N1481" i="2"/>
  <c r="M1481" i="2"/>
  <c r="L1481" i="2"/>
  <c r="K1481" i="2"/>
  <c r="N1480" i="2"/>
  <c r="M1480" i="2"/>
  <c r="L1480" i="2"/>
  <c r="K1480" i="2"/>
  <c r="N1479" i="2"/>
  <c r="M1479" i="2"/>
  <c r="L1479" i="2"/>
  <c r="K1479" i="2"/>
  <c r="N1478" i="2"/>
  <c r="M1478" i="2"/>
  <c r="L1478" i="2"/>
  <c r="K1478" i="2"/>
  <c r="N1477" i="2"/>
  <c r="M1477" i="2"/>
  <c r="L1477" i="2"/>
  <c r="K1477" i="2"/>
  <c r="N1476" i="2"/>
  <c r="M1476" i="2"/>
  <c r="L1476" i="2"/>
  <c r="K1476" i="2"/>
  <c r="N1475" i="2"/>
  <c r="M1475" i="2"/>
  <c r="L1475" i="2"/>
  <c r="K1475" i="2"/>
  <c r="N1474" i="2"/>
  <c r="M1474" i="2"/>
  <c r="L1474" i="2"/>
  <c r="K1474" i="2"/>
  <c r="N1473" i="2"/>
  <c r="M1473" i="2"/>
  <c r="L1473" i="2"/>
  <c r="K1473" i="2"/>
  <c r="N1472" i="2"/>
  <c r="M1472" i="2"/>
  <c r="L1472" i="2"/>
  <c r="K1472" i="2"/>
  <c r="N1471" i="2"/>
  <c r="M1471" i="2"/>
  <c r="L1471" i="2"/>
  <c r="K1471" i="2"/>
  <c r="N1470" i="2"/>
  <c r="M1470" i="2"/>
  <c r="L1470" i="2"/>
  <c r="K1470" i="2"/>
  <c r="N1469" i="2"/>
  <c r="M1469" i="2"/>
  <c r="L1469" i="2"/>
  <c r="K1469" i="2"/>
  <c r="N1468" i="2"/>
  <c r="M1468" i="2"/>
  <c r="L1468" i="2"/>
  <c r="K1468" i="2"/>
  <c r="N1467" i="2"/>
  <c r="M1467" i="2"/>
  <c r="L1467" i="2"/>
  <c r="K1467" i="2"/>
  <c r="N1466" i="2"/>
  <c r="M1466" i="2"/>
  <c r="L1466" i="2"/>
  <c r="K1466" i="2"/>
  <c r="N1465" i="2"/>
  <c r="M1465" i="2"/>
  <c r="L1465" i="2"/>
  <c r="K1465" i="2"/>
  <c r="N1464" i="2"/>
  <c r="M1464" i="2"/>
  <c r="L1464" i="2"/>
  <c r="K1464" i="2"/>
  <c r="N1463" i="2"/>
  <c r="M1463" i="2"/>
  <c r="L1463" i="2"/>
  <c r="K1463" i="2"/>
  <c r="N1462" i="2"/>
  <c r="M1462" i="2"/>
  <c r="L1462" i="2"/>
  <c r="K1462" i="2"/>
  <c r="N1461" i="2"/>
  <c r="M1461" i="2"/>
  <c r="L1461" i="2"/>
  <c r="K1461" i="2"/>
  <c r="N1460" i="2"/>
  <c r="M1460" i="2"/>
  <c r="L1460" i="2"/>
  <c r="K1460" i="2"/>
  <c r="N1459" i="2"/>
  <c r="M1459" i="2"/>
  <c r="L1459" i="2"/>
  <c r="K1459" i="2"/>
  <c r="N1458" i="2"/>
  <c r="M1458" i="2"/>
  <c r="L1458" i="2"/>
  <c r="K1458" i="2"/>
  <c r="N1457" i="2"/>
  <c r="M1457" i="2"/>
  <c r="L1457" i="2"/>
  <c r="K1457" i="2"/>
  <c r="N1456" i="2"/>
  <c r="M1456" i="2"/>
  <c r="L1456" i="2"/>
  <c r="K1456" i="2"/>
  <c r="N1455" i="2"/>
  <c r="M1455" i="2"/>
  <c r="L1455" i="2"/>
  <c r="K1455" i="2"/>
  <c r="N1454" i="2"/>
  <c r="M1454" i="2"/>
  <c r="L1454" i="2"/>
  <c r="K1454" i="2"/>
  <c r="N1453" i="2"/>
  <c r="M1453" i="2"/>
  <c r="L1453" i="2"/>
  <c r="K1453" i="2"/>
  <c r="N1452" i="2"/>
  <c r="M1452" i="2"/>
  <c r="L1452" i="2"/>
  <c r="K1452" i="2"/>
  <c r="N1451" i="2"/>
  <c r="M1451" i="2"/>
  <c r="L1451" i="2"/>
  <c r="K1451" i="2"/>
  <c r="N1450" i="2"/>
  <c r="M1450" i="2"/>
  <c r="L1450" i="2"/>
  <c r="K1450" i="2"/>
  <c r="N1449" i="2"/>
  <c r="M1449" i="2"/>
  <c r="L1449" i="2"/>
  <c r="K1449" i="2"/>
  <c r="N1448" i="2"/>
  <c r="M1448" i="2"/>
  <c r="L1448" i="2"/>
  <c r="K1448" i="2"/>
  <c r="N1447" i="2"/>
  <c r="M1447" i="2"/>
  <c r="L1447" i="2"/>
  <c r="K1447" i="2"/>
  <c r="N1446" i="2"/>
  <c r="M1446" i="2"/>
  <c r="L1446" i="2"/>
  <c r="K1446" i="2"/>
  <c r="N1445" i="2"/>
  <c r="M1445" i="2"/>
  <c r="L1445" i="2"/>
  <c r="K1445" i="2"/>
  <c r="N1444" i="2"/>
  <c r="M1444" i="2"/>
  <c r="L1444" i="2"/>
  <c r="K1444" i="2"/>
  <c r="N1443" i="2"/>
  <c r="M1443" i="2"/>
  <c r="L1443" i="2"/>
  <c r="K1443" i="2"/>
  <c r="N1442" i="2"/>
  <c r="M1442" i="2"/>
  <c r="L1442" i="2"/>
  <c r="K1442" i="2"/>
  <c r="N1441" i="2"/>
  <c r="M1441" i="2"/>
  <c r="L1441" i="2"/>
  <c r="K1441" i="2"/>
  <c r="N1440" i="2"/>
  <c r="M1440" i="2"/>
  <c r="L1440" i="2"/>
  <c r="K1440" i="2"/>
  <c r="N1439" i="2"/>
  <c r="M1439" i="2"/>
  <c r="L1439" i="2"/>
  <c r="K1439" i="2"/>
  <c r="N1438" i="2"/>
  <c r="M1438" i="2"/>
  <c r="L1438" i="2"/>
  <c r="K1438" i="2"/>
  <c r="N1437" i="2"/>
  <c r="M1437" i="2"/>
  <c r="L1437" i="2"/>
  <c r="K1437" i="2"/>
  <c r="N1436" i="2"/>
  <c r="M1436" i="2"/>
  <c r="L1436" i="2"/>
  <c r="K1436" i="2"/>
  <c r="N1435" i="2"/>
  <c r="M1435" i="2"/>
  <c r="L1435" i="2"/>
  <c r="K1435" i="2"/>
  <c r="N1434" i="2"/>
  <c r="M1434" i="2"/>
  <c r="L1434" i="2"/>
  <c r="K1434" i="2"/>
  <c r="N1433" i="2"/>
  <c r="M1433" i="2"/>
  <c r="L1433" i="2"/>
  <c r="K1433" i="2"/>
  <c r="N1432" i="2"/>
  <c r="M1432" i="2"/>
  <c r="L1432" i="2"/>
  <c r="K1432" i="2"/>
  <c r="N1431" i="2"/>
  <c r="M1431" i="2"/>
  <c r="L1431" i="2"/>
  <c r="K1431" i="2"/>
  <c r="N1430" i="2"/>
  <c r="M1430" i="2"/>
  <c r="L1430" i="2"/>
  <c r="K1430" i="2"/>
  <c r="N1429" i="2"/>
  <c r="M1429" i="2"/>
  <c r="L1429" i="2"/>
  <c r="K1429" i="2"/>
  <c r="N1428" i="2"/>
  <c r="M1428" i="2"/>
  <c r="L1428" i="2"/>
  <c r="K1428" i="2"/>
  <c r="N1427" i="2"/>
  <c r="M1427" i="2"/>
  <c r="L1427" i="2"/>
  <c r="K1427" i="2"/>
  <c r="N1426" i="2"/>
  <c r="M1426" i="2"/>
  <c r="L1426" i="2"/>
  <c r="K1426" i="2"/>
  <c r="N1425" i="2"/>
  <c r="M1425" i="2"/>
  <c r="L1425" i="2"/>
  <c r="K1425" i="2"/>
  <c r="N1424" i="2"/>
  <c r="M1424" i="2"/>
  <c r="L1424" i="2"/>
  <c r="K1424" i="2"/>
  <c r="N1423" i="2"/>
  <c r="M1423" i="2"/>
  <c r="L1423" i="2"/>
  <c r="K1423" i="2"/>
  <c r="N1422" i="2"/>
  <c r="M1422" i="2"/>
  <c r="L1422" i="2"/>
  <c r="K1422" i="2"/>
  <c r="N1421" i="2"/>
  <c r="M1421" i="2"/>
  <c r="L1421" i="2"/>
  <c r="K1421" i="2"/>
  <c r="N1420" i="2"/>
  <c r="M1420" i="2"/>
  <c r="L1420" i="2"/>
  <c r="K1420" i="2"/>
  <c r="N1419" i="2"/>
  <c r="M1419" i="2"/>
  <c r="L1419" i="2"/>
  <c r="K1419" i="2"/>
  <c r="N1418" i="2"/>
  <c r="M1418" i="2"/>
  <c r="L1418" i="2"/>
  <c r="K1418" i="2"/>
  <c r="N1417" i="2"/>
  <c r="M1417" i="2"/>
  <c r="L1417" i="2"/>
  <c r="K1417" i="2"/>
  <c r="N1416" i="2"/>
  <c r="M1416" i="2"/>
  <c r="L1416" i="2"/>
  <c r="K1416" i="2"/>
  <c r="N1415" i="2"/>
  <c r="M1415" i="2"/>
  <c r="L1415" i="2"/>
  <c r="K1415" i="2"/>
  <c r="N1414" i="2"/>
  <c r="M1414" i="2"/>
  <c r="L1414" i="2"/>
  <c r="K1414" i="2"/>
  <c r="N1413" i="2"/>
  <c r="M1413" i="2"/>
  <c r="L1413" i="2"/>
  <c r="K1413" i="2"/>
  <c r="N1412" i="2"/>
  <c r="M1412" i="2"/>
  <c r="L1412" i="2"/>
  <c r="K1412" i="2"/>
  <c r="N1411" i="2"/>
  <c r="M1411" i="2"/>
  <c r="L1411" i="2"/>
  <c r="K1411" i="2"/>
  <c r="N1410" i="2"/>
  <c r="M1410" i="2"/>
  <c r="L1410" i="2"/>
  <c r="K1410" i="2"/>
  <c r="N1409" i="2"/>
  <c r="M1409" i="2"/>
  <c r="L1409" i="2"/>
  <c r="K1409" i="2"/>
  <c r="N1408" i="2"/>
  <c r="M1408" i="2"/>
  <c r="L1408" i="2"/>
  <c r="K1408" i="2"/>
  <c r="N1407" i="2"/>
  <c r="M1407" i="2"/>
  <c r="L1407" i="2"/>
  <c r="K1407" i="2"/>
  <c r="N1406" i="2"/>
  <c r="M1406" i="2"/>
  <c r="L1406" i="2"/>
  <c r="K1406" i="2"/>
  <c r="N1405" i="2"/>
  <c r="M1405" i="2"/>
  <c r="L1405" i="2"/>
  <c r="K1405" i="2"/>
  <c r="N1404" i="2"/>
  <c r="M1404" i="2"/>
  <c r="L1404" i="2"/>
  <c r="K1404" i="2"/>
  <c r="N1403" i="2"/>
  <c r="M1403" i="2"/>
  <c r="L1403" i="2"/>
  <c r="K1403" i="2"/>
  <c r="N1402" i="2"/>
  <c r="M1402" i="2"/>
  <c r="L1402" i="2"/>
  <c r="K1402" i="2"/>
  <c r="N1401" i="2"/>
  <c r="M1401" i="2"/>
  <c r="L1401" i="2"/>
  <c r="K1401" i="2"/>
  <c r="N1400" i="2"/>
  <c r="M1400" i="2"/>
  <c r="L1400" i="2"/>
  <c r="K1400" i="2"/>
  <c r="N1399" i="2"/>
  <c r="M1399" i="2"/>
  <c r="L1399" i="2"/>
  <c r="K1399" i="2"/>
  <c r="N1398" i="2"/>
  <c r="M1398" i="2"/>
  <c r="L1398" i="2"/>
  <c r="K1398" i="2"/>
  <c r="N1397" i="2"/>
  <c r="M1397" i="2"/>
  <c r="L1397" i="2"/>
  <c r="K1397" i="2"/>
  <c r="N1396" i="2"/>
  <c r="M1396" i="2"/>
  <c r="L1396" i="2"/>
  <c r="K1396" i="2"/>
  <c r="N1395" i="2"/>
  <c r="M1395" i="2"/>
  <c r="L1395" i="2"/>
  <c r="K1395" i="2"/>
  <c r="N1394" i="2"/>
  <c r="M1394" i="2"/>
  <c r="L1394" i="2"/>
  <c r="K1394" i="2"/>
  <c r="N1393" i="2"/>
  <c r="M1393" i="2"/>
  <c r="L1393" i="2"/>
  <c r="K1393" i="2"/>
  <c r="N1392" i="2"/>
  <c r="M1392" i="2"/>
  <c r="L1392" i="2"/>
  <c r="K1392" i="2"/>
  <c r="N1391" i="2"/>
  <c r="M1391" i="2"/>
  <c r="L1391" i="2"/>
  <c r="K1391" i="2"/>
  <c r="N1390" i="2"/>
  <c r="M1390" i="2"/>
  <c r="L1390" i="2"/>
  <c r="K1390" i="2"/>
  <c r="N1389" i="2"/>
  <c r="M1389" i="2"/>
  <c r="L1389" i="2"/>
  <c r="K1389" i="2"/>
  <c r="N1388" i="2"/>
  <c r="M1388" i="2"/>
  <c r="L1388" i="2"/>
  <c r="K1388" i="2"/>
  <c r="N1387" i="2"/>
  <c r="M1387" i="2"/>
  <c r="L1387" i="2"/>
  <c r="K1387" i="2"/>
  <c r="N1386" i="2"/>
  <c r="M1386" i="2"/>
  <c r="L1386" i="2"/>
  <c r="K1386" i="2"/>
  <c r="N1385" i="2"/>
  <c r="M1385" i="2"/>
  <c r="L1385" i="2"/>
  <c r="K1385" i="2"/>
  <c r="N1384" i="2"/>
  <c r="M1384" i="2"/>
  <c r="L1384" i="2"/>
  <c r="K1384" i="2"/>
  <c r="N1383" i="2"/>
  <c r="M1383" i="2"/>
  <c r="L1383" i="2"/>
  <c r="K1383" i="2"/>
  <c r="N1382" i="2"/>
  <c r="M1382" i="2"/>
  <c r="L1382" i="2"/>
  <c r="K1382" i="2"/>
  <c r="N1381" i="2"/>
  <c r="M1381" i="2"/>
  <c r="L1381" i="2"/>
  <c r="K1381" i="2"/>
  <c r="N1380" i="2"/>
  <c r="M1380" i="2"/>
  <c r="L1380" i="2"/>
  <c r="K1380" i="2"/>
  <c r="N1379" i="2"/>
  <c r="M1379" i="2"/>
  <c r="L1379" i="2"/>
  <c r="K1379" i="2"/>
  <c r="N1378" i="2"/>
  <c r="M1378" i="2"/>
  <c r="L1378" i="2"/>
  <c r="K1378" i="2"/>
  <c r="N1377" i="2"/>
  <c r="M1377" i="2"/>
  <c r="L1377" i="2"/>
  <c r="K1377" i="2"/>
  <c r="N1376" i="2"/>
  <c r="M1376" i="2"/>
  <c r="L1376" i="2"/>
  <c r="K1376" i="2"/>
  <c r="N1375" i="2"/>
  <c r="M1375" i="2"/>
  <c r="L1375" i="2"/>
  <c r="K1375" i="2"/>
  <c r="N1374" i="2"/>
  <c r="M1374" i="2"/>
  <c r="L1374" i="2"/>
  <c r="K1374" i="2"/>
  <c r="N1373" i="2"/>
  <c r="M1373" i="2"/>
  <c r="L1373" i="2"/>
  <c r="K1373" i="2"/>
  <c r="N1372" i="2"/>
  <c r="M1372" i="2"/>
  <c r="L1372" i="2"/>
  <c r="K1372" i="2"/>
  <c r="N1371" i="2"/>
  <c r="M1371" i="2"/>
  <c r="L1371" i="2"/>
  <c r="K1371" i="2"/>
  <c r="N1370" i="2"/>
  <c r="M1370" i="2"/>
  <c r="L1370" i="2"/>
  <c r="K1370" i="2"/>
  <c r="N1369" i="2"/>
  <c r="M1369" i="2"/>
  <c r="L1369" i="2"/>
  <c r="K1369" i="2"/>
  <c r="N1368" i="2"/>
  <c r="M1368" i="2"/>
  <c r="L1368" i="2"/>
  <c r="K1368" i="2"/>
  <c r="N1367" i="2"/>
  <c r="M1367" i="2"/>
  <c r="L1367" i="2"/>
  <c r="K1367" i="2"/>
  <c r="N1366" i="2"/>
  <c r="M1366" i="2"/>
  <c r="L1366" i="2"/>
  <c r="K1366" i="2"/>
  <c r="N1365" i="2"/>
  <c r="M1365" i="2"/>
  <c r="L1365" i="2"/>
  <c r="K1365" i="2"/>
  <c r="N1364" i="2"/>
  <c r="M1364" i="2"/>
  <c r="L1364" i="2"/>
  <c r="K1364" i="2"/>
  <c r="N1363" i="2"/>
  <c r="M1363" i="2"/>
  <c r="L1363" i="2"/>
  <c r="K1363" i="2"/>
  <c r="N1362" i="2"/>
  <c r="M1362" i="2"/>
  <c r="L1362" i="2"/>
  <c r="K1362" i="2"/>
  <c r="N1361" i="2"/>
  <c r="M1361" i="2"/>
  <c r="L1361" i="2"/>
  <c r="K1361" i="2"/>
  <c r="N1360" i="2"/>
  <c r="M1360" i="2"/>
  <c r="L1360" i="2"/>
  <c r="K1360" i="2"/>
  <c r="N1359" i="2"/>
  <c r="M1359" i="2"/>
  <c r="L1359" i="2"/>
  <c r="K1359" i="2"/>
  <c r="N1358" i="2"/>
  <c r="M1358" i="2"/>
  <c r="L1358" i="2"/>
  <c r="K1358" i="2"/>
  <c r="N1357" i="2"/>
  <c r="M1357" i="2"/>
  <c r="L1357" i="2"/>
  <c r="K1357" i="2"/>
  <c r="N1356" i="2"/>
  <c r="M1356" i="2"/>
  <c r="L1356" i="2"/>
  <c r="K1356" i="2"/>
  <c r="N1355" i="2"/>
  <c r="M1355" i="2"/>
  <c r="L1355" i="2"/>
  <c r="K1355" i="2"/>
  <c r="N1354" i="2"/>
  <c r="M1354" i="2"/>
  <c r="L1354" i="2"/>
  <c r="K1354" i="2"/>
  <c r="N1353" i="2"/>
  <c r="M1353" i="2"/>
  <c r="L1353" i="2"/>
  <c r="K1353" i="2"/>
  <c r="N1352" i="2"/>
  <c r="M1352" i="2"/>
  <c r="L1352" i="2"/>
  <c r="K1352" i="2"/>
  <c r="N1351" i="2"/>
  <c r="M1351" i="2"/>
  <c r="L1351" i="2"/>
  <c r="K1351" i="2"/>
  <c r="N1350" i="2"/>
  <c r="M1350" i="2"/>
  <c r="L1350" i="2"/>
  <c r="K1350" i="2"/>
  <c r="N1349" i="2"/>
  <c r="M1349" i="2"/>
  <c r="L1349" i="2"/>
  <c r="K1349" i="2"/>
  <c r="N1348" i="2"/>
  <c r="M1348" i="2"/>
  <c r="L1348" i="2"/>
  <c r="K1348" i="2"/>
  <c r="N1347" i="2"/>
  <c r="M1347" i="2"/>
  <c r="L1347" i="2"/>
  <c r="K1347" i="2"/>
  <c r="N1346" i="2"/>
  <c r="M1346" i="2"/>
  <c r="L1346" i="2"/>
  <c r="K1346" i="2"/>
  <c r="N1345" i="2"/>
  <c r="M1345" i="2"/>
  <c r="L1345" i="2"/>
  <c r="K1345" i="2"/>
  <c r="N1344" i="2"/>
  <c r="M1344" i="2"/>
  <c r="L1344" i="2"/>
  <c r="K1344" i="2"/>
  <c r="N1343" i="2"/>
  <c r="M1343" i="2"/>
  <c r="L1343" i="2"/>
  <c r="K1343" i="2"/>
  <c r="N1342" i="2"/>
  <c r="M1342" i="2"/>
  <c r="L1342" i="2"/>
  <c r="K1342" i="2"/>
  <c r="N1341" i="2"/>
  <c r="M1341" i="2"/>
  <c r="L1341" i="2"/>
  <c r="K1341" i="2"/>
  <c r="N1340" i="2"/>
  <c r="M1340" i="2"/>
  <c r="L1340" i="2"/>
  <c r="K1340" i="2"/>
  <c r="N1339" i="2"/>
  <c r="M1339" i="2"/>
  <c r="L1339" i="2"/>
  <c r="K1339" i="2"/>
  <c r="N1338" i="2"/>
  <c r="M1338" i="2"/>
  <c r="L1338" i="2"/>
  <c r="K1338" i="2"/>
  <c r="N1337" i="2"/>
  <c r="M1337" i="2"/>
  <c r="L1337" i="2"/>
  <c r="K1337" i="2"/>
  <c r="N1336" i="2"/>
  <c r="M1336" i="2"/>
  <c r="L1336" i="2"/>
  <c r="K1336" i="2"/>
  <c r="N1335" i="2"/>
  <c r="M1335" i="2"/>
  <c r="L1335" i="2"/>
  <c r="K1335" i="2"/>
  <c r="N1334" i="2"/>
  <c r="M1334" i="2"/>
  <c r="L1334" i="2"/>
  <c r="K1334" i="2"/>
  <c r="N1333" i="2"/>
  <c r="M1333" i="2"/>
  <c r="L1333" i="2"/>
  <c r="K1333" i="2"/>
  <c r="N1332" i="2"/>
  <c r="M1332" i="2"/>
  <c r="L1332" i="2"/>
  <c r="K1332" i="2"/>
  <c r="N1331" i="2"/>
  <c r="M1331" i="2"/>
  <c r="L1331" i="2"/>
  <c r="K1331" i="2"/>
  <c r="N1330" i="2"/>
  <c r="M1330" i="2"/>
  <c r="L1330" i="2"/>
  <c r="K1330" i="2"/>
  <c r="N1329" i="2"/>
  <c r="M1329" i="2"/>
  <c r="L1329" i="2"/>
  <c r="K1329" i="2"/>
  <c r="N1328" i="2"/>
  <c r="M1328" i="2"/>
  <c r="L1328" i="2"/>
  <c r="K1328" i="2"/>
  <c r="N1327" i="2"/>
  <c r="M1327" i="2"/>
  <c r="L1327" i="2"/>
  <c r="K1327" i="2"/>
  <c r="N1326" i="2"/>
  <c r="M1326" i="2"/>
  <c r="L1326" i="2"/>
  <c r="K1326" i="2"/>
  <c r="N1325" i="2"/>
  <c r="M1325" i="2"/>
  <c r="L1325" i="2"/>
  <c r="K1325" i="2"/>
  <c r="N1324" i="2"/>
  <c r="M1324" i="2"/>
  <c r="L1324" i="2"/>
  <c r="K1324" i="2"/>
  <c r="N1323" i="2"/>
  <c r="M1323" i="2"/>
  <c r="L1323" i="2"/>
  <c r="K1323" i="2"/>
  <c r="N1322" i="2"/>
  <c r="M1322" i="2"/>
  <c r="L1322" i="2"/>
  <c r="K1322" i="2"/>
  <c r="N1321" i="2"/>
  <c r="M1321" i="2"/>
  <c r="L1321" i="2"/>
  <c r="K1321" i="2"/>
  <c r="N1320" i="2"/>
  <c r="M1320" i="2"/>
  <c r="L1320" i="2"/>
  <c r="K1320" i="2"/>
  <c r="N1319" i="2"/>
  <c r="M1319" i="2"/>
  <c r="L1319" i="2"/>
  <c r="K1319" i="2"/>
  <c r="N1318" i="2"/>
  <c r="M1318" i="2"/>
  <c r="L1318" i="2"/>
  <c r="K1318" i="2"/>
  <c r="N1317" i="2"/>
  <c r="M1317" i="2"/>
  <c r="L1317" i="2"/>
  <c r="K1317" i="2"/>
  <c r="N1316" i="2"/>
  <c r="M1316" i="2"/>
  <c r="L1316" i="2"/>
  <c r="K1316" i="2"/>
  <c r="N1315" i="2"/>
  <c r="M1315" i="2"/>
  <c r="L1315" i="2"/>
  <c r="K1315" i="2"/>
  <c r="N1314" i="2"/>
  <c r="M1314" i="2"/>
  <c r="L1314" i="2"/>
  <c r="K1314" i="2"/>
  <c r="N1313" i="2"/>
  <c r="M1313" i="2"/>
  <c r="L1313" i="2"/>
  <c r="K1313" i="2"/>
  <c r="N1312" i="2"/>
  <c r="M1312" i="2"/>
  <c r="L1312" i="2"/>
  <c r="K1312" i="2"/>
  <c r="N1311" i="2"/>
  <c r="M1311" i="2"/>
  <c r="L1311" i="2"/>
  <c r="K1311" i="2"/>
  <c r="N1310" i="2"/>
  <c r="M1310" i="2"/>
  <c r="L1310" i="2"/>
  <c r="K1310" i="2"/>
  <c r="N1309" i="2"/>
  <c r="M1309" i="2"/>
  <c r="L1309" i="2"/>
  <c r="K1309" i="2"/>
  <c r="N1308" i="2"/>
  <c r="M1308" i="2"/>
  <c r="L1308" i="2"/>
  <c r="K1308" i="2"/>
  <c r="N1307" i="2"/>
  <c r="M1307" i="2"/>
  <c r="L1307" i="2"/>
  <c r="K1307" i="2"/>
  <c r="N1306" i="2"/>
  <c r="M1306" i="2"/>
  <c r="L1306" i="2"/>
  <c r="K1306" i="2"/>
  <c r="N1305" i="2"/>
  <c r="M1305" i="2"/>
  <c r="L1305" i="2"/>
  <c r="K1305" i="2"/>
  <c r="N1304" i="2"/>
  <c r="M1304" i="2"/>
  <c r="L1304" i="2"/>
  <c r="K1304" i="2"/>
  <c r="N1303" i="2"/>
  <c r="M1303" i="2"/>
  <c r="L1303" i="2"/>
  <c r="K1303" i="2"/>
  <c r="N1302" i="2"/>
  <c r="M1302" i="2"/>
  <c r="L1302" i="2"/>
  <c r="K1302" i="2"/>
  <c r="N1301" i="2"/>
  <c r="M1301" i="2"/>
  <c r="L1301" i="2"/>
  <c r="K1301" i="2"/>
  <c r="N1300" i="2"/>
  <c r="M1300" i="2"/>
  <c r="L1300" i="2"/>
  <c r="K1300" i="2"/>
  <c r="N1299" i="2"/>
  <c r="M1299" i="2"/>
  <c r="L1299" i="2"/>
  <c r="K1299" i="2"/>
  <c r="N1298" i="2"/>
  <c r="M1298" i="2"/>
  <c r="L1298" i="2"/>
  <c r="K1298" i="2"/>
  <c r="N1297" i="2"/>
  <c r="M1297" i="2"/>
  <c r="L1297" i="2"/>
  <c r="K1297" i="2"/>
  <c r="N1296" i="2"/>
  <c r="M1296" i="2"/>
  <c r="L1296" i="2"/>
  <c r="K1296" i="2"/>
  <c r="N1295" i="2"/>
  <c r="M1295" i="2"/>
  <c r="L1295" i="2"/>
  <c r="K1295" i="2"/>
  <c r="N1294" i="2"/>
  <c r="M1294" i="2"/>
  <c r="L1294" i="2"/>
  <c r="K1294" i="2"/>
  <c r="N1293" i="2"/>
  <c r="M1293" i="2"/>
  <c r="L1293" i="2"/>
  <c r="K1293" i="2"/>
  <c r="N1292" i="2"/>
  <c r="M1292" i="2"/>
  <c r="L1292" i="2"/>
  <c r="K1292" i="2"/>
  <c r="N1291" i="2"/>
  <c r="M1291" i="2"/>
  <c r="L1291" i="2"/>
  <c r="K1291" i="2"/>
  <c r="N1290" i="2"/>
  <c r="M1290" i="2"/>
  <c r="L1290" i="2"/>
  <c r="K1290" i="2"/>
  <c r="N1289" i="2"/>
  <c r="M1289" i="2"/>
  <c r="L1289" i="2"/>
  <c r="K1289" i="2"/>
  <c r="N1288" i="2"/>
  <c r="M1288" i="2"/>
  <c r="L1288" i="2"/>
  <c r="K1288" i="2"/>
  <c r="N1287" i="2"/>
  <c r="M1287" i="2"/>
  <c r="L1287" i="2"/>
  <c r="K1287" i="2"/>
  <c r="N1286" i="2"/>
  <c r="M1286" i="2"/>
  <c r="L1286" i="2"/>
  <c r="K1286" i="2"/>
  <c r="N1285" i="2"/>
  <c r="M1285" i="2"/>
  <c r="L1285" i="2"/>
  <c r="K1285" i="2"/>
  <c r="N1284" i="2"/>
  <c r="M1284" i="2"/>
  <c r="L1284" i="2"/>
  <c r="K1284" i="2"/>
  <c r="N1283" i="2"/>
  <c r="M1283" i="2"/>
  <c r="L1283" i="2"/>
  <c r="K1283" i="2"/>
  <c r="N1282" i="2"/>
  <c r="M1282" i="2"/>
  <c r="L1282" i="2"/>
  <c r="K1282" i="2"/>
  <c r="N1281" i="2"/>
  <c r="M1281" i="2"/>
  <c r="L1281" i="2"/>
  <c r="K1281" i="2"/>
  <c r="N1280" i="2"/>
  <c r="M1280" i="2"/>
  <c r="L1280" i="2"/>
  <c r="K1280" i="2"/>
  <c r="N1279" i="2"/>
  <c r="M1279" i="2"/>
  <c r="L1279" i="2"/>
  <c r="K1279" i="2"/>
  <c r="N1278" i="2"/>
  <c r="M1278" i="2"/>
  <c r="L1278" i="2"/>
  <c r="K1278" i="2"/>
  <c r="N1277" i="2"/>
  <c r="M1277" i="2"/>
  <c r="L1277" i="2"/>
  <c r="K1277" i="2"/>
  <c r="N1276" i="2"/>
  <c r="M1276" i="2"/>
  <c r="L1276" i="2"/>
  <c r="K1276" i="2"/>
  <c r="N1275" i="2"/>
  <c r="M1275" i="2"/>
  <c r="L1275" i="2"/>
  <c r="K1275" i="2"/>
  <c r="N1274" i="2"/>
  <c r="M1274" i="2"/>
  <c r="L1274" i="2"/>
  <c r="K1274" i="2"/>
  <c r="N1273" i="2"/>
  <c r="M1273" i="2"/>
  <c r="L1273" i="2"/>
  <c r="K1273" i="2"/>
  <c r="N1272" i="2"/>
  <c r="M1272" i="2"/>
  <c r="L1272" i="2"/>
  <c r="K1272" i="2"/>
  <c r="N1271" i="2"/>
  <c r="M1271" i="2"/>
  <c r="L1271" i="2"/>
  <c r="K1271" i="2"/>
  <c r="N1270" i="2"/>
  <c r="M1270" i="2"/>
  <c r="L1270" i="2"/>
  <c r="K1270" i="2"/>
  <c r="N1269" i="2"/>
  <c r="M1269" i="2"/>
  <c r="L1269" i="2"/>
  <c r="K1269" i="2"/>
  <c r="N1268" i="2"/>
  <c r="M1268" i="2"/>
  <c r="L1268" i="2"/>
  <c r="K1268" i="2"/>
  <c r="N1267" i="2"/>
  <c r="M1267" i="2"/>
  <c r="L1267" i="2"/>
  <c r="K1267" i="2"/>
  <c r="N1266" i="2"/>
  <c r="M1266" i="2"/>
  <c r="L1266" i="2"/>
  <c r="K1266" i="2"/>
  <c r="N1265" i="2"/>
  <c r="M1265" i="2"/>
  <c r="L1265" i="2"/>
  <c r="K1265" i="2"/>
  <c r="N1264" i="2"/>
  <c r="M1264" i="2"/>
  <c r="L1264" i="2"/>
  <c r="K1264" i="2"/>
  <c r="N1263" i="2"/>
  <c r="M1263" i="2"/>
  <c r="L1263" i="2"/>
  <c r="K1263" i="2"/>
  <c r="N1262" i="2"/>
  <c r="M1262" i="2"/>
  <c r="L1262" i="2"/>
  <c r="K1262" i="2"/>
  <c r="N1261" i="2"/>
  <c r="M1261" i="2"/>
  <c r="L1261" i="2"/>
  <c r="K1261" i="2"/>
  <c r="N1260" i="2"/>
  <c r="M1260" i="2"/>
  <c r="L1260" i="2"/>
  <c r="K1260" i="2"/>
  <c r="N1259" i="2"/>
  <c r="M1259" i="2"/>
  <c r="L1259" i="2"/>
  <c r="K1259" i="2"/>
  <c r="N1258" i="2"/>
  <c r="M1258" i="2"/>
  <c r="L1258" i="2"/>
  <c r="K1258" i="2"/>
  <c r="N1257" i="2"/>
  <c r="M1257" i="2"/>
  <c r="L1257" i="2"/>
  <c r="K1257" i="2"/>
  <c r="N1256" i="2"/>
  <c r="M1256" i="2"/>
  <c r="L1256" i="2"/>
  <c r="K1256" i="2"/>
  <c r="N1255" i="2"/>
  <c r="M1255" i="2"/>
  <c r="L1255" i="2"/>
  <c r="K1255" i="2"/>
  <c r="N1254" i="2"/>
  <c r="M1254" i="2"/>
  <c r="L1254" i="2"/>
  <c r="K1254" i="2"/>
  <c r="N1253" i="2"/>
  <c r="M1253" i="2"/>
  <c r="L1253" i="2"/>
  <c r="K1253" i="2"/>
  <c r="N1252" i="2"/>
  <c r="M1252" i="2"/>
  <c r="L1252" i="2"/>
  <c r="K1252" i="2"/>
  <c r="N1251" i="2"/>
  <c r="M1251" i="2"/>
  <c r="L1251" i="2"/>
  <c r="K1251" i="2"/>
  <c r="N1250" i="2"/>
  <c r="M1250" i="2"/>
  <c r="L1250" i="2"/>
  <c r="K1250" i="2"/>
  <c r="N1249" i="2"/>
  <c r="M1249" i="2"/>
  <c r="L1249" i="2"/>
  <c r="K1249" i="2"/>
  <c r="N1248" i="2"/>
  <c r="M1248" i="2"/>
  <c r="L1248" i="2"/>
  <c r="K1248" i="2"/>
  <c r="N1247" i="2"/>
  <c r="M1247" i="2"/>
  <c r="L1247" i="2"/>
  <c r="K1247" i="2"/>
  <c r="N1246" i="2"/>
  <c r="M1246" i="2"/>
  <c r="L1246" i="2"/>
  <c r="K1246" i="2"/>
  <c r="N1245" i="2"/>
  <c r="M1245" i="2"/>
  <c r="L1245" i="2"/>
  <c r="K1245" i="2"/>
  <c r="N1244" i="2"/>
  <c r="M1244" i="2"/>
  <c r="L1244" i="2"/>
  <c r="K1244" i="2"/>
  <c r="N1243" i="2"/>
  <c r="M1243" i="2"/>
  <c r="L1243" i="2"/>
  <c r="K1243" i="2"/>
  <c r="N1242" i="2"/>
  <c r="M1242" i="2"/>
  <c r="L1242" i="2"/>
  <c r="K1242" i="2"/>
  <c r="N1241" i="2"/>
  <c r="M1241" i="2"/>
  <c r="L1241" i="2"/>
  <c r="K1241" i="2"/>
  <c r="N1240" i="2"/>
  <c r="M1240" i="2"/>
  <c r="L1240" i="2"/>
  <c r="K1240" i="2"/>
  <c r="N1239" i="2"/>
  <c r="M1239" i="2"/>
  <c r="L1239" i="2"/>
  <c r="K1239" i="2"/>
  <c r="N1238" i="2"/>
  <c r="M1238" i="2"/>
  <c r="L1238" i="2"/>
  <c r="K1238" i="2"/>
  <c r="N1237" i="2"/>
  <c r="M1237" i="2"/>
  <c r="L1237" i="2"/>
  <c r="K1237" i="2"/>
  <c r="N1236" i="2"/>
  <c r="M1236" i="2"/>
  <c r="L1236" i="2"/>
  <c r="K1236" i="2"/>
  <c r="N1235" i="2"/>
  <c r="M1235" i="2"/>
  <c r="L1235" i="2"/>
  <c r="K1235" i="2"/>
  <c r="N1234" i="2"/>
  <c r="M1234" i="2"/>
  <c r="L1234" i="2"/>
  <c r="K1234" i="2"/>
  <c r="N1233" i="2"/>
  <c r="M1233" i="2"/>
  <c r="L1233" i="2"/>
  <c r="K1233" i="2"/>
  <c r="N1232" i="2"/>
  <c r="M1232" i="2"/>
  <c r="L1232" i="2"/>
  <c r="K1232" i="2"/>
  <c r="N1231" i="2"/>
  <c r="M1231" i="2"/>
  <c r="L1231" i="2"/>
  <c r="K1231" i="2"/>
  <c r="N1230" i="2"/>
  <c r="M1230" i="2"/>
  <c r="L1230" i="2"/>
  <c r="K1230" i="2"/>
  <c r="N1229" i="2"/>
  <c r="M1229" i="2"/>
  <c r="L1229" i="2"/>
  <c r="K1229" i="2"/>
  <c r="N1228" i="2"/>
  <c r="M1228" i="2"/>
  <c r="L1228" i="2"/>
  <c r="K1228" i="2"/>
  <c r="N1227" i="2"/>
  <c r="M1227" i="2"/>
  <c r="L1227" i="2"/>
  <c r="K1227" i="2"/>
  <c r="N1226" i="2"/>
  <c r="M1226" i="2"/>
  <c r="L1226" i="2"/>
  <c r="K1226" i="2"/>
  <c r="N1225" i="2"/>
  <c r="M1225" i="2"/>
  <c r="L1225" i="2"/>
  <c r="K1225" i="2"/>
  <c r="N1224" i="2"/>
  <c r="M1224" i="2"/>
  <c r="L1224" i="2"/>
  <c r="K1224" i="2"/>
  <c r="N1223" i="2"/>
  <c r="M1223" i="2"/>
  <c r="L1223" i="2"/>
  <c r="K1223" i="2"/>
  <c r="N1222" i="2"/>
  <c r="M1222" i="2"/>
  <c r="L1222" i="2"/>
  <c r="K1222" i="2"/>
  <c r="N1221" i="2"/>
  <c r="M1221" i="2"/>
  <c r="L1221" i="2"/>
  <c r="K1221" i="2"/>
  <c r="N1220" i="2"/>
  <c r="M1220" i="2"/>
  <c r="L1220" i="2"/>
  <c r="K1220" i="2"/>
  <c r="N1219" i="2"/>
  <c r="M1219" i="2"/>
  <c r="L1219" i="2"/>
  <c r="K1219" i="2"/>
  <c r="N1218" i="2"/>
  <c r="M1218" i="2"/>
  <c r="L1218" i="2"/>
  <c r="K1218" i="2"/>
  <c r="N1217" i="2"/>
  <c r="M1217" i="2"/>
  <c r="L1217" i="2"/>
  <c r="K1217" i="2"/>
  <c r="N1216" i="2"/>
  <c r="M1216" i="2"/>
  <c r="L1216" i="2"/>
  <c r="K1216" i="2"/>
  <c r="N1215" i="2"/>
  <c r="M1215" i="2"/>
  <c r="L1215" i="2"/>
  <c r="K1215" i="2"/>
  <c r="N1214" i="2"/>
  <c r="M1214" i="2"/>
  <c r="L1214" i="2"/>
  <c r="K1214" i="2"/>
  <c r="N1213" i="2"/>
  <c r="M1213" i="2"/>
  <c r="L1213" i="2"/>
  <c r="K1213" i="2"/>
  <c r="N1212" i="2"/>
  <c r="M1212" i="2"/>
  <c r="L1212" i="2"/>
  <c r="K1212" i="2"/>
  <c r="N1211" i="2"/>
  <c r="M1211" i="2"/>
  <c r="L1211" i="2"/>
  <c r="K1211" i="2"/>
  <c r="N1210" i="2"/>
  <c r="M1210" i="2"/>
  <c r="L1210" i="2"/>
  <c r="K1210" i="2"/>
  <c r="N1209" i="2"/>
  <c r="M1209" i="2"/>
  <c r="L1209" i="2"/>
  <c r="K1209" i="2"/>
  <c r="N1208" i="2"/>
  <c r="M1208" i="2"/>
  <c r="L1208" i="2"/>
  <c r="K1208" i="2"/>
  <c r="N1207" i="2"/>
  <c r="M1207" i="2"/>
  <c r="L1207" i="2"/>
  <c r="K1207" i="2"/>
  <c r="N1206" i="2"/>
  <c r="M1206" i="2"/>
  <c r="L1206" i="2"/>
  <c r="K1206" i="2"/>
  <c r="N1205" i="2"/>
  <c r="M1205" i="2"/>
  <c r="L1205" i="2"/>
  <c r="K1205" i="2"/>
  <c r="N1204" i="2"/>
  <c r="M1204" i="2"/>
  <c r="L1204" i="2"/>
  <c r="K1204" i="2"/>
  <c r="N1203" i="2"/>
  <c r="M1203" i="2"/>
  <c r="L1203" i="2"/>
  <c r="K1203" i="2"/>
  <c r="N1202" i="2"/>
  <c r="M1202" i="2"/>
  <c r="L1202" i="2"/>
  <c r="K1202" i="2"/>
  <c r="N1201" i="2"/>
  <c r="M1201" i="2"/>
  <c r="L1201" i="2"/>
  <c r="K1201" i="2"/>
  <c r="N1200" i="2"/>
  <c r="M1200" i="2"/>
  <c r="L1200" i="2"/>
  <c r="K1200" i="2"/>
  <c r="N1199" i="2"/>
  <c r="M1199" i="2"/>
  <c r="L1199" i="2"/>
  <c r="K1199" i="2"/>
  <c r="N1198" i="2"/>
  <c r="M1198" i="2"/>
  <c r="L1198" i="2"/>
  <c r="K1198" i="2"/>
  <c r="N1197" i="2"/>
  <c r="M1197" i="2"/>
  <c r="L1197" i="2"/>
  <c r="K1197" i="2"/>
  <c r="N1196" i="2"/>
  <c r="M1196" i="2"/>
  <c r="L1196" i="2"/>
  <c r="K1196" i="2"/>
  <c r="N1195" i="2"/>
  <c r="M1195" i="2"/>
  <c r="L1195" i="2"/>
  <c r="K1195" i="2"/>
  <c r="N1194" i="2"/>
  <c r="M1194" i="2"/>
  <c r="L1194" i="2"/>
  <c r="K1194" i="2"/>
  <c r="N1193" i="2"/>
  <c r="M1193" i="2"/>
  <c r="L1193" i="2"/>
  <c r="K1193" i="2"/>
  <c r="N1192" i="2"/>
  <c r="M1192" i="2"/>
  <c r="L1192" i="2"/>
  <c r="K1192" i="2"/>
  <c r="N1191" i="2"/>
  <c r="M1191" i="2"/>
  <c r="L1191" i="2"/>
  <c r="K1191" i="2"/>
  <c r="N1190" i="2"/>
  <c r="M1190" i="2"/>
  <c r="L1190" i="2"/>
  <c r="K1190" i="2"/>
  <c r="N1189" i="2"/>
  <c r="M1189" i="2"/>
  <c r="L1189" i="2"/>
  <c r="K1189" i="2"/>
  <c r="N1188" i="2"/>
  <c r="M1188" i="2"/>
  <c r="L1188" i="2"/>
  <c r="K1188" i="2"/>
  <c r="N1187" i="2"/>
  <c r="M1187" i="2"/>
  <c r="L1187" i="2"/>
  <c r="K1187" i="2"/>
  <c r="N1186" i="2"/>
  <c r="M1186" i="2"/>
  <c r="L1186" i="2"/>
  <c r="K1186" i="2"/>
  <c r="N1185" i="2"/>
  <c r="M1185" i="2"/>
  <c r="L1185" i="2"/>
  <c r="K1185" i="2"/>
  <c r="N1184" i="2"/>
  <c r="M1184" i="2"/>
  <c r="L1184" i="2"/>
  <c r="K1184" i="2"/>
  <c r="N1183" i="2"/>
  <c r="M1183" i="2"/>
  <c r="L1183" i="2"/>
  <c r="K1183" i="2"/>
  <c r="N1182" i="2"/>
  <c r="M1182" i="2"/>
  <c r="L1182" i="2"/>
  <c r="K1182" i="2"/>
  <c r="N1181" i="2"/>
  <c r="M1181" i="2"/>
  <c r="L1181" i="2"/>
  <c r="K1181" i="2"/>
  <c r="N1180" i="2"/>
  <c r="M1180" i="2"/>
  <c r="L1180" i="2"/>
  <c r="K1180" i="2"/>
  <c r="N1179" i="2"/>
  <c r="M1179" i="2"/>
  <c r="L1179" i="2"/>
  <c r="K1179" i="2"/>
  <c r="N1178" i="2"/>
  <c r="M1178" i="2"/>
  <c r="L1178" i="2"/>
  <c r="K1178" i="2"/>
  <c r="N1177" i="2"/>
  <c r="M1177" i="2"/>
  <c r="L1177" i="2"/>
  <c r="K1177" i="2"/>
  <c r="N1176" i="2"/>
  <c r="M1176" i="2"/>
  <c r="L1176" i="2"/>
  <c r="K1176" i="2"/>
  <c r="N1175" i="2"/>
  <c r="M1175" i="2"/>
  <c r="L1175" i="2"/>
  <c r="K1175" i="2"/>
  <c r="N1174" i="2"/>
  <c r="M1174" i="2"/>
  <c r="L1174" i="2"/>
  <c r="K1174" i="2"/>
  <c r="N1173" i="2"/>
  <c r="M1173" i="2"/>
  <c r="L1173" i="2"/>
  <c r="K1173" i="2"/>
  <c r="N1172" i="2"/>
  <c r="M1172" i="2"/>
  <c r="L1172" i="2"/>
  <c r="K1172" i="2"/>
  <c r="N1171" i="2"/>
  <c r="M1171" i="2"/>
  <c r="L1171" i="2"/>
  <c r="K1171" i="2"/>
  <c r="N1170" i="2"/>
  <c r="M1170" i="2"/>
  <c r="L1170" i="2"/>
  <c r="K1170" i="2"/>
  <c r="N1169" i="2"/>
  <c r="M1169" i="2"/>
  <c r="L1169" i="2"/>
  <c r="K1169" i="2"/>
  <c r="N1168" i="2"/>
  <c r="M1168" i="2"/>
  <c r="L1168" i="2"/>
  <c r="K1168" i="2"/>
  <c r="N1167" i="2"/>
  <c r="M1167" i="2"/>
  <c r="L1167" i="2"/>
  <c r="K1167" i="2"/>
  <c r="N1166" i="2"/>
  <c r="M1166" i="2"/>
  <c r="L1166" i="2"/>
  <c r="K1166" i="2"/>
  <c r="N1165" i="2"/>
  <c r="M1165" i="2"/>
  <c r="L1165" i="2"/>
  <c r="K1165" i="2"/>
  <c r="N1164" i="2"/>
  <c r="M1164" i="2"/>
  <c r="L1164" i="2"/>
  <c r="K1164" i="2"/>
  <c r="N1163" i="2"/>
  <c r="M1163" i="2"/>
  <c r="L1163" i="2"/>
  <c r="K1163" i="2"/>
  <c r="N1162" i="2"/>
  <c r="M1162" i="2"/>
  <c r="L1162" i="2"/>
  <c r="K1162" i="2"/>
  <c r="N1161" i="2"/>
  <c r="M1161" i="2"/>
  <c r="L1161" i="2"/>
  <c r="K1161" i="2"/>
  <c r="N1160" i="2"/>
  <c r="M1160" i="2"/>
  <c r="L1160" i="2"/>
  <c r="K1160" i="2"/>
  <c r="N1159" i="2"/>
  <c r="M1159" i="2"/>
  <c r="L1159" i="2"/>
  <c r="K1159" i="2"/>
  <c r="N1158" i="2"/>
  <c r="M1158" i="2"/>
  <c r="L1158" i="2"/>
  <c r="K1158" i="2"/>
  <c r="N1157" i="2"/>
  <c r="M1157" i="2"/>
  <c r="L1157" i="2"/>
  <c r="K1157" i="2"/>
  <c r="N1156" i="2"/>
  <c r="M1156" i="2"/>
  <c r="L1156" i="2"/>
  <c r="K1156" i="2"/>
  <c r="N1155" i="2"/>
  <c r="M1155" i="2"/>
  <c r="L1155" i="2"/>
  <c r="K1155" i="2"/>
  <c r="N1154" i="2"/>
  <c r="M1154" i="2"/>
  <c r="L1154" i="2"/>
  <c r="K1154" i="2"/>
  <c r="N1153" i="2"/>
  <c r="M1153" i="2"/>
  <c r="L1153" i="2"/>
  <c r="K1153" i="2"/>
  <c r="N1152" i="2"/>
  <c r="M1152" i="2"/>
  <c r="L1152" i="2"/>
  <c r="K1152" i="2"/>
  <c r="N1151" i="2"/>
  <c r="M1151" i="2"/>
  <c r="L1151" i="2"/>
  <c r="K1151" i="2"/>
  <c r="N1150" i="2"/>
  <c r="M1150" i="2"/>
  <c r="L1150" i="2"/>
  <c r="K1150" i="2"/>
  <c r="N1149" i="2"/>
  <c r="M1149" i="2"/>
  <c r="L1149" i="2"/>
  <c r="K1149" i="2"/>
  <c r="N1148" i="2"/>
  <c r="M1148" i="2"/>
  <c r="L1148" i="2"/>
  <c r="K1148" i="2"/>
  <c r="N1147" i="2"/>
  <c r="M1147" i="2"/>
  <c r="L1147" i="2"/>
  <c r="K1147" i="2"/>
  <c r="N1146" i="2"/>
  <c r="M1146" i="2"/>
  <c r="L1146" i="2"/>
  <c r="K1146" i="2"/>
  <c r="N1145" i="2"/>
  <c r="M1145" i="2"/>
  <c r="L1145" i="2"/>
  <c r="K1145" i="2"/>
  <c r="N1144" i="2"/>
  <c r="M1144" i="2"/>
  <c r="L1144" i="2"/>
  <c r="K1144" i="2"/>
  <c r="N1143" i="2"/>
  <c r="M1143" i="2"/>
  <c r="L1143" i="2"/>
  <c r="K1143" i="2"/>
  <c r="N1142" i="2"/>
  <c r="M1142" i="2"/>
  <c r="L1142" i="2"/>
  <c r="K1142" i="2"/>
  <c r="N1141" i="2"/>
  <c r="M1141" i="2"/>
  <c r="L1141" i="2"/>
  <c r="K1141" i="2"/>
  <c r="N1140" i="2"/>
  <c r="M1140" i="2"/>
  <c r="L1140" i="2"/>
  <c r="K1140" i="2"/>
  <c r="N1139" i="2"/>
  <c r="M1139" i="2"/>
  <c r="L1139" i="2"/>
  <c r="K1139" i="2"/>
  <c r="N1138" i="2"/>
  <c r="M1138" i="2"/>
  <c r="L1138" i="2"/>
  <c r="K1138" i="2"/>
  <c r="N1137" i="2"/>
  <c r="M1137" i="2"/>
  <c r="L1137" i="2"/>
  <c r="K1137" i="2"/>
  <c r="N1136" i="2"/>
  <c r="M1136" i="2"/>
  <c r="L1136" i="2"/>
  <c r="K1136" i="2"/>
  <c r="N1135" i="2"/>
  <c r="M1135" i="2"/>
  <c r="L1135" i="2"/>
  <c r="K1135" i="2"/>
  <c r="N1134" i="2"/>
  <c r="M1134" i="2"/>
  <c r="L1134" i="2"/>
  <c r="K1134" i="2"/>
  <c r="N1133" i="2"/>
  <c r="M1133" i="2"/>
  <c r="L1133" i="2"/>
  <c r="K1133" i="2"/>
  <c r="N1132" i="2"/>
  <c r="M1132" i="2"/>
  <c r="L1132" i="2"/>
  <c r="K1132" i="2"/>
  <c r="N1131" i="2"/>
  <c r="M1131" i="2"/>
  <c r="L1131" i="2"/>
  <c r="K1131" i="2"/>
  <c r="N1130" i="2"/>
  <c r="M1130" i="2"/>
  <c r="L1130" i="2"/>
  <c r="K1130" i="2"/>
  <c r="N1129" i="2"/>
  <c r="M1129" i="2"/>
  <c r="L1129" i="2"/>
  <c r="K1129" i="2"/>
  <c r="N1128" i="2"/>
  <c r="M1128" i="2"/>
  <c r="L1128" i="2"/>
  <c r="K1128" i="2"/>
  <c r="N1127" i="2"/>
  <c r="M1127" i="2"/>
  <c r="L1127" i="2"/>
  <c r="K1127" i="2"/>
  <c r="N1126" i="2"/>
  <c r="M1126" i="2"/>
  <c r="L1126" i="2"/>
  <c r="K1126" i="2"/>
  <c r="N1125" i="2"/>
  <c r="M1125" i="2"/>
  <c r="L1125" i="2"/>
  <c r="K1125" i="2"/>
  <c r="N1124" i="2"/>
  <c r="M1124" i="2"/>
  <c r="L1124" i="2"/>
  <c r="K1124" i="2"/>
  <c r="N1123" i="2"/>
  <c r="M1123" i="2"/>
  <c r="L1123" i="2"/>
  <c r="K1123" i="2"/>
  <c r="N1122" i="2"/>
  <c r="M1122" i="2"/>
  <c r="L1122" i="2"/>
  <c r="K1122" i="2"/>
  <c r="N1121" i="2"/>
  <c r="M1121" i="2"/>
  <c r="L1121" i="2"/>
  <c r="K1121" i="2"/>
  <c r="N1120" i="2"/>
  <c r="M1120" i="2"/>
  <c r="L1120" i="2"/>
  <c r="K1120" i="2"/>
  <c r="N1119" i="2"/>
  <c r="M1119" i="2"/>
  <c r="L1119" i="2"/>
  <c r="K1119" i="2"/>
  <c r="N1118" i="2"/>
  <c r="M1118" i="2"/>
  <c r="L1118" i="2"/>
  <c r="K1118" i="2"/>
  <c r="N1117" i="2"/>
  <c r="M1117" i="2"/>
  <c r="L1117" i="2"/>
  <c r="K1117" i="2"/>
  <c r="N1116" i="2"/>
  <c r="M1116" i="2"/>
  <c r="L1116" i="2"/>
  <c r="K1116" i="2"/>
  <c r="N1115" i="2"/>
  <c r="M1115" i="2"/>
  <c r="L1115" i="2"/>
  <c r="K1115" i="2"/>
  <c r="N1114" i="2"/>
  <c r="M1114" i="2"/>
  <c r="L1114" i="2"/>
  <c r="K1114" i="2"/>
  <c r="N1113" i="2"/>
  <c r="M1113" i="2"/>
  <c r="L1113" i="2"/>
  <c r="K1113" i="2"/>
  <c r="N1112" i="2"/>
  <c r="M1112" i="2"/>
  <c r="L1112" i="2"/>
  <c r="K1112" i="2"/>
  <c r="N1111" i="2"/>
  <c r="M1111" i="2"/>
  <c r="L1111" i="2"/>
  <c r="K1111" i="2"/>
  <c r="N1110" i="2"/>
  <c r="M1110" i="2"/>
  <c r="L1110" i="2"/>
  <c r="K1110" i="2"/>
  <c r="N1109" i="2"/>
  <c r="M1109" i="2"/>
  <c r="L1109" i="2"/>
  <c r="K1109" i="2"/>
  <c r="N1108" i="2"/>
  <c r="M1108" i="2"/>
  <c r="L1108" i="2"/>
  <c r="K1108" i="2"/>
  <c r="N1107" i="2"/>
  <c r="M1107" i="2"/>
  <c r="L1107" i="2"/>
  <c r="K1107" i="2"/>
  <c r="N1106" i="2"/>
  <c r="M1106" i="2"/>
  <c r="L1106" i="2"/>
  <c r="K1106" i="2"/>
  <c r="N1105" i="2"/>
  <c r="M1105" i="2"/>
  <c r="L1105" i="2"/>
  <c r="K1105" i="2"/>
  <c r="N1104" i="2"/>
  <c r="M1104" i="2"/>
  <c r="L1104" i="2"/>
  <c r="K1104" i="2"/>
  <c r="N1103" i="2"/>
  <c r="M1103" i="2"/>
  <c r="L1103" i="2"/>
  <c r="K1103" i="2"/>
  <c r="N1102" i="2"/>
  <c r="M1102" i="2"/>
  <c r="L1102" i="2"/>
  <c r="K1102" i="2"/>
  <c r="N1101" i="2"/>
  <c r="M1101" i="2"/>
  <c r="L1101" i="2"/>
  <c r="K1101" i="2"/>
  <c r="N1100" i="2"/>
  <c r="M1100" i="2"/>
  <c r="L1100" i="2"/>
  <c r="K1100" i="2"/>
  <c r="N1099" i="2"/>
  <c r="M1099" i="2"/>
  <c r="L1099" i="2"/>
  <c r="K1099" i="2"/>
  <c r="N1098" i="2"/>
  <c r="M1098" i="2"/>
  <c r="L1098" i="2"/>
  <c r="K1098" i="2"/>
  <c r="N1097" i="2"/>
  <c r="M1097" i="2"/>
  <c r="L1097" i="2"/>
  <c r="K1097" i="2"/>
  <c r="N1096" i="2"/>
  <c r="M1096" i="2"/>
  <c r="L1096" i="2"/>
  <c r="K1096" i="2"/>
  <c r="N1095" i="2"/>
  <c r="M1095" i="2"/>
  <c r="L1095" i="2"/>
  <c r="K1095" i="2"/>
  <c r="N1094" i="2"/>
  <c r="M1094" i="2"/>
  <c r="L1094" i="2"/>
  <c r="K1094" i="2"/>
  <c r="N1093" i="2"/>
  <c r="M1093" i="2"/>
  <c r="L1093" i="2"/>
  <c r="K1093" i="2"/>
  <c r="N1092" i="2"/>
  <c r="M1092" i="2"/>
  <c r="L1092" i="2"/>
  <c r="K1092" i="2"/>
  <c r="N1091" i="2"/>
  <c r="M1091" i="2"/>
  <c r="L1091" i="2"/>
  <c r="K1091" i="2"/>
  <c r="N1090" i="2"/>
  <c r="M1090" i="2"/>
  <c r="L1090" i="2"/>
  <c r="K1090" i="2"/>
  <c r="N1089" i="2"/>
  <c r="M1089" i="2"/>
  <c r="L1089" i="2"/>
  <c r="K1089" i="2"/>
  <c r="N1088" i="2"/>
  <c r="M1088" i="2"/>
  <c r="L1088" i="2"/>
  <c r="K1088" i="2"/>
  <c r="N1087" i="2"/>
  <c r="M1087" i="2"/>
  <c r="L1087" i="2"/>
  <c r="K1087" i="2"/>
  <c r="N1086" i="2"/>
  <c r="M1086" i="2"/>
  <c r="L1086" i="2"/>
  <c r="K1086" i="2"/>
  <c r="N1085" i="2"/>
  <c r="M1085" i="2"/>
  <c r="L1085" i="2"/>
  <c r="K1085" i="2"/>
  <c r="N1084" i="2"/>
  <c r="M1084" i="2"/>
  <c r="L1084" i="2"/>
  <c r="K1084" i="2"/>
  <c r="N1083" i="2"/>
  <c r="M1083" i="2"/>
  <c r="L1083" i="2"/>
  <c r="K1083" i="2"/>
  <c r="N1082" i="2"/>
  <c r="M1082" i="2"/>
  <c r="L1082" i="2"/>
  <c r="K1082" i="2"/>
  <c r="N1081" i="2"/>
  <c r="M1081" i="2"/>
  <c r="L1081" i="2"/>
  <c r="K1081" i="2"/>
  <c r="N1080" i="2"/>
  <c r="M1080" i="2"/>
  <c r="L1080" i="2"/>
  <c r="K1080" i="2"/>
  <c r="N1079" i="2"/>
  <c r="M1079" i="2"/>
  <c r="L1079" i="2"/>
  <c r="K1079" i="2"/>
  <c r="N1078" i="2"/>
  <c r="M1078" i="2"/>
  <c r="L1078" i="2"/>
  <c r="K1078" i="2"/>
  <c r="N1077" i="2"/>
  <c r="M1077" i="2"/>
  <c r="L1077" i="2"/>
  <c r="K1077" i="2"/>
  <c r="N1076" i="2"/>
  <c r="M1076" i="2"/>
  <c r="L1076" i="2"/>
  <c r="K1076" i="2"/>
  <c r="N1075" i="2"/>
  <c r="M1075" i="2"/>
  <c r="L1075" i="2"/>
  <c r="K1075" i="2"/>
  <c r="N1074" i="2"/>
  <c r="M1074" i="2"/>
  <c r="L1074" i="2"/>
  <c r="K1074" i="2"/>
  <c r="N1073" i="2"/>
  <c r="M1073" i="2"/>
  <c r="L1073" i="2"/>
  <c r="K1073" i="2"/>
  <c r="N1072" i="2"/>
  <c r="M1072" i="2"/>
  <c r="L1072" i="2"/>
  <c r="K1072" i="2"/>
  <c r="N1071" i="2"/>
  <c r="M1071" i="2"/>
  <c r="L1071" i="2"/>
  <c r="K1071" i="2"/>
  <c r="N1070" i="2"/>
  <c r="M1070" i="2"/>
  <c r="L1070" i="2"/>
  <c r="K1070" i="2"/>
  <c r="N1069" i="2"/>
  <c r="M1069" i="2"/>
  <c r="L1069" i="2"/>
  <c r="K1069" i="2"/>
  <c r="N1068" i="2"/>
  <c r="M1068" i="2"/>
  <c r="L1068" i="2"/>
  <c r="K1068" i="2"/>
  <c r="N1067" i="2"/>
  <c r="M1067" i="2"/>
  <c r="L1067" i="2"/>
  <c r="K1067" i="2"/>
  <c r="N1066" i="2"/>
  <c r="M1066" i="2"/>
  <c r="L1066" i="2"/>
  <c r="K1066" i="2"/>
  <c r="N1065" i="2"/>
  <c r="M1065" i="2"/>
  <c r="L1065" i="2"/>
  <c r="K1065" i="2"/>
  <c r="N1064" i="2"/>
  <c r="M1064" i="2"/>
  <c r="L1064" i="2"/>
  <c r="K1064" i="2"/>
  <c r="N1063" i="2"/>
  <c r="M1063" i="2"/>
  <c r="L1063" i="2"/>
  <c r="K1063" i="2"/>
  <c r="N1062" i="2"/>
  <c r="M1062" i="2"/>
  <c r="L1062" i="2"/>
  <c r="K1062" i="2"/>
  <c r="N1061" i="2"/>
  <c r="M1061" i="2"/>
  <c r="L1061" i="2"/>
  <c r="K1061" i="2"/>
  <c r="N1060" i="2"/>
  <c r="M1060" i="2"/>
  <c r="L1060" i="2"/>
  <c r="K1060" i="2"/>
  <c r="N1059" i="2"/>
  <c r="M1059" i="2"/>
  <c r="L1059" i="2"/>
  <c r="K1059" i="2"/>
  <c r="N1058" i="2"/>
  <c r="M1058" i="2"/>
  <c r="L1058" i="2"/>
  <c r="K1058" i="2"/>
  <c r="N1057" i="2"/>
  <c r="M1057" i="2"/>
  <c r="L1057" i="2"/>
  <c r="K1057" i="2"/>
  <c r="N1056" i="2"/>
  <c r="M1056" i="2"/>
  <c r="L1056" i="2"/>
  <c r="K1056" i="2"/>
  <c r="N1055" i="2"/>
  <c r="M1055" i="2"/>
  <c r="L1055" i="2"/>
  <c r="K1055" i="2"/>
  <c r="N1054" i="2"/>
  <c r="M1054" i="2"/>
  <c r="L1054" i="2"/>
  <c r="K1054" i="2"/>
  <c r="N1053" i="2"/>
  <c r="M1053" i="2"/>
  <c r="L1053" i="2"/>
  <c r="K1053" i="2"/>
  <c r="N1052" i="2"/>
  <c r="M1052" i="2"/>
  <c r="L1052" i="2"/>
  <c r="K1052" i="2"/>
  <c r="N1051" i="2"/>
  <c r="M1051" i="2"/>
  <c r="L1051" i="2"/>
  <c r="K1051" i="2"/>
  <c r="N1050" i="2"/>
  <c r="M1050" i="2"/>
  <c r="L1050" i="2"/>
  <c r="K1050" i="2"/>
  <c r="N1049" i="2"/>
  <c r="M1049" i="2"/>
  <c r="L1049" i="2"/>
  <c r="K1049" i="2"/>
  <c r="N1048" i="2"/>
  <c r="M1048" i="2"/>
  <c r="L1048" i="2"/>
  <c r="K1048" i="2"/>
  <c r="N1047" i="2"/>
  <c r="M1047" i="2"/>
  <c r="L1047" i="2"/>
  <c r="K1047" i="2"/>
  <c r="N1046" i="2"/>
  <c r="M1046" i="2"/>
  <c r="L1046" i="2"/>
  <c r="K1046" i="2"/>
  <c r="N1045" i="2"/>
  <c r="M1045" i="2"/>
  <c r="L1045" i="2"/>
  <c r="K1045" i="2"/>
  <c r="N1044" i="2"/>
  <c r="M1044" i="2"/>
  <c r="L1044" i="2"/>
  <c r="K1044" i="2"/>
  <c r="N1043" i="2"/>
  <c r="M1043" i="2"/>
  <c r="L1043" i="2"/>
  <c r="K1043" i="2"/>
  <c r="N1042" i="2"/>
  <c r="M1042" i="2"/>
  <c r="L1042" i="2"/>
  <c r="K1042" i="2"/>
  <c r="N1041" i="2"/>
  <c r="M1041" i="2"/>
  <c r="L1041" i="2"/>
  <c r="K1041" i="2"/>
  <c r="N1040" i="2"/>
  <c r="M1040" i="2"/>
  <c r="L1040" i="2"/>
  <c r="K1040" i="2"/>
  <c r="N1039" i="2"/>
  <c r="M1039" i="2"/>
  <c r="L1039" i="2"/>
  <c r="K1039" i="2"/>
  <c r="N1038" i="2"/>
  <c r="M1038" i="2"/>
  <c r="L1038" i="2"/>
  <c r="K1038" i="2"/>
  <c r="N1037" i="2"/>
  <c r="M1037" i="2"/>
  <c r="L1037" i="2"/>
  <c r="K1037" i="2"/>
  <c r="N1036" i="2"/>
  <c r="M1036" i="2"/>
  <c r="L1036" i="2"/>
  <c r="K1036" i="2"/>
  <c r="N1035" i="2"/>
  <c r="M1035" i="2"/>
  <c r="L1035" i="2"/>
  <c r="K1035" i="2"/>
  <c r="N1034" i="2"/>
  <c r="M1034" i="2"/>
  <c r="L1034" i="2"/>
  <c r="K1034" i="2"/>
  <c r="N1033" i="2"/>
  <c r="M1033" i="2"/>
  <c r="L1033" i="2"/>
  <c r="K1033" i="2"/>
  <c r="N1032" i="2"/>
  <c r="M1032" i="2"/>
  <c r="L1032" i="2"/>
  <c r="K1032" i="2"/>
  <c r="N1031" i="2"/>
  <c r="M1031" i="2"/>
  <c r="L1031" i="2"/>
  <c r="K1031" i="2"/>
  <c r="N1030" i="2"/>
  <c r="M1030" i="2"/>
  <c r="L1030" i="2"/>
  <c r="K1030" i="2"/>
  <c r="N1029" i="2"/>
  <c r="M1029" i="2"/>
  <c r="L1029" i="2"/>
  <c r="K1029" i="2"/>
  <c r="N1028" i="2"/>
  <c r="M1028" i="2"/>
  <c r="L1028" i="2"/>
  <c r="K1028" i="2"/>
  <c r="N1027" i="2"/>
  <c r="M1027" i="2"/>
  <c r="L1027" i="2"/>
  <c r="K1027" i="2"/>
  <c r="N1026" i="2"/>
  <c r="M1026" i="2"/>
  <c r="L1026" i="2"/>
  <c r="K1026" i="2"/>
  <c r="N1025" i="2"/>
  <c r="M1025" i="2"/>
  <c r="L1025" i="2"/>
  <c r="K1025" i="2"/>
  <c r="N1024" i="2"/>
  <c r="M1024" i="2"/>
  <c r="L1024" i="2"/>
  <c r="K1024" i="2"/>
  <c r="N1023" i="2"/>
  <c r="M1023" i="2"/>
  <c r="L1023" i="2"/>
  <c r="K1023" i="2"/>
  <c r="N1022" i="2"/>
  <c r="M1022" i="2"/>
  <c r="L1022" i="2"/>
  <c r="K1022" i="2"/>
  <c r="N1021" i="2"/>
  <c r="M1021" i="2"/>
  <c r="L1021" i="2"/>
  <c r="K1021" i="2"/>
  <c r="N1020" i="2"/>
  <c r="M1020" i="2"/>
  <c r="L1020" i="2"/>
  <c r="K1020" i="2"/>
  <c r="N1019" i="2"/>
  <c r="M1019" i="2"/>
  <c r="L1019" i="2"/>
  <c r="K1019" i="2"/>
  <c r="N1018" i="2"/>
  <c r="M1018" i="2"/>
  <c r="L1018" i="2"/>
  <c r="K1018" i="2"/>
  <c r="N1017" i="2"/>
  <c r="M1017" i="2"/>
  <c r="L1017" i="2"/>
  <c r="K1017" i="2"/>
  <c r="N1016" i="2"/>
  <c r="M1016" i="2"/>
  <c r="L1016" i="2"/>
  <c r="K1016" i="2"/>
  <c r="N1015" i="2"/>
  <c r="M1015" i="2"/>
  <c r="L1015" i="2"/>
  <c r="K1015" i="2"/>
  <c r="N1014" i="2"/>
  <c r="M1014" i="2"/>
  <c r="L1014" i="2"/>
  <c r="K1014" i="2"/>
  <c r="N1013" i="2"/>
  <c r="M1013" i="2"/>
  <c r="L1013" i="2"/>
  <c r="K1013" i="2"/>
  <c r="N1012" i="2"/>
  <c r="M1012" i="2"/>
  <c r="L1012" i="2"/>
  <c r="K1012" i="2"/>
  <c r="N1011" i="2"/>
  <c r="M1011" i="2"/>
  <c r="L1011" i="2"/>
  <c r="K1011" i="2"/>
  <c r="N1010" i="2"/>
  <c r="M1010" i="2"/>
  <c r="L1010" i="2"/>
  <c r="K1010" i="2"/>
  <c r="N1009" i="2"/>
  <c r="M1009" i="2"/>
  <c r="L1009" i="2"/>
  <c r="K1009" i="2"/>
  <c r="N1008" i="2"/>
  <c r="M1008" i="2"/>
  <c r="L1008" i="2"/>
  <c r="K1008" i="2"/>
  <c r="N1007" i="2"/>
  <c r="M1007" i="2"/>
  <c r="L1007" i="2"/>
  <c r="K1007" i="2"/>
  <c r="N1006" i="2"/>
  <c r="M1006" i="2"/>
  <c r="L1006" i="2"/>
  <c r="K1006" i="2"/>
  <c r="N1005" i="2"/>
  <c r="M1005" i="2"/>
  <c r="L1005" i="2"/>
  <c r="K1005" i="2"/>
  <c r="N1004" i="2"/>
  <c r="M1004" i="2"/>
  <c r="L1004" i="2"/>
  <c r="K1004" i="2"/>
  <c r="N1003" i="2"/>
  <c r="M1003" i="2"/>
  <c r="L1003" i="2"/>
  <c r="K1003" i="2"/>
  <c r="N1002" i="2"/>
  <c r="M1002" i="2"/>
  <c r="L1002" i="2"/>
  <c r="K1002" i="2"/>
  <c r="N1001" i="2"/>
  <c r="M1001" i="2"/>
  <c r="L1001" i="2"/>
  <c r="K1001" i="2"/>
  <c r="N1000" i="2"/>
  <c r="M1000" i="2"/>
  <c r="L1000" i="2"/>
  <c r="K1000" i="2"/>
  <c r="N999" i="2"/>
  <c r="M999" i="2"/>
  <c r="L999" i="2"/>
  <c r="K999" i="2"/>
  <c r="N998" i="2"/>
  <c r="M998" i="2"/>
  <c r="L998" i="2"/>
  <c r="K998" i="2"/>
  <c r="N997" i="2"/>
  <c r="M997" i="2"/>
  <c r="L997" i="2"/>
  <c r="K997" i="2"/>
  <c r="N996" i="2"/>
  <c r="M996" i="2"/>
  <c r="L996" i="2"/>
  <c r="K996" i="2"/>
  <c r="N995" i="2"/>
  <c r="M995" i="2"/>
  <c r="L995" i="2"/>
  <c r="K995" i="2"/>
  <c r="N994" i="2"/>
  <c r="M994" i="2"/>
  <c r="L994" i="2"/>
  <c r="K994" i="2"/>
  <c r="N993" i="2"/>
  <c r="M993" i="2"/>
  <c r="L993" i="2"/>
  <c r="K993" i="2"/>
  <c r="N992" i="2"/>
  <c r="M992" i="2"/>
  <c r="L992" i="2"/>
  <c r="K992" i="2"/>
  <c r="N991" i="2"/>
  <c r="M991" i="2"/>
  <c r="L991" i="2"/>
  <c r="K991" i="2"/>
  <c r="N990" i="2"/>
  <c r="M990" i="2"/>
  <c r="L990" i="2"/>
  <c r="K990" i="2"/>
  <c r="N989" i="2"/>
  <c r="M989" i="2"/>
  <c r="L989" i="2"/>
  <c r="K989" i="2"/>
  <c r="N988" i="2"/>
  <c r="M988" i="2"/>
  <c r="L988" i="2"/>
  <c r="K988" i="2"/>
  <c r="N987" i="2"/>
  <c r="M987" i="2"/>
  <c r="L987" i="2"/>
  <c r="K987" i="2"/>
  <c r="N986" i="2"/>
  <c r="M986" i="2"/>
  <c r="L986" i="2"/>
  <c r="K986" i="2"/>
  <c r="N985" i="2"/>
  <c r="M985" i="2"/>
  <c r="L985" i="2"/>
  <c r="K985" i="2"/>
  <c r="N984" i="2"/>
  <c r="M984" i="2"/>
  <c r="L984" i="2"/>
  <c r="K984" i="2"/>
  <c r="N983" i="2"/>
  <c r="M983" i="2"/>
  <c r="L983" i="2"/>
  <c r="K983" i="2"/>
  <c r="N982" i="2"/>
  <c r="M982" i="2"/>
  <c r="L982" i="2"/>
  <c r="K982" i="2"/>
  <c r="N981" i="2"/>
  <c r="M981" i="2"/>
  <c r="L981" i="2"/>
  <c r="K981" i="2"/>
  <c r="N980" i="2"/>
  <c r="M980" i="2"/>
  <c r="L980" i="2"/>
  <c r="K980" i="2"/>
  <c r="N979" i="2"/>
  <c r="M979" i="2"/>
  <c r="L979" i="2"/>
  <c r="K979" i="2"/>
  <c r="N978" i="2"/>
  <c r="M978" i="2"/>
  <c r="L978" i="2"/>
  <c r="K978" i="2"/>
  <c r="N977" i="2"/>
  <c r="M977" i="2"/>
  <c r="L977" i="2"/>
  <c r="K977" i="2"/>
  <c r="N976" i="2"/>
  <c r="M976" i="2"/>
  <c r="L976" i="2"/>
  <c r="K976" i="2"/>
  <c r="N975" i="2"/>
  <c r="M975" i="2"/>
  <c r="L975" i="2"/>
  <c r="K975" i="2"/>
  <c r="N974" i="2"/>
  <c r="M974" i="2"/>
  <c r="L974" i="2"/>
  <c r="K974" i="2"/>
  <c r="N973" i="2"/>
  <c r="M973" i="2"/>
  <c r="L973" i="2"/>
  <c r="K973" i="2"/>
  <c r="N972" i="2"/>
  <c r="M972" i="2"/>
  <c r="L972" i="2"/>
  <c r="K972" i="2"/>
  <c r="N971" i="2"/>
  <c r="M971" i="2"/>
  <c r="L971" i="2"/>
  <c r="K971" i="2"/>
  <c r="N970" i="2"/>
  <c r="M970" i="2"/>
  <c r="L970" i="2"/>
  <c r="K970" i="2"/>
  <c r="N969" i="2"/>
  <c r="M969" i="2"/>
  <c r="L969" i="2"/>
  <c r="K969" i="2"/>
  <c r="N968" i="2"/>
  <c r="M968" i="2"/>
  <c r="L968" i="2"/>
  <c r="K968" i="2"/>
  <c r="N967" i="2"/>
  <c r="M967" i="2"/>
  <c r="L967" i="2"/>
  <c r="K967" i="2"/>
  <c r="N966" i="2"/>
  <c r="M966" i="2"/>
  <c r="L966" i="2"/>
  <c r="K966" i="2"/>
  <c r="N965" i="2"/>
  <c r="M965" i="2"/>
  <c r="L965" i="2"/>
  <c r="K965" i="2"/>
  <c r="N964" i="2"/>
  <c r="M964" i="2"/>
  <c r="L964" i="2"/>
  <c r="K964" i="2"/>
  <c r="N963" i="2"/>
  <c r="M963" i="2"/>
  <c r="L963" i="2"/>
  <c r="K963" i="2"/>
  <c r="N962" i="2"/>
  <c r="M962" i="2"/>
  <c r="L962" i="2"/>
  <c r="K962" i="2"/>
  <c r="N961" i="2"/>
  <c r="M961" i="2"/>
  <c r="L961" i="2"/>
  <c r="K961" i="2"/>
  <c r="N960" i="2"/>
  <c r="M960" i="2"/>
  <c r="L960" i="2"/>
  <c r="K960" i="2"/>
  <c r="N959" i="2"/>
  <c r="M959" i="2"/>
  <c r="L959" i="2"/>
  <c r="K959" i="2"/>
  <c r="N958" i="2"/>
  <c r="M958" i="2"/>
  <c r="L958" i="2"/>
  <c r="K958" i="2"/>
  <c r="N957" i="2"/>
  <c r="M957" i="2"/>
  <c r="L957" i="2"/>
  <c r="K957" i="2"/>
  <c r="N956" i="2"/>
  <c r="M956" i="2"/>
  <c r="L956" i="2"/>
  <c r="K956" i="2"/>
  <c r="N955" i="2"/>
  <c r="M955" i="2"/>
  <c r="L955" i="2"/>
  <c r="K955" i="2"/>
  <c r="N954" i="2"/>
  <c r="M954" i="2"/>
  <c r="L954" i="2"/>
  <c r="K954" i="2"/>
  <c r="N953" i="2"/>
  <c r="M953" i="2"/>
  <c r="L953" i="2"/>
  <c r="K953" i="2"/>
  <c r="N952" i="2"/>
  <c r="M952" i="2"/>
  <c r="L952" i="2"/>
  <c r="K952" i="2"/>
  <c r="N951" i="2"/>
  <c r="M951" i="2"/>
  <c r="L951" i="2"/>
  <c r="K951" i="2"/>
  <c r="N950" i="2"/>
  <c r="M950" i="2"/>
  <c r="L950" i="2"/>
  <c r="K950" i="2"/>
  <c r="N949" i="2"/>
  <c r="M949" i="2"/>
  <c r="L949" i="2"/>
  <c r="K949" i="2"/>
  <c r="N948" i="2"/>
  <c r="M948" i="2"/>
  <c r="L948" i="2"/>
  <c r="K948" i="2"/>
  <c r="N947" i="2"/>
  <c r="M947" i="2"/>
  <c r="L947" i="2"/>
  <c r="K947" i="2"/>
  <c r="N946" i="2"/>
  <c r="M946" i="2"/>
  <c r="L946" i="2"/>
  <c r="K946" i="2"/>
  <c r="N945" i="2"/>
  <c r="M945" i="2"/>
  <c r="L945" i="2"/>
  <c r="K945" i="2"/>
  <c r="N944" i="2"/>
  <c r="M944" i="2"/>
  <c r="L944" i="2"/>
  <c r="K944" i="2"/>
  <c r="N943" i="2"/>
  <c r="M943" i="2"/>
  <c r="L943" i="2"/>
  <c r="K943" i="2"/>
  <c r="N942" i="2"/>
  <c r="M942" i="2"/>
  <c r="L942" i="2"/>
  <c r="K942" i="2"/>
  <c r="N941" i="2"/>
  <c r="M941" i="2"/>
  <c r="L941" i="2"/>
  <c r="K941" i="2"/>
  <c r="N940" i="2"/>
  <c r="M940" i="2"/>
  <c r="L940" i="2"/>
  <c r="K940" i="2"/>
  <c r="N939" i="2"/>
  <c r="M939" i="2"/>
  <c r="L939" i="2"/>
  <c r="K939" i="2"/>
  <c r="N938" i="2"/>
  <c r="M938" i="2"/>
  <c r="L938" i="2"/>
  <c r="K938" i="2"/>
  <c r="N937" i="2"/>
  <c r="M937" i="2"/>
  <c r="L937" i="2"/>
  <c r="K937" i="2"/>
  <c r="N936" i="2"/>
  <c r="M936" i="2"/>
  <c r="L936" i="2"/>
  <c r="K936" i="2"/>
  <c r="N935" i="2"/>
  <c r="M935" i="2"/>
  <c r="L935" i="2"/>
  <c r="K935" i="2"/>
  <c r="N934" i="2"/>
  <c r="M934" i="2"/>
  <c r="L934" i="2"/>
  <c r="K934" i="2"/>
  <c r="N933" i="2"/>
  <c r="M933" i="2"/>
  <c r="L933" i="2"/>
  <c r="K933" i="2"/>
  <c r="N932" i="2"/>
  <c r="M932" i="2"/>
  <c r="L932" i="2"/>
  <c r="K932" i="2"/>
  <c r="N931" i="2"/>
  <c r="M931" i="2"/>
  <c r="L931" i="2"/>
  <c r="K931" i="2"/>
  <c r="N930" i="2"/>
  <c r="M930" i="2"/>
  <c r="L930" i="2"/>
  <c r="K930" i="2"/>
  <c r="N929" i="2"/>
  <c r="M929" i="2"/>
  <c r="L929" i="2"/>
  <c r="K929" i="2"/>
  <c r="N928" i="2"/>
  <c r="M928" i="2"/>
  <c r="L928" i="2"/>
  <c r="K928" i="2"/>
  <c r="N927" i="2"/>
  <c r="M927" i="2"/>
  <c r="L927" i="2"/>
  <c r="K927" i="2"/>
  <c r="N926" i="2"/>
  <c r="M926" i="2"/>
  <c r="L926" i="2"/>
  <c r="K926" i="2"/>
  <c r="N925" i="2"/>
  <c r="M925" i="2"/>
  <c r="L925" i="2"/>
  <c r="K925" i="2"/>
  <c r="N924" i="2"/>
  <c r="M924" i="2"/>
  <c r="L924" i="2"/>
  <c r="K924" i="2"/>
  <c r="N923" i="2"/>
  <c r="M923" i="2"/>
  <c r="L923" i="2"/>
  <c r="K923" i="2"/>
  <c r="N922" i="2"/>
  <c r="M922" i="2"/>
  <c r="L922" i="2"/>
  <c r="K922" i="2"/>
  <c r="N921" i="2"/>
  <c r="M921" i="2"/>
  <c r="L921" i="2"/>
  <c r="K921" i="2"/>
  <c r="N920" i="2"/>
  <c r="M920" i="2"/>
  <c r="L920" i="2"/>
  <c r="K920" i="2"/>
  <c r="N919" i="2"/>
  <c r="M919" i="2"/>
  <c r="L919" i="2"/>
  <c r="K919" i="2"/>
  <c r="N918" i="2"/>
  <c r="M918" i="2"/>
  <c r="L918" i="2"/>
  <c r="K918" i="2"/>
  <c r="N917" i="2"/>
  <c r="M917" i="2"/>
  <c r="L917" i="2"/>
  <c r="K917" i="2"/>
  <c r="N916" i="2"/>
  <c r="M916" i="2"/>
  <c r="L916" i="2"/>
  <c r="K916" i="2"/>
  <c r="N915" i="2"/>
  <c r="M915" i="2"/>
  <c r="L915" i="2"/>
  <c r="K915" i="2"/>
  <c r="N914" i="2"/>
  <c r="M914" i="2"/>
  <c r="L914" i="2"/>
  <c r="K914" i="2"/>
  <c r="N913" i="2"/>
  <c r="M913" i="2"/>
  <c r="L913" i="2"/>
  <c r="K913" i="2"/>
  <c r="N912" i="2"/>
  <c r="M912" i="2"/>
  <c r="L912" i="2"/>
  <c r="K912" i="2"/>
  <c r="N911" i="2"/>
  <c r="M911" i="2"/>
  <c r="L911" i="2"/>
  <c r="K911" i="2"/>
  <c r="N910" i="2"/>
  <c r="M910" i="2"/>
  <c r="L910" i="2"/>
  <c r="K910" i="2"/>
  <c r="N909" i="2"/>
  <c r="M909" i="2"/>
  <c r="L909" i="2"/>
  <c r="K909" i="2"/>
  <c r="N908" i="2"/>
  <c r="M908" i="2"/>
  <c r="L908" i="2"/>
  <c r="K908" i="2"/>
  <c r="N907" i="2"/>
  <c r="M907" i="2"/>
  <c r="L907" i="2"/>
  <c r="K907" i="2"/>
  <c r="N906" i="2"/>
  <c r="M906" i="2"/>
  <c r="L906" i="2"/>
  <c r="K906" i="2"/>
  <c r="N905" i="2"/>
  <c r="M905" i="2"/>
  <c r="L905" i="2"/>
  <c r="K905" i="2"/>
  <c r="N904" i="2"/>
  <c r="M904" i="2"/>
  <c r="L904" i="2"/>
  <c r="K904" i="2"/>
  <c r="N903" i="2"/>
  <c r="M903" i="2"/>
  <c r="L903" i="2"/>
  <c r="K903" i="2"/>
  <c r="N902" i="2"/>
  <c r="M902" i="2"/>
  <c r="L902" i="2"/>
  <c r="K902" i="2"/>
  <c r="N901" i="2"/>
  <c r="M901" i="2"/>
  <c r="L901" i="2"/>
  <c r="K901" i="2"/>
  <c r="N900" i="2"/>
  <c r="M900" i="2"/>
  <c r="L900" i="2"/>
  <c r="K900" i="2"/>
  <c r="N899" i="2"/>
  <c r="M899" i="2"/>
  <c r="L899" i="2"/>
  <c r="K899" i="2"/>
  <c r="N898" i="2"/>
  <c r="M898" i="2"/>
  <c r="L898" i="2"/>
  <c r="K898" i="2"/>
  <c r="N897" i="2"/>
  <c r="M897" i="2"/>
  <c r="L897" i="2"/>
  <c r="K897" i="2"/>
  <c r="N896" i="2"/>
  <c r="M896" i="2"/>
  <c r="L896" i="2"/>
  <c r="K896" i="2"/>
  <c r="N895" i="2"/>
  <c r="M895" i="2"/>
  <c r="L895" i="2"/>
  <c r="K895" i="2"/>
  <c r="N894" i="2"/>
  <c r="M894" i="2"/>
  <c r="L894" i="2"/>
  <c r="K894" i="2"/>
  <c r="N893" i="2"/>
  <c r="M893" i="2"/>
  <c r="L893" i="2"/>
  <c r="K893" i="2"/>
  <c r="N892" i="2"/>
  <c r="M892" i="2"/>
  <c r="L892" i="2"/>
  <c r="K892" i="2"/>
  <c r="N891" i="2"/>
  <c r="M891" i="2"/>
  <c r="L891" i="2"/>
  <c r="K891" i="2"/>
  <c r="N890" i="2"/>
  <c r="M890" i="2"/>
  <c r="L890" i="2"/>
  <c r="K890" i="2"/>
  <c r="N889" i="2"/>
  <c r="M889" i="2"/>
  <c r="L889" i="2"/>
  <c r="K889" i="2"/>
  <c r="N888" i="2"/>
  <c r="M888" i="2"/>
  <c r="L888" i="2"/>
  <c r="K888" i="2"/>
  <c r="N887" i="2"/>
  <c r="M887" i="2"/>
  <c r="L887" i="2"/>
  <c r="K887" i="2"/>
  <c r="N886" i="2"/>
  <c r="M886" i="2"/>
  <c r="L886" i="2"/>
  <c r="K886" i="2"/>
  <c r="N885" i="2"/>
  <c r="M885" i="2"/>
  <c r="L885" i="2"/>
  <c r="K885" i="2"/>
  <c r="N884" i="2"/>
  <c r="M884" i="2"/>
  <c r="L884" i="2"/>
  <c r="K884" i="2"/>
  <c r="N883" i="2"/>
  <c r="M883" i="2"/>
  <c r="L883" i="2"/>
  <c r="K883" i="2"/>
  <c r="N882" i="2"/>
  <c r="M882" i="2"/>
  <c r="L882" i="2"/>
  <c r="K882" i="2"/>
  <c r="N881" i="2"/>
  <c r="M881" i="2"/>
  <c r="L881" i="2"/>
  <c r="K881" i="2"/>
  <c r="N880" i="2"/>
  <c r="M880" i="2"/>
  <c r="L880" i="2"/>
  <c r="K880" i="2"/>
  <c r="N879" i="2"/>
  <c r="M879" i="2"/>
  <c r="L879" i="2"/>
  <c r="K879" i="2"/>
  <c r="N878" i="2"/>
  <c r="M878" i="2"/>
  <c r="L878" i="2"/>
  <c r="K878" i="2"/>
  <c r="N877" i="2"/>
  <c r="M877" i="2"/>
  <c r="L877" i="2"/>
  <c r="K877" i="2"/>
  <c r="N876" i="2"/>
  <c r="M876" i="2"/>
  <c r="L876" i="2"/>
  <c r="K876" i="2"/>
  <c r="N875" i="2"/>
  <c r="M875" i="2"/>
  <c r="L875" i="2"/>
  <c r="K875" i="2"/>
  <c r="N874" i="2"/>
  <c r="M874" i="2"/>
  <c r="L874" i="2"/>
  <c r="K874" i="2"/>
  <c r="N873" i="2"/>
  <c r="M873" i="2"/>
  <c r="L873" i="2"/>
  <c r="K873" i="2"/>
  <c r="N872" i="2"/>
  <c r="M872" i="2"/>
  <c r="L872" i="2"/>
  <c r="K872" i="2"/>
  <c r="N871" i="2"/>
  <c r="M871" i="2"/>
  <c r="L871" i="2"/>
  <c r="K871" i="2"/>
  <c r="N870" i="2"/>
  <c r="M870" i="2"/>
  <c r="L870" i="2"/>
  <c r="K870" i="2"/>
  <c r="N869" i="2"/>
  <c r="M869" i="2"/>
  <c r="L869" i="2"/>
  <c r="K869" i="2"/>
  <c r="N868" i="2"/>
  <c r="M868" i="2"/>
  <c r="L868" i="2"/>
  <c r="K868" i="2"/>
  <c r="N867" i="2"/>
  <c r="M867" i="2"/>
  <c r="L867" i="2"/>
  <c r="K867" i="2"/>
  <c r="N866" i="2"/>
  <c r="M866" i="2"/>
  <c r="L866" i="2"/>
  <c r="K866" i="2"/>
  <c r="N865" i="2"/>
  <c r="M865" i="2"/>
  <c r="L865" i="2"/>
  <c r="K865" i="2"/>
  <c r="N864" i="2"/>
  <c r="M864" i="2"/>
  <c r="L864" i="2"/>
  <c r="K864" i="2"/>
  <c r="N863" i="2"/>
  <c r="M863" i="2"/>
  <c r="L863" i="2"/>
  <c r="K863" i="2"/>
  <c r="N862" i="2"/>
  <c r="M862" i="2"/>
  <c r="L862" i="2"/>
  <c r="K862" i="2"/>
  <c r="N861" i="2"/>
  <c r="M861" i="2"/>
  <c r="L861" i="2"/>
  <c r="K861" i="2"/>
  <c r="N860" i="2"/>
  <c r="M860" i="2"/>
  <c r="L860" i="2"/>
  <c r="K860" i="2"/>
  <c r="N859" i="2"/>
  <c r="M859" i="2"/>
  <c r="L859" i="2"/>
  <c r="K859" i="2"/>
  <c r="N858" i="2"/>
  <c r="M858" i="2"/>
  <c r="L858" i="2"/>
  <c r="K858" i="2"/>
  <c r="N857" i="2"/>
  <c r="M857" i="2"/>
  <c r="L857" i="2"/>
  <c r="K857" i="2"/>
  <c r="N856" i="2"/>
  <c r="M856" i="2"/>
  <c r="L856" i="2"/>
  <c r="K856" i="2"/>
  <c r="N855" i="2"/>
  <c r="M855" i="2"/>
  <c r="L855" i="2"/>
  <c r="K855" i="2"/>
  <c r="N854" i="2"/>
  <c r="M854" i="2"/>
  <c r="L854" i="2"/>
  <c r="K854" i="2"/>
  <c r="N853" i="2"/>
  <c r="M853" i="2"/>
  <c r="L853" i="2"/>
  <c r="K853" i="2"/>
  <c r="N852" i="2"/>
  <c r="M852" i="2"/>
  <c r="L852" i="2"/>
  <c r="K852" i="2"/>
  <c r="N851" i="2"/>
  <c r="M851" i="2"/>
  <c r="L851" i="2"/>
  <c r="K851" i="2"/>
  <c r="N850" i="2"/>
  <c r="M850" i="2"/>
  <c r="L850" i="2"/>
  <c r="K850" i="2"/>
  <c r="N849" i="2"/>
  <c r="M849" i="2"/>
  <c r="L849" i="2"/>
  <c r="K849" i="2"/>
  <c r="N848" i="2"/>
  <c r="M848" i="2"/>
  <c r="L848" i="2"/>
  <c r="K848" i="2"/>
  <c r="N847" i="2"/>
  <c r="M847" i="2"/>
  <c r="L847" i="2"/>
  <c r="K847" i="2"/>
  <c r="N846" i="2"/>
  <c r="M846" i="2"/>
  <c r="L846" i="2"/>
  <c r="K846" i="2"/>
  <c r="N845" i="2"/>
  <c r="M845" i="2"/>
  <c r="L845" i="2"/>
  <c r="K845" i="2"/>
  <c r="N844" i="2"/>
  <c r="M844" i="2"/>
  <c r="L844" i="2"/>
  <c r="K844" i="2"/>
  <c r="N843" i="2"/>
  <c r="M843" i="2"/>
  <c r="L843" i="2"/>
  <c r="K843" i="2"/>
  <c r="N842" i="2"/>
  <c r="M842" i="2"/>
  <c r="L842" i="2"/>
  <c r="K842" i="2"/>
  <c r="N841" i="2"/>
  <c r="M841" i="2"/>
  <c r="L841" i="2"/>
  <c r="K841" i="2"/>
  <c r="N840" i="2"/>
  <c r="M840" i="2"/>
  <c r="L840" i="2"/>
  <c r="K840" i="2"/>
  <c r="N839" i="2"/>
  <c r="M839" i="2"/>
  <c r="L839" i="2"/>
  <c r="K839" i="2"/>
  <c r="N838" i="2"/>
  <c r="M838" i="2"/>
  <c r="L838" i="2"/>
  <c r="K838" i="2"/>
  <c r="N837" i="2"/>
  <c r="M837" i="2"/>
  <c r="L837" i="2"/>
  <c r="K837" i="2"/>
  <c r="N836" i="2"/>
  <c r="M836" i="2"/>
  <c r="L836" i="2"/>
  <c r="K836" i="2"/>
  <c r="N835" i="2"/>
  <c r="M835" i="2"/>
  <c r="L835" i="2"/>
  <c r="K835" i="2"/>
  <c r="N834" i="2"/>
  <c r="M834" i="2"/>
  <c r="L834" i="2"/>
  <c r="K834" i="2"/>
  <c r="N833" i="2"/>
  <c r="M833" i="2"/>
  <c r="L833" i="2"/>
  <c r="K833" i="2"/>
  <c r="N832" i="2"/>
  <c r="M832" i="2"/>
  <c r="L832" i="2"/>
  <c r="K832" i="2"/>
  <c r="N831" i="2"/>
  <c r="M831" i="2"/>
  <c r="L831" i="2"/>
  <c r="K831" i="2"/>
  <c r="N830" i="2"/>
  <c r="M830" i="2"/>
  <c r="L830" i="2"/>
  <c r="K830" i="2"/>
  <c r="N829" i="2"/>
  <c r="M829" i="2"/>
  <c r="L829" i="2"/>
  <c r="K829" i="2"/>
  <c r="N828" i="2"/>
  <c r="M828" i="2"/>
  <c r="L828" i="2"/>
  <c r="K828" i="2"/>
  <c r="N827" i="2"/>
  <c r="M827" i="2"/>
  <c r="L827" i="2"/>
  <c r="K827" i="2"/>
  <c r="N826" i="2"/>
  <c r="M826" i="2"/>
  <c r="L826" i="2"/>
  <c r="K826" i="2"/>
  <c r="N825" i="2"/>
  <c r="M825" i="2"/>
  <c r="L825" i="2"/>
  <c r="K825" i="2"/>
  <c r="N824" i="2"/>
  <c r="M824" i="2"/>
  <c r="L824" i="2"/>
  <c r="K824" i="2"/>
  <c r="N823" i="2"/>
  <c r="M823" i="2"/>
  <c r="L823" i="2"/>
  <c r="K823" i="2"/>
  <c r="N822" i="2"/>
  <c r="M822" i="2"/>
  <c r="L822" i="2"/>
  <c r="K822" i="2"/>
  <c r="N821" i="2"/>
  <c r="M821" i="2"/>
  <c r="L821" i="2"/>
  <c r="K821" i="2"/>
  <c r="N820" i="2"/>
  <c r="M820" i="2"/>
  <c r="L820" i="2"/>
  <c r="K820" i="2"/>
  <c r="N819" i="2"/>
  <c r="M819" i="2"/>
  <c r="L819" i="2"/>
  <c r="K819" i="2"/>
  <c r="N818" i="2"/>
  <c r="M818" i="2"/>
  <c r="L818" i="2"/>
  <c r="K818" i="2"/>
  <c r="N817" i="2"/>
  <c r="M817" i="2"/>
  <c r="L817" i="2"/>
  <c r="K817" i="2"/>
  <c r="N816" i="2"/>
  <c r="M816" i="2"/>
  <c r="L816" i="2"/>
  <c r="K816" i="2"/>
  <c r="N815" i="2"/>
  <c r="M815" i="2"/>
  <c r="L815" i="2"/>
  <c r="K815" i="2"/>
  <c r="N814" i="2"/>
  <c r="M814" i="2"/>
  <c r="L814" i="2"/>
  <c r="K814" i="2"/>
  <c r="N813" i="2"/>
  <c r="M813" i="2"/>
  <c r="L813" i="2"/>
  <c r="K813" i="2"/>
  <c r="N812" i="2"/>
  <c r="M812" i="2"/>
  <c r="L812" i="2"/>
  <c r="K812" i="2"/>
  <c r="N811" i="2"/>
  <c r="M811" i="2"/>
  <c r="L811" i="2"/>
  <c r="K811" i="2"/>
  <c r="N810" i="2"/>
  <c r="M810" i="2"/>
  <c r="L810" i="2"/>
  <c r="K810" i="2"/>
  <c r="N809" i="2"/>
  <c r="M809" i="2"/>
  <c r="L809" i="2"/>
  <c r="K809" i="2"/>
  <c r="N808" i="2"/>
  <c r="M808" i="2"/>
  <c r="L808" i="2"/>
  <c r="K808" i="2"/>
  <c r="N807" i="2"/>
  <c r="M807" i="2"/>
  <c r="L807" i="2"/>
  <c r="K807" i="2"/>
  <c r="N806" i="2"/>
  <c r="M806" i="2"/>
  <c r="L806" i="2"/>
  <c r="K806" i="2"/>
  <c r="N805" i="2"/>
  <c r="M805" i="2"/>
  <c r="L805" i="2"/>
  <c r="K805" i="2"/>
  <c r="N804" i="2"/>
  <c r="M804" i="2"/>
  <c r="L804" i="2"/>
  <c r="K804" i="2"/>
  <c r="N803" i="2"/>
  <c r="M803" i="2"/>
  <c r="L803" i="2"/>
  <c r="K803" i="2"/>
  <c r="N802" i="2"/>
  <c r="M802" i="2"/>
  <c r="L802" i="2"/>
  <c r="K802" i="2"/>
  <c r="N801" i="2"/>
  <c r="M801" i="2"/>
  <c r="L801" i="2"/>
  <c r="K801" i="2"/>
  <c r="N800" i="2"/>
  <c r="M800" i="2"/>
  <c r="L800" i="2"/>
  <c r="K800" i="2"/>
  <c r="N799" i="2"/>
  <c r="M799" i="2"/>
  <c r="L799" i="2"/>
  <c r="K799" i="2"/>
  <c r="N798" i="2"/>
  <c r="M798" i="2"/>
  <c r="L798" i="2"/>
  <c r="K798" i="2"/>
  <c r="N797" i="2"/>
  <c r="M797" i="2"/>
  <c r="L797" i="2"/>
  <c r="K797" i="2"/>
  <c r="N796" i="2"/>
  <c r="M796" i="2"/>
  <c r="L796" i="2"/>
  <c r="K796" i="2"/>
  <c r="N795" i="2"/>
  <c r="M795" i="2"/>
  <c r="L795" i="2"/>
  <c r="K795" i="2"/>
  <c r="N794" i="2"/>
  <c r="M794" i="2"/>
  <c r="L794" i="2"/>
  <c r="K794" i="2"/>
  <c r="N793" i="2"/>
  <c r="M793" i="2"/>
  <c r="L793" i="2"/>
  <c r="K793" i="2"/>
  <c r="N792" i="2"/>
  <c r="M792" i="2"/>
  <c r="L792" i="2"/>
  <c r="K792" i="2"/>
  <c r="N791" i="2"/>
  <c r="M791" i="2"/>
  <c r="L791" i="2"/>
  <c r="K791" i="2"/>
  <c r="N790" i="2"/>
  <c r="M790" i="2"/>
  <c r="L790" i="2"/>
  <c r="K790" i="2"/>
  <c r="N789" i="2"/>
  <c r="M789" i="2"/>
  <c r="L789" i="2"/>
  <c r="K789" i="2"/>
  <c r="N788" i="2"/>
  <c r="M788" i="2"/>
  <c r="L788" i="2"/>
  <c r="K788" i="2"/>
  <c r="N787" i="2"/>
  <c r="M787" i="2"/>
  <c r="L787" i="2"/>
  <c r="K787" i="2"/>
  <c r="N786" i="2"/>
  <c r="M786" i="2"/>
  <c r="L786" i="2"/>
  <c r="K786" i="2"/>
  <c r="N785" i="2"/>
  <c r="M785" i="2"/>
  <c r="L785" i="2"/>
  <c r="K785" i="2"/>
  <c r="N784" i="2"/>
  <c r="M784" i="2"/>
  <c r="L784" i="2"/>
  <c r="K784" i="2"/>
  <c r="N783" i="2"/>
  <c r="M783" i="2"/>
  <c r="L783" i="2"/>
  <c r="K783" i="2"/>
  <c r="N782" i="2"/>
  <c r="M782" i="2"/>
  <c r="L782" i="2"/>
  <c r="K782" i="2"/>
  <c r="N781" i="2"/>
  <c r="M781" i="2"/>
  <c r="L781" i="2"/>
  <c r="K781" i="2"/>
  <c r="N780" i="2"/>
  <c r="M780" i="2"/>
  <c r="L780" i="2"/>
  <c r="K780" i="2"/>
  <c r="N779" i="2"/>
  <c r="M779" i="2"/>
  <c r="L779" i="2"/>
  <c r="K779" i="2"/>
  <c r="N778" i="2"/>
  <c r="M778" i="2"/>
  <c r="L778" i="2"/>
  <c r="K778" i="2"/>
  <c r="N777" i="2"/>
  <c r="M777" i="2"/>
  <c r="L777" i="2"/>
  <c r="K777" i="2"/>
  <c r="N776" i="2"/>
  <c r="M776" i="2"/>
  <c r="L776" i="2"/>
  <c r="K776" i="2"/>
  <c r="N775" i="2"/>
  <c r="M775" i="2"/>
  <c r="L775" i="2"/>
  <c r="K775" i="2"/>
  <c r="N774" i="2"/>
  <c r="M774" i="2"/>
  <c r="L774" i="2"/>
  <c r="K774" i="2"/>
  <c r="N773" i="2"/>
  <c r="M773" i="2"/>
  <c r="L773" i="2"/>
  <c r="K773" i="2"/>
  <c r="N772" i="2"/>
  <c r="M772" i="2"/>
  <c r="L772" i="2"/>
  <c r="K772" i="2"/>
  <c r="N771" i="2"/>
  <c r="M771" i="2"/>
  <c r="L771" i="2"/>
  <c r="K771" i="2"/>
  <c r="N770" i="2"/>
  <c r="M770" i="2"/>
  <c r="L770" i="2"/>
  <c r="K770" i="2"/>
  <c r="N769" i="2"/>
  <c r="M769" i="2"/>
  <c r="L769" i="2"/>
  <c r="K769" i="2"/>
  <c r="N768" i="2"/>
  <c r="M768" i="2"/>
  <c r="L768" i="2"/>
  <c r="K768" i="2"/>
  <c r="N767" i="2"/>
  <c r="M767" i="2"/>
  <c r="L767" i="2"/>
  <c r="K767" i="2"/>
  <c r="N766" i="2"/>
  <c r="M766" i="2"/>
  <c r="L766" i="2"/>
  <c r="K766" i="2"/>
  <c r="N765" i="2"/>
  <c r="M765" i="2"/>
  <c r="L765" i="2"/>
  <c r="K765" i="2"/>
  <c r="N764" i="2"/>
  <c r="M764" i="2"/>
  <c r="L764" i="2"/>
  <c r="K764" i="2"/>
  <c r="N763" i="2"/>
  <c r="M763" i="2"/>
  <c r="L763" i="2"/>
  <c r="K763" i="2"/>
  <c r="N762" i="2"/>
  <c r="M762" i="2"/>
  <c r="L762" i="2"/>
  <c r="K762" i="2"/>
  <c r="N761" i="2"/>
  <c r="M761" i="2"/>
  <c r="L761" i="2"/>
  <c r="K761" i="2"/>
  <c r="N760" i="2"/>
  <c r="M760" i="2"/>
  <c r="L760" i="2"/>
  <c r="K760" i="2"/>
  <c r="N759" i="2"/>
  <c r="M759" i="2"/>
  <c r="L759" i="2"/>
  <c r="K759" i="2"/>
  <c r="N758" i="2"/>
  <c r="M758" i="2"/>
  <c r="L758" i="2"/>
  <c r="K758" i="2"/>
  <c r="N757" i="2"/>
  <c r="M757" i="2"/>
  <c r="L757" i="2"/>
  <c r="K757" i="2"/>
  <c r="N756" i="2"/>
  <c r="M756" i="2"/>
  <c r="L756" i="2"/>
  <c r="K756" i="2"/>
  <c r="N755" i="2"/>
  <c r="M755" i="2"/>
  <c r="L755" i="2"/>
  <c r="K755" i="2"/>
  <c r="N754" i="2"/>
  <c r="M754" i="2"/>
  <c r="L754" i="2"/>
  <c r="K754" i="2"/>
  <c r="N753" i="2"/>
  <c r="M753" i="2"/>
  <c r="L753" i="2"/>
  <c r="K753" i="2"/>
  <c r="N752" i="2"/>
  <c r="M752" i="2"/>
  <c r="L752" i="2"/>
  <c r="K752" i="2"/>
  <c r="N751" i="2"/>
  <c r="M751" i="2"/>
  <c r="L751" i="2"/>
  <c r="K751" i="2"/>
  <c r="N750" i="2"/>
  <c r="M750" i="2"/>
  <c r="L750" i="2"/>
  <c r="K750" i="2"/>
  <c r="N749" i="2"/>
  <c r="M749" i="2"/>
  <c r="L749" i="2"/>
  <c r="K749" i="2"/>
  <c r="N748" i="2"/>
  <c r="M748" i="2"/>
  <c r="L748" i="2"/>
  <c r="K748" i="2"/>
  <c r="N747" i="2"/>
  <c r="M747" i="2"/>
  <c r="L747" i="2"/>
  <c r="K747" i="2"/>
  <c r="N746" i="2"/>
  <c r="M746" i="2"/>
  <c r="L746" i="2"/>
  <c r="K746" i="2"/>
  <c r="N745" i="2"/>
  <c r="M745" i="2"/>
  <c r="L745" i="2"/>
  <c r="K745" i="2"/>
  <c r="N744" i="2"/>
  <c r="M744" i="2"/>
  <c r="L744" i="2"/>
  <c r="K744" i="2"/>
  <c r="N743" i="2"/>
  <c r="M743" i="2"/>
  <c r="L743" i="2"/>
  <c r="K743" i="2"/>
  <c r="N742" i="2"/>
  <c r="M742" i="2"/>
  <c r="L742" i="2"/>
  <c r="K742" i="2"/>
  <c r="N741" i="2"/>
  <c r="M741" i="2"/>
  <c r="L741" i="2"/>
  <c r="K741" i="2"/>
  <c r="N740" i="2"/>
  <c r="M740" i="2"/>
  <c r="L740" i="2"/>
  <c r="K740" i="2"/>
  <c r="N739" i="2"/>
  <c r="M739" i="2"/>
  <c r="L739" i="2"/>
  <c r="K739" i="2"/>
  <c r="N738" i="2"/>
  <c r="M738" i="2"/>
  <c r="L738" i="2"/>
  <c r="K738" i="2"/>
  <c r="N737" i="2"/>
  <c r="M737" i="2"/>
  <c r="L737" i="2"/>
  <c r="K737" i="2"/>
  <c r="N736" i="2"/>
  <c r="M736" i="2"/>
  <c r="L736" i="2"/>
  <c r="K736" i="2"/>
  <c r="N735" i="2"/>
  <c r="M735" i="2"/>
  <c r="L735" i="2"/>
  <c r="K735" i="2"/>
  <c r="N734" i="2"/>
  <c r="M734" i="2"/>
  <c r="L734" i="2"/>
  <c r="K734" i="2"/>
  <c r="N733" i="2"/>
  <c r="M733" i="2"/>
  <c r="L733" i="2"/>
  <c r="K733" i="2"/>
  <c r="N732" i="2"/>
  <c r="M732" i="2"/>
  <c r="L732" i="2"/>
  <c r="K732" i="2"/>
  <c r="N731" i="2"/>
  <c r="M731" i="2"/>
  <c r="L731" i="2"/>
  <c r="K731" i="2"/>
  <c r="N730" i="2"/>
  <c r="M730" i="2"/>
  <c r="L730" i="2"/>
  <c r="K730" i="2"/>
  <c r="N729" i="2"/>
  <c r="M729" i="2"/>
  <c r="L729" i="2"/>
  <c r="K729" i="2"/>
  <c r="N728" i="2"/>
  <c r="M728" i="2"/>
  <c r="L728" i="2"/>
  <c r="K728" i="2"/>
  <c r="N727" i="2"/>
  <c r="M727" i="2"/>
  <c r="L727" i="2"/>
  <c r="K727" i="2"/>
  <c r="N726" i="2"/>
  <c r="M726" i="2"/>
  <c r="L726" i="2"/>
  <c r="K726" i="2"/>
  <c r="N725" i="2"/>
  <c r="M725" i="2"/>
  <c r="L725" i="2"/>
  <c r="K725" i="2"/>
  <c r="N724" i="2"/>
  <c r="M724" i="2"/>
  <c r="L724" i="2"/>
  <c r="K724" i="2"/>
  <c r="N723" i="2"/>
  <c r="M723" i="2"/>
  <c r="L723" i="2"/>
  <c r="K723" i="2"/>
  <c r="N722" i="2"/>
  <c r="M722" i="2"/>
  <c r="L722" i="2"/>
  <c r="K722" i="2"/>
  <c r="N721" i="2"/>
  <c r="M721" i="2"/>
  <c r="L721" i="2"/>
  <c r="K721" i="2"/>
  <c r="N720" i="2"/>
  <c r="M720" i="2"/>
  <c r="L720" i="2"/>
  <c r="K720" i="2"/>
  <c r="N719" i="2"/>
  <c r="M719" i="2"/>
  <c r="L719" i="2"/>
  <c r="K719" i="2"/>
  <c r="N718" i="2"/>
  <c r="M718" i="2"/>
  <c r="L718" i="2"/>
  <c r="K718" i="2"/>
  <c r="N717" i="2"/>
  <c r="M717" i="2"/>
  <c r="L717" i="2"/>
  <c r="K717" i="2"/>
  <c r="N716" i="2"/>
  <c r="M716" i="2"/>
  <c r="L716" i="2"/>
  <c r="K716" i="2"/>
  <c r="N715" i="2"/>
  <c r="M715" i="2"/>
  <c r="L715" i="2"/>
  <c r="K715" i="2"/>
  <c r="N714" i="2"/>
  <c r="M714" i="2"/>
  <c r="L714" i="2"/>
  <c r="K714" i="2"/>
  <c r="N713" i="2"/>
  <c r="M713" i="2"/>
  <c r="L713" i="2"/>
  <c r="K713" i="2"/>
  <c r="N712" i="2"/>
  <c r="M712" i="2"/>
  <c r="L712" i="2"/>
  <c r="K712" i="2"/>
  <c r="N711" i="2"/>
  <c r="M711" i="2"/>
  <c r="L711" i="2"/>
  <c r="K711" i="2"/>
  <c r="N710" i="2"/>
  <c r="M710" i="2"/>
  <c r="L710" i="2"/>
  <c r="K710" i="2"/>
  <c r="N709" i="2"/>
  <c r="M709" i="2"/>
  <c r="L709" i="2"/>
  <c r="K709" i="2"/>
  <c r="N708" i="2"/>
  <c r="M708" i="2"/>
  <c r="L708" i="2"/>
  <c r="K708" i="2"/>
  <c r="N707" i="2"/>
  <c r="M707" i="2"/>
  <c r="L707" i="2"/>
  <c r="K707" i="2"/>
  <c r="N706" i="2"/>
  <c r="M706" i="2"/>
  <c r="L706" i="2"/>
  <c r="K706" i="2"/>
  <c r="N705" i="2"/>
  <c r="M705" i="2"/>
  <c r="L705" i="2"/>
  <c r="K705" i="2"/>
  <c r="N704" i="2"/>
  <c r="M704" i="2"/>
  <c r="L704" i="2"/>
  <c r="K704" i="2"/>
  <c r="N703" i="2"/>
  <c r="M703" i="2"/>
  <c r="L703" i="2"/>
  <c r="K703" i="2"/>
  <c r="N702" i="2"/>
  <c r="M702" i="2"/>
  <c r="L702" i="2"/>
  <c r="K702" i="2"/>
  <c r="N701" i="2"/>
  <c r="M701" i="2"/>
  <c r="L701" i="2"/>
  <c r="K701" i="2"/>
  <c r="N700" i="2"/>
  <c r="M700" i="2"/>
  <c r="L700" i="2"/>
  <c r="K700" i="2"/>
  <c r="N699" i="2"/>
  <c r="M699" i="2"/>
  <c r="L699" i="2"/>
  <c r="K699" i="2"/>
  <c r="N698" i="2"/>
  <c r="M698" i="2"/>
  <c r="L698" i="2"/>
  <c r="K698" i="2"/>
  <c r="N697" i="2"/>
  <c r="M697" i="2"/>
  <c r="L697" i="2"/>
  <c r="K697" i="2"/>
  <c r="N696" i="2"/>
  <c r="M696" i="2"/>
  <c r="L696" i="2"/>
  <c r="K696" i="2"/>
  <c r="N695" i="2"/>
  <c r="M695" i="2"/>
  <c r="L695" i="2"/>
  <c r="K695" i="2"/>
  <c r="N694" i="2"/>
  <c r="M694" i="2"/>
  <c r="L694" i="2"/>
  <c r="K694" i="2"/>
  <c r="N693" i="2"/>
  <c r="M693" i="2"/>
  <c r="L693" i="2"/>
  <c r="K693" i="2"/>
  <c r="N692" i="2"/>
  <c r="M692" i="2"/>
  <c r="L692" i="2"/>
  <c r="K692" i="2"/>
  <c r="N691" i="2"/>
  <c r="M691" i="2"/>
  <c r="L691" i="2"/>
  <c r="K691" i="2"/>
  <c r="N690" i="2"/>
  <c r="M690" i="2"/>
  <c r="L690" i="2"/>
  <c r="K690" i="2"/>
  <c r="N689" i="2"/>
  <c r="M689" i="2"/>
  <c r="L689" i="2"/>
  <c r="K689" i="2"/>
  <c r="N688" i="2"/>
  <c r="M688" i="2"/>
  <c r="L688" i="2"/>
  <c r="K688" i="2"/>
  <c r="N687" i="2"/>
  <c r="M687" i="2"/>
  <c r="L687" i="2"/>
  <c r="K687" i="2"/>
  <c r="N686" i="2"/>
  <c r="M686" i="2"/>
  <c r="L686" i="2"/>
  <c r="K686" i="2"/>
  <c r="N685" i="2"/>
  <c r="M685" i="2"/>
  <c r="L685" i="2"/>
  <c r="K685" i="2"/>
  <c r="N684" i="2"/>
  <c r="M684" i="2"/>
  <c r="L684" i="2"/>
  <c r="K684" i="2"/>
  <c r="N683" i="2"/>
  <c r="M683" i="2"/>
  <c r="L683" i="2"/>
  <c r="K683" i="2"/>
  <c r="N682" i="2"/>
  <c r="M682" i="2"/>
  <c r="L682" i="2"/>
  <c r="K682" i="2"/>
  <c r="N681" i="2"/>
  <c r="M681" i="2"/>
  <c r="L681" i="2"/>
  <c r="K681" i="2"/>
  <c r="N680" i="2"/>
  <c r="M680" i="2"/>
  <c r="L680" i="2"/>
  <c r="K680" i="2"/>
  <c r="N679" i="2"/>
  <c r="M679" i="2"/>
  <c r="L679" i="2"/>
  <c r="K679" i="2"/>
  <c r="N678" i="2"/>
  <c r="M678" i="2"/>
  <c r="L678" i="2"/>
  <c r="K678" i="2"/>
  <c r="N677" i="2"/>
  <c r="M677" i="2"/>
  <c r="L677" i="2"/>
  <c r="K677" i="2"/>
  <c r="N676" i="2"/>
  <c r="M676" i="2"/>
  <c r="L676" i="2"/>
  <c r="K676" i="2"/>
  <c r="N675" i="2"/>
  <c r="M675" i="2"/>
  <c r="L675" i="2"/>
  <c r="K675" i="2"/>
  <c r="N674" i="2"/>
  <c r="M674" i="2"/>
  <c r="L674" i="2"/>
  <c r="K674" i="2"/>
  <c r="N673" i="2"/>
  <c r="M673" i="2"/>
  <c r="L673" i="2"/>
  <c r="K673" i="2"/>
  <c r="N672" i="2"/>
  <c r="M672" i="2"/>
  <c r="L672" i="2"/>
  <c r="K672" i="2"/>
  <c r="M671" i="2"/>
  <c r="L671" i="2"/>
  <c r="K671" i="2"/>
  <c r="N671" i="2" s="1"/>
  <c r="M670" i="2"/>
  <c r="L670" i="2"/>
  <c r="K670" i="2"/>
  <c r="N670" i="2" s="1"/>
  <c r="M669" i="2"/>
  <c r="L669" i="2"/>
  <c r="K669" i="2"/>
  <c r="N669" i="2" s="1"/>
  <c r="M668" i="2"/>
  <c r="L668" i="2"/>
  <c r="K668" i="2"/>
  <c r="N668" i="2" s="1"/>
  <c r="M667" i="2"/>
  <c r="L667" i="2"/>
  <c r="K667" i="2"/>
  <c r="N667" i="2" s="1"/>
  <c r="M666" i="2"/>
  <c r="L666" i="2"/>
  <c r="K666" i="2"/>
  <c r="N666" i="2" s="1"/>
  <c r="M665" i="2"/>
  <c r="L665" i="2"/>
  <c r="K665" i="2"/>
  <c r="N665" i="2" s="1"/>
  <c r="M664" i="2"/>
  <c r="L664" i="2"/>
  <c r="K664" i="2"/>
  <c r="N664" i="2" s="1"/>
  <c r="M663" i="2"/>
  <c r="L663" i="2"/>
  <c r="K663" i="2"/>
  <c r="N663" i="2" s="1"/>
  <c r="M662" i="2"/>
  <c r="L662" i="2"/>
  <c r="K662" i="2"/>
  <c r="N662" i="2" s="1"/>
  <c r="M661" i="2"/>
  <c r="L661" i="2"/>
  <c r="K661" i="2"/>
  <c r="N661" i="2" s="1"/>
  <c r="M660" i="2"/>
  <c r="L660" i="2"/>
  <c r="K660" i="2"/>
  <c r="N660" i="2" s="1"/>
  <c r="M659" i="2"/>
  <c r="L659" i="2"/>
  <c r="K659" i="2"/>
  <c r="N659" i="2" s="1"/>
  <c r="M658" i="2"/>
  <c r="L658" i="2"/>
  <c r="K658" i="2"/>
  <c r="N658" i="2" s="1"/>
  <c r="M657" i="2"/>
  <c r="L657" i="2"/>
  <c r="K657" i="2"/>
  <c r="N657" i="2" s="1"/>
  <c r="M656" i="2"/>
  <c r="L656" i="2"/>
  <c r="K656" i="2"/>
  <c r="N656" i="2" s="1"/>
  <c r="M655" i="2"/>
  <c r="L655" i="2"/>
  <c r="K655" i="2"/>
  <c r="N655" i="2" s="1"/>
  <c r="M654" i="2"/>
  <c r="L654" i="2"/>
  <c r="K654" i="2"/>
  <c r="N654" i="2" s="1"/>
  <c r="M653" i="2"/>
  <c r="L653" i="2"/>
  <c r="K653" i="2"/>
  <c r="N653" i="2" s="1"/>
  <c r="M652" i="2"/>
  <c r="L652" i="2"/>
  <c r="K652" i="2"/>
  <c r="N652" i="2" s="1"/>
  <c r="M651" i="2"/>
  <c r="L651" i="2"/>
  <c r="K651" i="2"/>
  <c r="N651" i="2" s="1"/>
  <c r="M650" i="2"/>
  <c r="L650" i="2"/>
  <c r="K650" i="2"/>
  <c r="N650" i="2" s="1"/>
  <c r="M649" i="2"/>
  <c r="L649" i="2"/>
  <c r="K649" i="2"/>
  <c r="N649" i="2" s="1"/>
  <c r="M648" i="2"/>
  <c r="L648" i="2"/>
  <c r="K648" i="2"/>
  <c r="N648" i="2" s="1"/>
  <c r="M647" i="2"/>
  <c r="L647" i="2"/>
  <c r="K647" i="2"/>
  <c r="N647" i="2" s="1"/>
  <c r="M646" i="2"/>
  <c r="L646" i="2"/>
  <c r="K646" i="2"/>
  <c r="N646" i="2" s="1"/>
  <c r="M645" i="2"/>
  <c r="L645" i="2"/>
  <c r="K645" i="2"/>
  <c r="N645" i="2" s="1"/>
  <c r="M644" i="2"/>
  <c r="L644" i="2"/>
  <c r="K644" i="2"/>
  <c r="N644" i="2" s="1"/>
  <c r="M643" i="2"/>
  <c r="L643" i="2"/>
  <c r="K643" i="2"/>
  <c r="N643" i="2" s="1"/>
  <c r="M642" i="2"/>
  <c r="L642" i="2"/>
  <c r="K642" i="2"/>
  <c r="N642" i="2" s="1"/>
  <c r="M641" i="2"/>
  <c r="L641" i="2"/>
  <c r="K641" i="2"/>
  <c r="N641" i="2" s="1"/>
  <c r="M640" i="2"/>
  <c r="L640" i="2"/>
  <c r="K640" i="2"/>
  <c r="N640" i="2" s="1"/>
  <c r="M639" i="2"/>
  <c r="L639" i="2"/>
  <c r="K639" i="2"/>
  <c r="N639" i="2" s="1"/>
  <c r="M638" i="2"/>
  <c r="L638" i="2"/>
  <c r="K638" i="2"/>
  <c r="N638" i="2" s="1"/>
  <c r="M637" i="2"/>
  <c r="L637" i="2"/>
  <c r="K637" i="2"/>
  <c r="N637" i="2" s="1"/>
  <c r="M636" i="2"/>
  <c r="L636" i="2"/>
  <c r="K636" i="2"/>
  <c r="N636" i="2" s="1"/>
  <c r="M635" i="2"/>
  <c r="L635" i="2"/>
  <c r="K635" i="2"/>
  <c r="N635" i="2" s="1"/>
  <c r="M634" i="2"/>
  <c r="L634" i="2"/>
  <c r="K634" i="2"/>
  <c r="N634" i="2" s="1"/>
  <c r="M633" i="2"/>
  <c r="L633" i="2"/>
  <c r="K633" i="2"/>
  <c r="N633" i="2" s="1"/>
  <c r="M632" i="2"/>
  <c r="L632" i="2"/>
  <c r="K632" i="2"/>
  <c r="N632" i="2" s="1"/>
  <c r="M631" i="2"/>
  <c r="L631" i="2"/>
  <c r="K631" i="2"/>
  <c r="N631" i="2" s="1"/>
  <c r="M630" i="2"/>
  <c r="L630" i="2"/>
  <c r="K630" i="2"/>
  <c r="N630" i="2" s="1"/>
  <c r="M629" i="2"/>
  <c r="L629" i="2"/>
  <c r="K629" i="2"/>
  <c r="N629" i="2" s="1"/>
  <c r="M628" i="2"/>
  <c r="L628" i="2"/>
  <c r="K628" i="2"/>
  <c r="N628" i="2" s="1"/>
  <c r="M627" i="2"/>
  <c r="L627" i="2"/>
  <c r="K627" i="2"/>
  <c r="N627" i="2" s="1"/>
  <c r="M626" i="2"/>
  <c r="L626" i="2"/>
  <c r="K626" i="2"/>
  <c r="N626" i="2" s="1"/>
  <c r="M625" i="2"/>
  <c r="L625" i="2"/>
  <c r="K625" i="2"/>
  <c r="N625" i="2" s="1"/>
  <c r="M624" i="2"/>
  <c r="L624" i="2"/>
  <c r="K624" i="2"/>
  <c r="N624" i="2" s="1"/>
  <c r="M623" i="2"/>
  <c r="L623" i="2"/>
  <c r="K623" i="2"/>
  <c r="N623" i="2" s="1"/>
  <c r="M622" i="2"/>
  <c r="L622" i="2"/>
  <c r="K622" i="2"/>
  <c r="N622" i="2" s="1"/>
  <c r="M621" i="2"/>
  <c r="L621" i="2"/>
  <c r="K621" i="2"/>
  <c r="N621" i="2" s="1"/>
  <c r="M620" i="2"/>
  <c r="L620" i="2"/>
  <c r="K620" i="2"/>
  <c r="N620" i="2" s="1"/>
  <c r="M619" i="2"/>
  <c r="L619" i="2"/>
  <c r="K619" i="2"/>
  <c r="N619" i="2" s="1"/>
  <c r="M618" i="2"/>
  <c r="L618" i="2"/>
  <c r="K618" i="2"/>
  <c r="N618" i="2" s="1"/>
  <c r="M617" i="2"/>
  <c r="L617" i="2"/>
  <c r="K617" i="2"/>
  <c r="N617" i="2" s="1"/>
  <c r="M616" i="2"/>
  <c r="L616" i="2"/>
  <c r="K616" i="2"/>
  <c r="N616" i="2" s="1"/>
  <c r="M615" i="2"/>
  <c r="L615" i="2"/>
  <c r="K615" i="2"/>
  <c r="N615" i="2" s="1"/>
  <c r="M614" i="2"/>
  <c r="L614" i="2"/>
  <c r="K614" i="2"/>
  <c r="N614" i="2" s="1"/>
  <c r="M613" i="2"/>
  <c r="L613" i="2"/>
  <c r="K613" i="2"/>
  <c r="N613" i="2" s="1"/>
  <c r="M612" i="2"/>
  <c r="L612" i="2"/>
  <c r="K612" i="2"/>
  <c r="N612" i="2" s="1"/>
  <c r="M611" i="2"/>
  <c r="L611" i="2"/>
  <c r="K611" i="2"/>
  <c r="N611" i="2" s="1"/>
  <c r="M610" i="2"/>
  <c r="L610" i="2"/>
  <c r="K610" i="2"/>
  <c r="N610" i="2" s="1"/>
  <c r="M609" i="2"/>
  <c r="L609" i="2"/>
  <c r="K609" i="2"/>
  <c r="N609" i="2" s="1"/>
  <c r="M608" i="2"/>
  <c r="L608" i="2"/>
  <c r="K608" i="2"/>
  <c r="N608" i="2" s="1"/>
  <c r="M607" i="2"/>
  <c r="L607" i="2"/>
  <c r="K607" i="2"/>
  <c r="N607" i="2" s="1"/>
  <c r="M606" i="2"/>
  <c r="L606" i="2"/>
  <c r="K606" i="2"/>
  <c r="N606" i="2" s="1"/>
  <c r="M605" i="2"/>
  <c r="L605" i="2"/>
  <c r="K605" i="2"/>
  <c r="N605" i="2" s="1"/>
  <c r="M604" i="2"/>
  <c r="L604" i="2"/>
  <c r="K604" i="2"/>
  <c r="N604" i="2" s="1"/>
  <c r="M603" i="2"/>
  <c r="L603" i="2"/>
  <c r="K603" i="2"/>
  <c r="N603" i="2" s="1"/>
  <c r="M602" i="2"/>
  <c r="L602" i="2"/>
  <c r="K602" i="2"/>
  <c r="N602" i="2" s="1"/>
  <c r="M601" i="2"/>
  <c r="L601" i="2"/>
  <c r="K601" i="2"/>
  <c r="N601" i="2" s="1"/>
  <c r="M600" i="2"/>
  <c r="L600" i="2"/>
  <c r="K600" i="2"/>
  <c r="N600" i="2" s="1"/>
  <c r="M599" i="2"/>
  <c r="L599" i="2"/>
  <c r="K599" i="2"/>
  <c r="N599" i="2" s="1"/>
  <c r="M598" i="2"/>
  <c r="L598" i="2"/>
  <c r="K598" i="2"/>
  <c r="N598" i="2" s="1"/>
  <c r="M597" i="2"/>
  <c r="L597" i="2"/>
  <c r="K597" i="2"/>
  <c r="N597" i="2" s="1"/>
  <c r="M596" i="2"/>
  <c r="L596" i="2"/>
  <c r="K596" i="2"/>
  <c r="N596" i="2" s="1"/>
  <c r="M595" i="2"/>
  <c r="L595" i="2"/>
  <c r="K595" i="2"/>
  <c r="N595" i="2" s="1"/>
  <c r="M594" i="2"/>
  <c r="L594" i="2"/>
  <c r="K594" i="2"/>
  <c r="N594" i="2" s="1"/>
  <c r="M593" i="2"/>
  <c r="L593" i="2"/>
  <c r="K593" i="2"/>
  <c r="N593" i="2" s="1"/>
  <c r="M592" i="2"/>
  <c r="L592" i="2"/>
  <c r="K592" i="2"/>
  <c r="N592" i="2" s="1"/>
  <c r="M591" i="2"/>
  <c r="L591" i="2"/>
  <c r="K591" i="2"/>
  <c r="N591" i="2" s="1"/>
  <c r="M590" i="2"/>
  <c r="L590" i="2"/>
  <c r="K590" i="2"/>
  <c r="N590" i="2" s="1"/>
  <c r="M589" i="2"/>
  <c r="L589" i="2"/>
  <c r="K589" i="2"/>
  <c r="N589" i="2" s="1"/>
  <c r="M588" i="2"/>
  <c r="L588" i="2"/>
  <c r="K588" i="2"/>
  <c r="N588" i="2" s="1"/>
  <c r="M587" i="2"/>
  <c r="L587" i="2"/>
  <c r="K587" i="2"/>
  <c r="N587" i="2" s="1"/>
  <c r="M586" i="2"/>
  <c r="L586" i="2"/>
  <c r="K586" i="2"/>
  <c r="N586" i="2" s="1"/>
  <c r="M585" i="2"/>
  <c r="L585" i="2"/>
  <c r="K585" i="2"/>
  <c r="N585" i="2" s="1"/>
  <c r="M584" i="2"/>
  <c r="L584" i="2"/>
  <c r="K584" i="2"/>
  <c r="N584" i="2" s="1"/>
  <c r="M583" i="2"/>
  <c r="L583" i="2"/>
  <c r="K583" i="2"/>
  <c r="N583" i="2" s="1"/>
  <c r="M582" i="2"/>
  <c r="L582" i="2"/>
  <c r="K582" i="2"/>
  <c r="N582" i="2" s="1"/>
  <c r="M581" i="2"/>
  <c r="L581" i="2"/>
  <c r="K581" i="2"/>
  <c r="N581" i="2" s="1"/>
  <c r="M580" i="2"/>
  <c r="L580" i="2"/>
  <c r="K580" i="2"/>
  <c r="N580" i="2" s="1"/>
  <c r="M579" i="2"/>
  <c r="L579" i="2"/>
  <c r="K579" i="2"/>
  <c r="N579" i="2" s="1"/>
  <c r="M578" i="2"/>
  <c r="L578" i="2"/>
  <c r="K578" i="2"/>
  <c r="N578" i="2" s="1"/>
  <c r="M577" i="2"/>
  <c r="L577" i="2"/>
  <c r="K577" i="2"/>
  <c r="N577" i="2" s="1"/>
  <c r="M576" i="2"/>
  <c r="L576" i="2"/>
  <c r="K576" i="2"/>
  <c r="N576" i="2" s="1"/>
  <c r="M575" i="2"/>
  <c r="L575" i="2"/>
  <c r="K575" i="2"/>
  <c r="N575" i="2" s="1"/>
  <c r="M574" i="2"/>
  <c r="L574" i="2"/>
  <c r="K574" i="2"/>
  <c r="N574" i="2" s="1"/>
  <c r="M573" i="2"/>
  <c r="L573" i="2"/>
  <c r="K573" i="2"/>
  <c r="N573" i="2" s="1"/>
  <c r="M572" i="2"/>
  <c r="L572" i="2"/>
  <c r="K572" i="2"/>
  <c r="N572" i="2" s="1"/>
  <c r="M571" i="2"/>
  <c r="L571" i="2"/>
  <c r="K571" i="2"/>
  <c r="N571" i="2" s="1"/>
  <c r="M570" i="2"/>
  <c r="L570" i="2"/>
  <c r="K570" i="2"/>
  <c r="N570" i="2" s="1"/>
  <c r="M569" i="2"/>
  <c r="L569" i="2"/>
  <c r="K569" i="2"/>
  <c r="N569" i="2" s="1"/>
  <c r="M568" i="2"/>
  <c r="L568" i="2"/>
  <c r="K568" i="2"/>
  <c r="N568" i="2" s="1"/>
  <c r="M567" i="2"/>
  <c r="L567" i="2"/>
  <c r="K567" i="2"/>
  <c r="N567" i="2" s="1"/>
  <c r="M566" i="2"/>
  <c r="L566" i="2"/>
  <c r="K566" i="2"/>
  <c r="N566" i="2" s="1"/>
  <c r="M565" i="2"/>
  <c r="L565" i="2"/>
  <c r="K565" i="2"/>
  <c r="N565" i="2" s="1"/>
  <c r="M564" i="2"/>
  <c r="L564" i="2"/>
  <c r="K564" i="2"/>
  <c r="N564" i="2" s="1"/>
  <c r="M563" i="2"/>
  <c r="L563" i="2"/>
  <c r="K563" i="2"/>
  <c r="N563" i="2" s="1"/>
  <c r="M562" i="2"/>
  <c r="L562" i="2"/>
  <c r="K562" i="2"/>
  <c r="N562" i="2" s="1"/>
  <c r="M561" i="2"/>
  <c r="L561" i="2"/>
  <c r="K561" i="2"/>
  <c r="N561" i="2" s="1"/>
  <c r="M560" i="2"/>
  <c r="L560" i="2"/>
  <c r="K560" i="2"/>
  <c r="N560" i="2" s="1"/>
  <c r="M559" i="2"/>
  <c r="L559" i="2"/>
  <c r="K559" i="2"/>
  <c r="N559" i="2" s="1"/>
  <c r="M558" i="2"/>
  <c r="L558" i="2"/>
  <c r="K558" i="2"/>
  <c r="N558" i="2" s="1"/>
  <c r="M557" i="2"/>
  <c r="L557" i="2"/>
  <c r="K557" i="2"/>
  <c r="N557" i="2" s="1"/>
  <c r="M556" i="2"/>
  <c r="L556" i="2"/>
  <c r="K556" i="2"/>
  <c r="N556" i="2" s="1"/>
  <c r="M555" i="2"/>
  <c r="L555" i="2"/>
  <c r="K555" i="2"/>
  <c r="N555" i="2" s="1"/>
  <c r="M554" i="2"/>
  <c r="L554" i="2"/>
  <c r="K554" i="2"/>
  <c r="N554" i="2" s="1"/>
  <c r="M553" i="2"/>
  <c r="L553" i="2"/>
  <c r="K553" i="2"/>
  <c r="N553" i="2" s="1"/>
  <c r="M552" i="2"/>
  <c r="L552" i="2"/>
  <c r="K552" i="2"/>
  <c r="N552" i="2" s="1"/>
  <c r="M551" i="2"/>
  <c r="L551" i="2"/>
  <c r="K551" i="2"/>
  <c r="N551" i="2" s="1"/>
  <c r="M550" i="2"/>
  <c r="L550" i="2"/>
  <c r="K550" i="2"/>
  <c r="N550" i="2" s="1"/>
  <c r="M549" i="2"/>
  <c r="L549" i="2"/>
  <c r="K549" i="2"/>
  <c r="N549" i="2" s="1"/>
  <c r="M548" i="2"/>
  <c r="L548" i="2"/>
  <c r="K548" i="2"/>
  <c r="N548" i="2" s="1"/>
  <c r="M547" i="2"/>
  <c r="L547" i="2"/>
  <c r="K547" i="2"/>
  <c r="N547" i="2" s="1"/>
  <c r="M546" i="2"/>
  <c r="L546" i="2"/>
  <c r="K546" i="2"/>
  <c r="N546" i="2" s="1"/>
  <c r="M545" i="2"/>
  <c r="L545" i="2"/>
  <c r="K545" i="2"/>
  <c r="N545" i="2" s="1"/>
  <c r="M544" i="2"/>
  <c r="L544" i="2"/>
  <c r="K544" i="2"/>
  <c r="N544" i="2" s="1"/>
  <c r="M543" i="2"/>
  <c r="L543" i="2"/>
  <c r="K543" i="2"/>
  <c r="N543" i="2" s="1"/>
  <c r="M542" i="2"/>
  <c r="L542" i="2"/>
  <c r="K542" i="2"/>
  <c r="N542" i="2" s="1"/>
  <c r="M541" i="2"/>
  <c r="L541" i="2"/>
  <c r="K541" i="2"/>
  <c r="N541" i="2" s="1"/>
  <c r="M540" i="2"/>
  <c r="L540" i="2"/>
  <c r="K540" i="2"/>
  <c r="N540" i="2" s="1"/>
  <c r="M539" i="2"/>
  <c r="L539" i="2"/>
  <c r="K539" i="2"/>
  <c r="N539" i="2" s="1"/>
  <c r="M538" i="2"/>
  <c r="L538" i="2"/>
  <c r="K538" i="2"/>
  <c r="N538" i="2" s="1"/>
  <c r="M537" i="2"/>
  <c r="L537" i="2"/>
  <c r="K537" i="2"/>
  <c r="N537" i="2" s="1"/>
  <c r="M536" i="2"/>
  <c r="L536" i="2"/>
  <c r="K536" i="2"/>
  <c r="N536" i="2" s="1"/>
  <c r="M535" i="2"/>
  <c r="L535" i="2"/>
  <c r="K535" i="2"/>
  <c r="N535" i="2" s="1"/>
  <c r="M534" i="2"/>
  <c r="L534" i="2"/>
  <c r="K534" i="2"/>
  <c r="N534" i="2" s="1"/>
  <c r="M533" i="2"/>
  <c r="L533" i="2"/>
  <c r="K533" i="2"/>
  <c r="N533" i="2" s="1"/>
  <c r="M532" i="2"/>
  <c r="L532" i="2"/>
  <c r="K532" i="2"/>
  <c r="N532" i="2" s="1"/>
  <c r="M531" i="2"/>
  <c r="L531" i="2"/>
  <c r="K531" i="2"/>
  <c r="N531" i="2" s="1"/>
  <c r="M530" i="2"/>
  <c r="L530" i="2"/>
  <c r="K530" i="2"/>
  <c r="N530" i="2" s="1"/>
  <c r="M529" i="2"/>
  <c r="L529" i="2"/>
  <c r="K529" i="2"/>
  <c r="N529" i="2" s="1"/>
  <c r="M528" i="2"/>
  <c r="L528" i="2"/>
  <c r="K528" i="2"/>
  <c r="N528" i="2" s="1"/>
  <c r="M527" i="2"/>
  <c r="L527" i="2"/>
  <c r="K527" i="2"/>
  <c r="N527" i="2" s="1"/>
  <c r="M526" i="2"/>
  <c r="L526" i="2"/>
  <c r="K526" i="2"/>
  <c r="N526" i="2" s="1"/>
  <c r="M525" i="2"/>
  <c r="L525" i="2"/>
  <c r="K525" i="2"/>
  <c r="N525" i="2" s="1"/>
  <c r="M524" i="2"/>
  <c r="L524" i="2"/>
  <c r="K524" i="2"/>
  <c r="N524" i="2" s="1"/>
  <c r="M523" i="2"/>
  <c r="L523" i="2"/>
  <c r="K523" i="2"/>
  <c r="N523" i="2" s="1"/>
  <c r="M522" i="2"/>
  <c r="L522" i="2"/>
  <c r="K522" i="2"/>
  <c r="N522" i="2" s="1"/>
  <c r="M521" i="2"/>
  <c r="L521" i="2"/>
  <c r="K521" i="2"/>
  <c r="N521" i="2" s="1"/>
  <c r="M520" i="2"/>
  <c r="L520" i="2"/>
  <c r="K520" i="2"/>
  <c r="N520" i="2" s="1"/>
  <c r="M519" i="2"/>
  <c r="L519" i="2"/>
  <c r="K519" i="2"/>
  <c r="N519" i="2" s="1"/>
  <c r="M518" i="2"/>
  <c r="L518" i="2"/>
  <c r="K518" i="2"/>
  <c r="N518" i="2" s="1"/>
  <c r="M517" i="2"/>
  <c r="L517" i="2"/>
  <c r="K517" i="2"/>
  <c r="N517" i="2" s="1"/>
  <c r="M516" i="2"/>
  <c r="L516" i="2"/>
  <c r="K516" i="2"/>
  <c r="N516" i="2" s="1"/>
  <c r="M515" i="2"/>
  <c r="L515" i="2"/>
  <c r="K515" i="2"/>
  <c r="N515" i="2" s="1"/>
  <c r="M514" i="2"/>
  <c r="L514" i="2"/>
  <c r="K514" i="2"/>
  <c r="N514" i="2" s="1"/>
  <c r="M513" i="2"/>
  <c r="L513" i="2"/>
  <c r="K513" i="2"/>
  <c r="N513" i="2" s="1"/>
  <c r="M512" i="2"/>
  <c r="L512" i="2"/>
  <c r="K512" i="2"/>
  <c r="N512" i="2" s="1"/>
  <c r="M511" i="2"/>
  <c r="L511" i="2"/>
  <c r="K511" i="2"/>
  <c r="N511" i="2" s="1"/>
  <c r="M510" i="2"/>
  <c r="L510" i="2"/>
  <c r="K510" i="2"/>
  <c r="N510" i="2" s="1"/>
  <c r="M509" i="2"/>
  <c r="L509" i="2"/>
  <c r="K509" i="2"/>
  <c r="N509" i="2" s="1"/>
  <c r="M508" i="2"/>
  <c r="L508" i="2"/>
  <c r="K508" i="2"/>
  <c r="N508" i="2" s="1"/>
  <c r="M507" i="2"/>
  <c r="L507" i="2"/>
  <c r="K507" i="2"/>
  <c r="N507" i="2" s="1"/>
  <c r="M506" i="2"/>
  <c r="L506" i="2"/>
  <c r="K506" i="2"/>
  <c r="N506" i="2" s="1"/>
  <c r="M505" i="2"/>
  <c r="L505" i="2"/>
  <c r="K505" i="2"/>
  <c r="N505" i="2" s="1"/>
  <c r="M504" i="2"/>
  <c r="L504" i="2"/>
  <c r="K504" i="2"/>
  <c r="N504" i="2" s="1"/>
  <c r="M503" i="2"/>
  <c r="L503" i="2"/>
  <c r="K503" i="2"/>
  <c r="N503" i="2" s="1"/>
  <c r="M502" i="2"/>
  <c r="L502" i="2"/>
  <c r="K502" i="2"/>
  <c r="N502" i="2" s="1"/>
  <c r="M501" i="2"/>
  <c r="L501" i="2"/>
  <c r="K501" i="2"/>
  <c r="N501" i="2" s="1"/>
  <c r="M500" i="2"/>
  <c r="L500" i="2"/>
  <c r="K500" i="2"/>
  <c r="N500" i="2" s="1"/>
  <c r="M499" i="2"/>
  <c r="L499" i="2"/>
  <c r="K499" i="2"/>
  <c r="N499" i="2" s="1"/>
  <c r="M498" i="2"/>
  <c r="L498" i="2"/>
  <c r="K498" i="2"/>
  <c r="N498" i="2" s="1"/>
  <c r="M497" i="2"/>
  <c r="L497" i="2"/>
  <c r="K497" i="2"/>
  <c r="N497" i="2" s="1"/>
  <c r="M496" i="2"/>
  <c r="L496" i="2"/>
  <c r="K496" i="2"/>
  <c r="N496" i="2" s="1"/>
  <c r="M495" i="2"/>
  <c r="L495" i="2"/>
  <c r="K495" i="2"/>
  <c r="N495" i="2" s="1"/>
  <c r="M494" i="2"/>
  <c r="L494" i="2"/>
  <c r="K494" i="2"/>
  <c r="N494" i="2" s="1"/>
  <c r="M493" i="2"/>
  <c r="L493" i="2"/>
  <c r="K493" i="2"/>
  <c r="N493" i="2" s="1"/>
  <c r="M492" i="2"/>
  <c r="L492" i="2"/>
  <c r="K492" i="2"/>
  <c r="N492" i="2" s="1"/>
  <c r="M491" i="2"/>
  <c r="L491" i="2"/>
  <c r="K491" i="2"/>
  <c r="N491" i="2" s="1"/>
  <c r="M490" i="2"/>
  <c r="L490" i="2"/>
  <c r="K490" i="2"/>
  <c r="N490" i="2" s="1"/>
  <c r="M489" i="2"/>
  <c r="L489" i="2"/>
  <c r="K489" i="2"/>
  <c r="N489" i="2" s="1"/>
  <c r="M488" i="2"/>
  <c r="L488" i="2"/>
  <c r="K488" i="2"/>
  <c r="N488" i="2" s="1"/>
  <c r="M487" i="2"/>
  <c r="L487" i="2"/>
  <c r="K487" i="2"/>
  <c r="N487" i="2" s="1"/>
  <c r="M486" i="2"/>
  <c r="L486" i="2"/>
  <c r="K486" i="2"/>
  <c r="N486" i="2" s="1"/>
  <c r="M485" i="2"/>
  <c r="L485" i="2"/>
  <c r="K485" i="2"/>
  <c r="N485" i="2" s="1"/>
  <c r="M484" i="2"/>
  <c r="L484" i="2"/>
  <c r="K484" i="2"/>
  <c r="N484" i="2" s="1"/>
  <c r="M483" i="2"/>
  <c r="L483" i="2"/>
  <c r="K483" i="2"/>
  <c r="N483" i="2" s="1"/>
  <c r="M482" i="2"/>
  <c r="L482" i="2"/>
  <c r="K482" i="2"/>
  <c r="N482" i="2" s="1"/>
  <c r="M481" i="2"/>
  <c r="L481" i="2"/>
  <c r="K481" i="2"/>
  <c r="N481" i="2" s="1"/>
  <c r="M480" i="2"/>
  <c r="L480" i="2"/>
  <c r="K480" i="2"/>
  <c r="N480" i="2" s="1"/>
  <c r="M479" i="2"/>
  <c r="L479" i="2"/>
  <c r="K479" i="2"/>
  <c r="N479" i="2" s="1"/>
  <c r="M478" i="2"/>
  <c r="L478" i="2"/>
  <c r="K478" i="2"/>
  <c r="N478" i="2" s="1"/>
  <c r="M477" i="2"/>
  <c r="L477" i="2"/>
  <c r="K477" i="2"/>
  <c r="N477" i="2" s="1"/>
  <c r="M476" i="2"/>
  <c r="L476" i="2"/>
  <c r="K476" i="2"/>
  <c r="N476" i="2" s="1"/>
  <c r="M475" i="2"/>
  <c r="L475" i="2"/>
  <c r="K475" i="2"/>
  <c r="N475" i="2" s="1"/>
  <c r="M474" i="2"/>
  <c r="L474" i="2"/>
  <c r="K474" i="2"/>
  <c r="N474" i="2" s="1"/>
  <c r="M473" i="2"/>
  <c r="L473" i="2"/>
  <c r="K473" i="2"/>
  <c r="N473" i="2" s="1"/>
  <c r="M472" i="2"/>
  <c r="L472" i="2"/>
  <c r="K472" i="2"/>
  <c r="N472" i="2" s="1"/>
  <c r="M471" i="2"/>
  <c r="L471" i="2"/>
  <c r="K471" i="2"/>
  <c r="N471" i="2" s="1"/>
  <c r="M470" i="2"/>
  <c r="L470" i="2"/>
  <c r="K470" i="2"/>
  <c r="N470" i="2" s="1"/>
  <c r="M469" i="2"/>
  <c r="L469" i="2"/>
  <c r="K469" i="2"/>
  <c r="N469" i="2" s="1"/>
  <c r="M468" i="2"/>
  <c r="L468" i="2"/>
  <c r="K468" i="2"/>
  <c r="N468" i="2" s="1"/>
  <c r="M467" i="2"/>
  <c r="L467" i="2"/>
  <c r="K467" i="2"/>
  <c r="N467" i="2" s="1"/>
  <c r="M466" i="2"/>
  <c r="L466" i="2"/>
  <c r="K466" i="2"/>
  <c r="N466" i="2" s="1"/>
  <c r="M465" i="2"/>
  <c r="L465" i="2"/>
  <c r="K465" i="2"/>
  <c r="N465" i="2" s="1"/>
  <c r="M464" i="2"/>
  <c r="L464" i="2"/>
  <c r="K464" i="2"/>
  <c r="N464" i="2" s="1"/>
  <c r="M463" i="2"/>
  <c r="L463" i="2"/>
  <c r="K463" i="2"/>
  <c r="N463" i="2" s="1"/>
  <c r="M462" i="2"/>
  <c r="L462" i="2"/>
  <c r="K462" i="2"/>
  <c r="N462" i="2" s="1"/>
  <c r="M461" i="2"/>
  <c r="L461" i="2"/>
  <c r="K461" i="2"/>
  <c r="N461" i="2" s="1"/>
  <c r="M460" i="2"/>
  <c r="L460" i="2"/>
  <c r="K460" i="2"/>
  <c r="N460" i="2" s="1"/>
  <c r="M459" i="2"/>
  <c r="L459" i="2"/>
  <c r="K459" i="2"/>
  <c r="N459" i="2" s="1"/>
  <c r="M458" i="2"/>
  <c r="L458" i="2"/>
  <c r="K458" i="2"/>
  <c r="N458" i="2" s="1"/>
  <c r="M457" i="2"/>
  <c r="L457" i="2"/>
  <c r="K457" i="2"/>
  <c r="N457" i="2" s="1"/>
  <c r="M456" i="2"/>
  <c r="L456" i="2"/>
  <c r="K456" i="2"/>
  <c r="N456" i="2" s="1"/>
  <c r="M455" i="2"/>
  <c r="L455" i="2"/>
  <c r="K455" i="2"/>
  <c r="N455" i="2" s="1"/>
  <c r="M454" i="2"/>
  <c r="L454" i="2"/>
  <c r="K454" i="2"/>
  <c r="N454" i="2" s="1"/>
  <c r="M453" i="2"/>
  <c r="L453" i="2"/>
  <c r="K453" i="2"/>
  <c r="N453" i="2" s="1"/>
  <c r="M452" i="2"/>
  <c r="L452" i="2"/>
  <c r="K452" i="2"/>
  <c r="N452" i="2" s="1"/>
  <c r="M451" i="2"/>
  <c r="L451" i="2"/>
  <c r="K451" i="2"/>
  <c r="N451" i="2" s="1"/>
  <c r="M450" i="2"/>
  <c r="L450" i="2"/>
  <c r="K450" i="2"/>
  <c r="N450" i="2" s="1"/>
  <c r="M449" i="2"/>
  <c r="L449" i="2"/>
  <c r="K449" i="2"/>
  <c r="N449" i="2" s="1"/>
  <c r="M448" i="2"/>
  <c r="L448" i="2"/>
  <c r="K448" i="2"/>
  <c r="N448" i="2" s="1"/>
  <c r="M447" i="2"/>
  <c r="L447" i="2"/>
  <c r="K447" i="2"/>
  <c r="N447" i="2" s="1"/>
  <c r="M446" i="2"/>
  <c r="L446" i="2"/>
  <c r="K446" i="2"/>
  <c r="N446" i="2" s="1"/>
  <c r="M445" i="2"/>
  <c r="L445" i="2"/>
  <c r="K445" i="2"/>
  <c r="N445" i="2" s="1"/>
  <c r="M444" i="2"/>
  <c r="L444" i="2"/>
  <c r="K444" i="2"/>
  <c r="N444" i="2" s="1"/>
  <c r="M443" i="2"/>
  <c r="L443" i="2"/>
  <c r="K443" i="2"/>
  <c r="N443" i="2" s="1"/>
  <c r="N442" i="2"/>
  <c r="M442" i="2"/>
  <c r="L442" i="2"/>
  <c r="K442" i="2"/>
  <c r="M441" i="2"/>
  <c r="L441" i="2"/>
  <c r="K441" i="2"/>
  <c r="N441" i="2" s="1"/>
  <c r="M440" i="2"/>
  <c r="L440" i="2"/>
  <c r="K440" i="2"/>
  <c r="N440" i="2" s="1"/>
  <c r="M439" i="2"/>
  <c r="L439" i="2"/>
  <c r="K439" i="2"/>
  <c r="N439" i="2" s="1"/>
  <c r="M438" i="2"/>
  <c r="L438" i="2"/>
  <c r="K438" i="2"/>
  <c r="N438" i="2" s="1"/>
  <c r="M437" i="2"/>
  <c r="L437" i="2"/>
  <c r="K437" i="2"/>
  <c r="N437" i="2" s="1"/>
  <c r="M436" i="2"/>
  <c r="L436" i="2"/>
  <c r="K436" i="2"/>
  <c r="N436" i="2" s="1"/>
  <c r="M435" i="2"/>
  <c r="L435" i="2"/>
  <c r="K435" i="2"/>
  <c r="N435" i="2" s="1"/>
  <c r="M434" i="2"/>
  <c r="L434" i="2"/>
  <c r="K434" i="2"/>
  <c r="N434" i="2" s="1"/>
  <c r="M433" i="2"/>
  <c r="L433" i="2"/>
  <c r="K433" i="2"/>
  <c r="N433" i="2" s="1"/>
  <c r="M432" i="2"/>
  <c r="L432" i="2"/>
  <c r="K432" i="2"/>
  <c r="N432" i="2" s="1"/>
  <c r="M431" i="2"/>
  <c r="L431" i="2"/>
  <c r="K431" i="2"/>
  <c r="N431" i="2" s="1"/>
  <c r="M430" i="2"/>
  <c r="L430" i="2"/>
  <c r="K430" i="2"/>
  <c r="N430" i="2" s="1"/>
  <c r="M429" i="2"/>
  <c r="L429" i="2"/>
  <c r="K429" i="2"/>
  <c r="N429" i="2" s="1"/>
  <c r="M428" i="2"/>
  <c r="L428" i="2"/>
  <c r="K428" i="2"/>
  <c r="N428" i="2" s="1"/>
  <c r="M427" i="2"/>
  <c r="L427" i="2"/>
  <c r="K427" i="2"/>
  <c r="N427" i="2" s="1"/>
  <c r="M426" i="2"/>
  <c r="L426" i="2"/>
  <c r="K426" i="2"/>
  <c r="N426" i="2" s="1"/>
  <c r="M425" i="2"/>
  <c r="L425" i="2"/>
  <c r="K425" i="2"/>
  <c r="N425" i="2" s="1"/>
  <c r="M424" i="2"/>
  <c r="L424" i="2"/>
  <c r="K424" i="2"/>
  <c r="N424" i="2" s="1"/>
  <c r="M423" i="2"/>
  <c r="L423" i="2"/>
  <c r="K423" i="2"/>
  <c r="N423" i="2" s="1"/>
  <c r="M422" i="2"/>
  <c r="L422" i="2"/>
  <c r="K422" i="2"/>
  <c r="N422" i="2" s="1"/>
  <c r="M421" i="2"/>
  <c r="L421" i="2"/>
  <c r="K421" i="2"/>
  <c r="N421" i="2" s="1"/>
  <c r="M420" i="2"/>
  <c r="L420" i="2"/>
  <c r="K420" i="2"/>
  <c r="N420" i="2" s="1"/>
  <c r="M419" i="2"/>
  <c r="L419" i="2"/>
  <c r="K419" i="2"/>
  <c r="N419" i="2" s="1"/>
  <c r="M418" i="2"/>
  <c r="L418" i="2"/>
  <c r="K418" i="2"/>
  <c r="N418" i="2" s="1"/>
  <c r="M417" i="2"/>
  <c r="L417" i="2"/>
  <c r="K417" i="2"/>
  <c r="N417" i="2" s="1"/>
  <c r="M416" i="2"/>
  <c r="L416" i="2"/>
  <c r="K416" i="2"/>
  <c r="N416" i="2" s="1"/>
  <c r="M415" i="2"/>
  <c r="L415" i="2"/>
  <c r="K415" i="2"/>
  <c r="N415" i="2" s="1"/>
  <c r="M414" i="2"/>
  <c r="L414" i="2"/>
  <c r="K414" i="2"/>
  <c r="N414" i="2" s="1"/>
  <c r="M413" i="2"/>
  <c r="L413" i="2"/>
  <c r="K413" i="2"/>
  <c r="N413" i="2" s="1"/>
  <c r="M412" i="2"/>
  <c r="L412" i="2"/>
  <c r="K412" i="2"/>
  <c r="N412" i="2" s="1"/>
  <c r="M411" i="2"/>
  <c r="L411" i="2"/>
  <c r="K411" i="2"/>
  <c r="N411" i="2" s="1"/>
  <c r="M410" i="2"/>
  <c r="L410" i="2"/>
  <c r="K410" i="2"/>
  <c r="N410" i="2" s="1"/>
  <c r="M409" i="2"/>
  <c r="L409" i="2"/>
  <c r="K409" i="2"/>
  <c r="N409" i="2" s="1"/>
  <c r="M408" i="2"/>
  <c r="L408" i="2"/>
  <c r="K408" i="2"/>
  <c r="N408" i="2" s="1"/>
  <c r="M407" i="2"/>
  <c r="L407" i="2"/>
  <c r="K407" i="2"/>
  <c r="N407" i="2" s="1"/>
  <c r="M406" i="2"/>
  <c r="L406" i="2"/>
  <c r="K406" i="2"/>
  <c r="N406" i="2" s="1"/>
  <c r="M405" i="2"/>
  <c r="L405" i="2"/>
  <c r="K405" i="2"/>
  <c r="N405" i="2" s="1"/>
  <c r="M404" i="2"/>
  <c r="L404" i="2"/>
  <c r="K404" i="2"/>
  <c r="N404" i="2" s="1"/>
  <c r="M403" i="2"/>
  <c r="L403" i="2"/>
  <c r="K403" i="2"/>
  <c r="N403" i="2" s="1"/>
  <c r="M402" i="2"/>
  <c r="L402" i="2"/>
  <c r="K402" i="2"/>
  <c r="N402" i="2" s="1"/>
  <c r="M401" i="2"/>
  <c r="L401" i="2"/>
  <c r="K401" i="2"/>
  <c r="N401" i="2" s="1"/>
  <c r="M400" i="2"/>
  <c r="L400" i="2"/>
  <c r="K400" i="2"/>
  <c r="N400" i="2" s="1"/>
  <c r="M399" i="2"/>
  <c r="L399" i="2"/>
  <c r="K399" i="2"/>
  <c r="N399" i="2" s="1"/>
  <c r="N398" i="2"/>
  <c r="M398" i="2"/>
  <c r="L398" i="2"/>
  <c r="K398" i="2"/>
  <c r="M397" i="2"/>
  <c r="L397" i="2"/>
  <c r="K397" i="2"/>
  <c r="N397" i="2" s="1"/>
  <c r="M396" i="2"/>
  <c r="L396" i="2"/>
  <c r="K396" i="2"/>
  <c r="N396" i="2" s="1"/>
  <c r="M395" i="2"/>
  <c r="L395" i="2"/>
  <c r="K395" i="2"/>
  <c r="N395" i="2" s="1"/>
  <c r="M394" i="2"/>
  <c r="L394" i="2"/>
  <c r="K394" i="2"/>
  <c r="N394" i="2" s="1"/>
  <c r="M393" i="2"/>
  <c r="L393" i="2"/>
  <c r="K393" i="2"/>
  <c r="N393" i="2" s="1"/>
  <c r="M392" i="2"/>
  <c r="L392" i="2"/>
  <c r="K392" i="2"/>
  <c r="N392" i="2" s="1"/>
  <c r="M391" i="2"/>
  <c r="L391" i="2"/>
  <c r="K391" i="2"/>
  <c r="N391" i="2" s="1"/>
  <c r="M390" i="2"/>
  <c r="L390" i="2"/>
  <c r="K390" i="2"/>
  <c r="N390" i="2" s="1"/>
  <c r="M389" i="2"/>
  <c r="L389" i="2"/>
  <c r="K389" i="2"/>
  <c r="N389" i="2" s="1"/>
  <c r="M388" i="2"/>
  <c r="L388" i="2"/>
  <c r="K388" i="2"/>
  <c r="N388" i="2" s="1"/>
  <c r="M387" i="2"/>
  <c r="L387" i="2"/>
  <c r="K387" i="2"/>
  <c r="N387" i="2" s="1"/>
  <c r="M386" i="2"/>
  <c r="L386" i="2"/>
  <c r="K386" i="2"/>
  <c r="N386" i="2" s="1"/>
  <c r="M385" i="2"/>
  <c r="L385" i="2"/>
  <c r="K385" i="2"/>
  <c r="N385" i="2" s="1"/>
  <c r="M384" i="2"/>
  <c r="L384" i="2"/>
  <c r="K384" i="2"/>
  <c r="N384" i="2" s="1"/>
  <c r="M383" i="2"/>
  <c r="L383" i="2"/>
  <c r="K383" i="2"/>
  <c r="N383" i="2" s="1"/>
  <c r="M382" i="2"/>
  <c r="L382" i="2"/>
  <c r="K382" i="2"/>
  <c r="N382" i="2" s="1"/>
  <c r="M381" i="2"/>
  <c r="L381" i="2"/>
  <c r="K381" i="2"/>
  <c r="N381" i="2" s="1"/>
  <c r="M380" i="2"/>
  <c r="L380" i="2"/>
  <c r="K380" i="2"/>
  <c r="N380" i="2" s="1"/>
  <c r="M379" i="2"/>
  <c r="L379" i="2"/>
  <c r="K379" i="2"/>
  <c r="N379" i="2" s="1"/>
  <c r="M378" i="2"/>
  <c r="L378" i="2"/>
  <c r="K378" i="2"/>
  <c r="N378" i="2" s="1"/>
  <c r="M377" i="2"/>
  <c r="L377" i="2"/>
  <c r="K377" i="2"/>
  <c r="N377" i="2" s="1"/>
  <c r="M376" i="2"/>
  <c r="L376" i="2"/>
  <c r="K376" i="2"/>
  <c r="N376" i="2" s="1"/>
  <c r="M375" i="2"/>
  <c r="L375" i="2"/>
  <c r="K375" i="2"/>
  <c r="N375" i="2" s="1"/>
  <c r="M374" i="2"/>
  <c r="L374" i="2"/>
  <c r="K374" i="2"/>
  <c r="N374" i="2" s="1"/>
  <c r="M373" i="2"/>
  <c r="L373" i="2"/>
  <c r="K373" i="2"/>
  <c r="N373" i="2" s="1"/>
  <c r="M372" i="2"/>
  <c r="L372" i="2"/>
  <c r="K372" i="2"/>
  <c r="N372" i="2" s="1"/>
  <c r="M371" i="2"/>
  <c r="L371" i="2"/>
  <c r="K371" i="2"/>
  <c r="N371" i="2" s="1"/>
  <c r="M370" i="2"/>
  <c r="L370" i="2"/>
  <c r="K370" i="2"/>
  <c r="N370" i="2" s="1"/>
  <c r="M369" i="2"/>
  <c r="L369" i="2"/>
  <c r="K369" i="2"/>
  <c r="N369" i="2" s="1"/>
  <c r="M368" i="2"/>
  <c r="L368" i="2"/>
  <c r="K368" i="2"/>
  <c r="N368" i="2" s="1"/>
  <c r="M367" i="2"/>
  <c r="L367" i="2"/>
  <c r="K367" i="2"/>
  <c r="N367" i="2" s="1"/>
  <c r="M366" i="2"/>
  <c r="L366" i="2"/>
  <c r="K366" i="2"/>
  <c r="N366" i="2" s="1"/>
  <c r="M365" i="2"/>
  <c r="L365" i="2"/>
  <c r="K365" i="2"/>
  <c r="N365" i="2" s="1"/>
  <c r="M364" i="2"/>
  <c r="L364" i="2"/>
  <c r="K364" i="2"/>
  <c r="N364" i="2" s="1"/>
  <c r="M363" i="2"/>
  <c r="L363" i="2"/>
  <c r="K363" i="2"/>
  <c r="N363" i="2" s="1"/>
  <c r="M362" i="2"/>
  <c r="L362" i="2"/>
  <c r="K362" i="2"/>
  <c r="N362" i="2" s="1"/>
  <c r="M361" i="2"/>
  <c r="L361" i="2"/>
  <c r="K361" i="2"/>
  <c r="N361" i="2" s="1"/>
  <c r="M360" i="2"/>
  <c r="L360" i="2"/>
  <c r="K360" i="2"/>
  <c r="N360" i="2" s="1"/>
  <c r="M359" i="2"/>
  <c r="L359" i="2"/>
  <c r="K359" i="2"/>
  <c r="N359" i="2" s="1"/>
  <c r="M358" i="2"/>
  <c r="L358" i="2"/>
  <c r="K358" i="2"/>
  <c r="N358" i="2" s="1"/>
  <c r="M357" i="2"/>
  <c r="L357" i="2"/>
  <c r="K357" i="2"/>
  <c r="N357" i="2" s="1"/>
  <c r="M356" i="2"/>
  <c r="L356" i="2"/>
  <c r="K356" i="2"/>
  <c r="N356" i="2" s="1"/>
  <c r="M355" i="2"/>
  <c r="L355" i="2"/>
  <c r="K355" i="2"/>
  <c r="N355" i="2" s="1"/>
  <c r="M354" i="2"/>
  <c r="L354" i="2"/>
  <c r="K354" i="2"/>
  <c r="N354" i="2" s="1"/>
  <c r="M353" i="2"/>
  <c r="L353" i="2"/>
  <c r="K353" i="2"/>
  <c r="N353" i="2" s="1"/>
  <c r="M352" i="2"/>
  <c r="L352" i="2"/>
  <c r="K352" i="2"/>
  <c r="N352" i="2" s="1"/>
  <c r="M351" i="2"/>
  <c r="L351" i="2"/>
  <c r="K351" i="2"/>
  <c r="N351" i="2" s="1"/>
  <c r="M350" i="2"/>
  <c r="L350" i="2"/>
  <c r="K350" i="2"/>
  <c r="N350" i="2" s="1"/>
  <c r="M349" i="2"/>
  <c r="L349" i="2"/>
  <c r="K349" i="2"/>
  <c r="N349" i="2" s="1"/>
  <c r="M348" i="2"/>
  <c r="L348" i="2"/>
  <c r="K348" i="2"/>
  <c r="N348" i="2" s="1"/>
  <c r="M347" i="2"/>
  <c r="L347" i="2"/>
  <c r="K347" i="2"/>
  <c r="N347" i="2" s="1"/>
  <c r="M346" i="2"/>
  <c r="L346" i="2"/>
  <c r="K346" i="2"/>
  <c r="N346" i="2" s="1"/>
  <c r="M345" i="2"/>
  <c r="L345" i="2"/>
  <c r="K345" i="2"/>
  <c r="N345" i="2" s="1"/>
  <c r="M344" i="2"/>
  <c r="L344" i="2"/>
  <c r="K344" i="2"/>
  <c r="N344" i="2" s="1"/>
  <c r="M343" i="2"/>
  <c r="L343" i="2"/>
  <c r="K343" i="2"/>
  <c r="N343" i="2" s="1"/>
  <c r="M342" i="2"/>
  <c r="L342" i="2"/>
  <c r="K342" i="2"/>
  <c r="N342" i="2" s="1"/>
  <c r="M341" i="2"/>
  <c r="L341" i="2"/>
  <c r="K341" i="2"/>
  <c r="N341" i="2" s="1"/>
  <c r="M340" i="2"/>
  <c r="L340" i="2"/>
  <c r="K340" i="2"/>
  <c r="N340" i="2" s="1"/>
  <c r="M339" i="2"/>
  <c r="L339" i="2"/>
  <c r="K339" i="2"/>
  <c r="N339" i="2" s="1"/>
  <c r="M338" i="2"/>
  <c r="L338" i="2"/>
  <c r="K338" i="2"/>
  <c r="N338" i="2" s="1"/>
  <c r="M337" i="2"/>
  <c r="L337" i="2"/>
  <c r="K337" i="2"/>
  <c r="N337" i="2" s="1"/>
  <c r="M336" i="2"/>
  <c r="L336" i="2"/>
  <c r="K336" i="2"/>
  <c r="N336" i="2" s="1"/>
  <c r="M335" i="2"/>
  <c r="L335" i="2"/>
  <c r="K335" i="2"/>
  <c r="N335" i="2" s="1"/>
  <c r="M334" i="2"/>
  <c r="L334" i="2"/>
  <c r="K334" i="2"/>
  <c r="N334" i="2" s="1"/>
  <c r="M333" i="2"/>
  <c r="L333" i="2"/>
  <c r="K333" i="2"/>
  <c r="N333" i="2" s="1"/>
  <c r="M332" i="2"/>
  <c r="L332" i="2"/>
  <c r="K332" i="2"/>
  <c r="N332" i="2" s="1"/>
  <c r="M331" i="2"/>
  <c r="L331" i="2"/>
  <c r="K331" i="2"/>
  <c r="N331" i="2" s="1"/>
  <c r="M330" i="2"/>
  <c r="L330" i="2"/>
  <c r="K330" i="2"/>
  <c r="N330" i="2" s="1"/>
  <c r="M329" i="2"/>
  <c r="L329" i="2"/>
  <c r="K329" i="2"/>
  <c r="N329" i="2" s="1"/>
  <c r="M328" i="2"/>
  <c r="L328" i="2"/>
  <c r="K328" i="2"/>
  <c r="N328" i="2" s="1"/>
  <c r="M327" i="2"/>
  <c r="L327" i="2"/>
  <c r="K327" i="2"/>
  <c r="N327" i="2" s="1"/>
  <c r="M326" i="2"/>
  <c r="L326" i="2"/>
  <c r="K326" i="2"/>
  <c r="N326" i="2" s="1"/>
  <c r="M325" i="2"/>
  <c r="L325" i="2"/>
  <c r="K325" i="2"/>
  <c r="N325" i="2" s="1"/>
  <c r="M324" i="2"/>
  <c r="L324" i="2"/>
  <c r="K324" i="2"/>
  <c r="N324" i="2" s="1"/>
  <c r="M323" i="2"/>
  <c r="L323" i="2"/>
  <c r="K323" i="2"/>
  <c r="N323" i="2" s="1"/>
  <c r="M322" i="2"/>
  <c r="L322" i="2"/>
  <c r="K322" i="2"/>
  <c r="N322" i="2" s="1"/>
  <c r="M321" i="2"/>
  <c r="L321" i="2"/>
  <c r="K321" i="2"/>
  <c r="N321" i="2" s="1"/>
  <c r="M320" i="2"/>
  <c r="L320" i="2"/>
  <c r="K320" i="2"/>
  <c r="N320" i="2" s="1"/>
  <c r="M319" i="2"/>
  <c r="L319" i="2"/>
  <c r="K319" i="2"/>
  <c r="N319" i="2" s="1"/>
  <c r="M318" i="2"/>
  <c r="L318" i="2"/>
  <c r="K318" i="2"/>
  <c r="N318" i="2" s="1"/>
  <c r="M317" i="2"/>
  <c r="L317" i="2"/>
  <c r="K317" i="2"/>
  <c r="N317" i="2" s="1"/>
  <c r="M316" i="2"/>
  <c r="L316" i="2"/>
  <c r="K316" i="2"/>
  <c r="N316" i="2" s="1"/>
  <c r="M315" i="2"/>
  <c r="L315" i="2"/>
  <c r="K315" i="2"/>
  <c r="N315" i="2" s="1"/>
  <c r="M314" i="2"/>
  <c r="L314" i="2"/>
  <c r="K314" i="2"/>
  <c r="N314" i="2" s="1"/>
  <c r="M313" i="2"/>
  <c r="L313" i="2"/>
  <c r="K313" i="2"/>
  <c r="N313" i="2" s="1"/>
  <c r="M312" i="2"/>
  <c r="L312" i="2"/>
  <c r="K312" i="2"/>
  <c r="N312" i="2" s="1"/>
  <c r="M311" i="2"/>
  <c r="L311" i="2"/>
  <c r="K311" i="2"/>
  <c r="N311" i="2" s="1"/>
  <c r="M310" i="2"/>
  <c r="L310" i="2"/>
  <c r="K310" i="2"/>
  <c r="N310" i="2" s="1"/>
  <c r="M309" i="2"/>
  <c r="L309" i="2"/>
  <c r="K309" i="2"/>
  <c r="N309" i="2" s="1"/>
  <c r="M308" i="2"/>
  <c r="L308" i="2"/>
  <c r="K308" i="2"/>
  <c r="N308" i="2" s="1"/>
  <c r="M307" i="2"/>
  <c r="L307" i="2"/>
  <c r="K307" i="2"/>
  <c r="N307" i="2" s="1"/>
  <c r="M306" i="2"/>
  <c r="L306" i="2"/>
  <c r="K306" i="2"/>
  <c r="N306" i="2" s="1"/>
  <c r="M305" i="2"/>
  <c r="L305" i="2"/>
  <c r="K305" i="2"/>
  <c r="N305" i="2" s="1"/>
  <c r="M304" i="2"/>
  <c r="L304" i="2"/>
  <c r="K304" i="2"/>
  <c r="N304" i="2" s="1"/>
  <c r="M303" i="2"/>
  <c r="L303" i="2"/>
  <c r="K303" i="2"/>
  <c r="N303" i="2" s="1"/>
  <c r="M302" i="2"/>
  <c r="L302" i="2"/>
  <c r="K302" i="2"/>
  <c r="N302" i="2" s="1"/>
  <c r="M301" i="2"/>
  <c r="L301" i="2"/>
  <c r="K301" i="2"/>
  <c r="N301" i="2" s="1"/>
  <c r="M300" i="2"/>
  <c r="L300" i="2"/>
  <c r="K300" i="2"/>
  <c r="N300" i="2" s="1"/>
  <c r="M299" i="2"/>
  <c r="L299" i="2"/>
  <c r="K299" i="2"/>
  <c r="N299" i="2" s="1"/>
  <c r="M298" i="2"/>
  <c r="L298" i="2"/>
  <c r="K298" i="2"/>
  <c r="N298" i="2" s="1"/>
  <c r="M297" i="2"/>
  <c r="L297" i="2"/>
  <c r="K297" i="2"/>
  <c r="N297" i="2" s="1"/>
  <c r="M296" i="2"/>
  <c r="L296" i="2"/>
  <c r="K296" i="2"/>
  <c r="N296" i="2" s="1"/>
  <c r="M295" i="2"/>
  <c r="L295" i="2"/>
  <c r="K295" i="2"/>
  <c r="N295" i="2" s="1"/>
  <c r="M294" i="2"/>
  <c r="L294" i="2"/>
  <c r="K294" i="2"/>
  <c r="N294" i="2" s="1"/>
  <c r="M293" i="2"/>
  <c r="L293" i="2"/>
  <c r="K293" i="2"/>
  <c r="N293" i="2" s="1"/>
  <c r="M292" i="2"/>
  <c r="L292" i="2"/>
  <c r="K292" i="2"/>
  <c r="N292" i="2" s="1"/>
  <c r="M291" i="2"/>
  <c r="L291" i="2"/>
  <c r="K291" i="2"/>
  <c r="N291" i="2" s="1"/>
  <c r="M290" i="2"/>
  <c r="L290" i="2"/>
  <c r="K290" i="2"/>
  <c r="N290" i="2" s="1"/>
  <c r="M289" i="2"/>
  <c r="L289" i="2"/>
  <c r="K289" i="2"/>
  <c r="N289" i="2" s="1"/>
  <c r="M288" i="2"/>
  <c r="L288" i="2"/>
  <c r="K288" i="2"/>
  <c r="N288" i="2" s="1"/>
  <c r="M287" i="2"/>
  <c r="L287" i="2"/>
  <c r="K287" i="2"/>
  <c r="N287" i="2" s="1"/>
  <c r="M286" i="2"/>
  <c r="L286" i="2"/>
  <c r="K286" i="2"/>
  <c r="N286" i="2" s="1"/>
  <c r="M285" i="2"/>
  <c r="L285" i="2"/>
  <c r="K285" i="2"/>
  <c r="N285" i="2" s="1"/>
  <c r="M284" i="2"/>
  <c r="L284" i="2"/>
  <c r="K284" i="2"/>
  <c r="N284" i="2" s="1"/>
  <c r="M283" i="2"/>
  <c r="L283" i="2"/>
  <c r="K283" i="2"/>
  <c r="N283" i="2" s="1"/>
  <c r="M282" i="2"/>
  <c r="L282" i="2"/>
  <c r="K282" i="2"/>
  <c r="N282" i="2" s="1"/>
  <c r="M281" i="2"/>
  <c r="L281" i="2"/>
  <c r="K281" i="2"/>
  <c r="N281" i="2" s="1"/>
  <c r="M280" i="2"/>
  <c r="L280" i="2"/>
  <c r="K280" i="2"/>
  <c r="N280" i="2" s="1"/>
  <c r="M279" i="2"/>
  <c r="L279" i="2"/>
  <c r="K279" i="2"/>
  <c r="N279" i="2" s="1"/>
  <c r="M278" i="2"/>
  <c r="L278" i="2"/>
  <c r="K278" i="2"/>
  <c r="N278" i="2" s="1"/>
  <c r="M277" i="2"/>
  <c r="L277" i="2"/>
  <c r="K277" i="2"/>
  <c r="N277" i="2" s="1"/>
  <c r="M276" i="2"/>
  <c r="L276" i="2"/>
  <c r="K276" i="2"/>
  <c r="N276" i="2" s="1"/>
  <c r="M275" i="2"/>
  <c r="L275" i="2"/>
  <c r="K275" i="2"/>
  <c r="N275" i="2" s="1"/>
  <c r="M274" i="2"/>
  <c r="L274" i="2"/>
  <c r="K274" i="2"/>
  <c r="N274" i="2" s="1"/>
  <c r="M273" i="2"/>
  <c r="L273" i="2"/>
  <c r="K273" i="2"/>
  <c r="N273" i="2" s="1"/>
  <c r="N272" i="2"/>
  <c r="M272" i="2"/>
  <c r="L272" i="2"/>
  <c r="K272" i="2"/>
  <c r="M271" i="2"/>
  <c r="L271" i="2"/>
  <c r="K271" i="2"/>
  <c r="N271" i="2" s="1"/>
  <c r="M270" i="2"/>
  <c r="L270" i="2"/>
  <c r="K270" i="2"/>
  <c r="N270" i="2" s="1"/>
  <c r="M269" i="2"/>
  <c r="L269" i="2"/>
  <c r="K269" i="2"/>
  <c r="N269" i="2" s="1"/>
  <c r="M268" i="2"/>
  <c r="L268" i="2"/>
  <c r="K268" i="2"/>
  <c r="N268" i="2" s="1"/>
  <c r="M267" i="2"/>
  <c r="L267" i="2"/>
  <c r="K267" i="2"/>
  <c r="N267" i="2" s="1"/>
  <c r="M266" i="2"/>
  <c r="L266" i="2"/>
  <c r="K266" i="2"/>
  <c r="N266" i="2" s="1"/>
  <c r="M265" i="2"/>
  <c r="L265" i="2"/>
  <c r="K265" i="2"/>
  <c r="N265" i="2" s="1"/>
  <c r="M264" i="2"/>
  <c r="L264" i="2"/>
  <c r="K264" i="2"/>
  <c r="N264" i="2" s="1"/>
  <c r="M263" i="2"/>
  <c r="L263" i="2"/>
  <c r="K263" i="2"/>
  <c r="N263" i="2" s="1"/>
  <c r="M262" i="2"/>
  <c r="L262" i="2"/>
  <c r="K262" i="2"/>
  <c r="N262" i="2" s="1"/>
  <c r="M261" i="2"/>
  <c r="L261" i="2"/>
  <c r="K261" i="2"/>
  <c r="N261" i="2" s="1"/>
  <c r="M260" i="2"/>
  <c r="B54" i="1" s="1"/>
  <c r="L260" i="2"/>
  <c r="B53" i="1" s="1"/>
  <c r="K260" i="2"/>
  <c r="M259" i="2"/>
  <c r="L259" i="2"/>
  <c r="K259" i="2"/>
  <c r="N259" i="2" s="1"/>
  <c r="M258" i="2"/>
  <c r="L258" i="2"/>
  <c r="K258" i="2"/>
  <c r="N258" i="2" s="1"/>
  <c r="M257" i="2"/>
  <c r="L257" i="2"/>
  <c r="K257" i="2"/>
  <c r="N257" i="2" s="1"/>
  <c r="M256" i="2"/>
  <c r="L256" i="2"/>
  <c r="K256" i="2"/>
  <c r="N256" i="2" s="1"/>
  <c r="M255" i="2"/>
  <c r="L255" i="2"/>
  <c r="K255" i="2"/>
  <c r="N255" i="2" s="1"/>
  <c r="M254" i="2"/>
  <c r="L254" i="2"/>
  <c r="K254" i="2"/>
  <c r="N254" i="2" s="1"/>
  <c r="M253" i="2"/>
  <c r="L253" i="2"/>
  <c r="K253" i="2"/>
  <c r="N253" i="2" s="1"/>
  <c r="M252" i="2"/>
  <c r="L252" i="2"/>
  <c r="K252" i="2"/>
  <c r="N252" i="2" s="1"/>
  <c r="M251" i="2"/>
  <c r="L251" i="2"/>
  <c r="K251" i="2"/>
  <c r="N251" i="2" s="1"/>
  <c r="M250" i="2"/>
  <c r="L250" i="2"/>
  <c r="K250" i="2"/>
  <c r="N250" i="2" s="1"/>
  <c r="M249" i="2"/>
  <c r="L249" i="2"/>
  <c r="K249" i="2"/>
  <c r="N249" i="2" s="1"/>
  <c r="M248" i="2"/>
  <c r="L248" i="2"/>
  <c r="K248" i="2"/>
  <c r="N248" i="2" s="1"/>
  <c r="M247" i="2"/>
  <c r="L247" i="2"/>
  <c r="K247" i="2"/>
  <c r="N247" i="2" s="1"/>
  <c r="M246" i="2"/>
  <c r="L246" i="2"/>
  <c r="K246" i="2"/>
  <c r="N246" i="2" s="1"/>
  <c r="M245" i="2"/>
  <c r="L245" i="2"/>
  <c r="K245" i="2"/>
  <c r="N245" i="2" s="1"/>
  <c r="M244" i="2"/>
  <c r="L244" i="2"/>
  <c r="K244" i="2"/>
  <c r="N244" i="2" s="1"/>
  <c r="M243" i="2"/>
  <c r="L243" i="2"/>
  <c r="K243" i="2"/>
  <c r="N243" i="2" s="1"/>
  <c r="M242" i="2"/>
  <c r="L242" i="2"/>
  <c r="K242" i="2"/>
  <c r="N242" i="2" s="1"/>
  <c r="M241" i="2"/>
  <c r="L241" i="2"/>
  <c r="K241" i="2"/>
  <c r="N241" i="2" s="1"/>
  <c r="M240" i="2"/>
  <c r="L240" i="2"/>
  <c r="K240" i="2"/>
  <c r="N240" i="2" s="1"/>
  <c r="M239" i="2"/>
  <c r="L239" i="2"/>
  <c r="K239" i="2"/>
  <c r="N239" i="2" s="1"/>
  <c r="M238" i="2"/>
  <c r="L238" i="2"/>
  <c r="K238" i="2"/>
  <c r="N238" i="2" s="1"/>
  <c r="M237" i="2"/>
  <c r="L237" i="2"/>
  <c r="K237" i="2"/>
  <c r="N237" i="2" s="1"/>
  <c r="M236" i="2"/>
  <c r="L236" i="2"/>
  <c r="K236" i="2"/>
  <c r="N236" i="2" s="1"/>
  <c r="M235" i="2"/>
  <c r="L235" i="2"/>
  <c r="K235" i="2"/>
  <c r="N235" i="2" s="1"/>
  <c r="M234" i="2"/>
  <c r="L234" i="2"/>
  <c r="K234" i="2"/>
  <c r="N234" i="2" s="1"/>
  <c r="M233" i="2"/>
  <c r="L233" i="2"/>
  <c r="K233" i="2"/>
  <c r="N233" i="2" s="1"/>
  <c r="M232" i="2"/>
  <c r="L232" i="2"/>
  <c r="K232" i="2"/>
  <c r="N232" i="2" s="1"/>
  <c r="M231" i="2"/>
  <c r="L231" i="2"/>
  <c r="K231" i="2"/>
  <c r="N231" i="2" s="1"/>
  <c r="M230" i="2"/>
  <c r="L230" i="2"/>
  <c r="K230" i="2"/>
  <c r="N230" i="2" s="1"/>
  <c r="M229" i="2"/>
  <c r="L229" i="2"/>
  <c r="K229" i="2"/>
  <c r="N229" i="2" s="1"/>
  <c r="M228" i="2"/>
  <c r="L228" i="2"/>
  <c r="K228" i="2"/>
  <c r="N228" i="2" s="1"/>
  <c r="M227" i="2"/>
  <c r="L227" i="2"/>
  <c r="K227" i="2"/>
  <c r="N227" i="2" s="1"/>
  <c r="N226" i="2"/>
  <c r="M226" i="2"/>
  <c r="L226" i="2"/>
  <c r="K226" i="2"/>
  <c r="M225" i="2"/>
  <c r="L225" i="2"/>
  <c r="K225" i="2"/>
  <c r="N225" i="2" s="1"/>
  <c r="M224" i="2"/>
  <c r="L224" i="2"/>
  <c r="K224" i="2"/>
  <c r="N224" i="2" s="1"/>
  <c r="M223" i="2"/>
  <c r="L223" i="2"/>
  <c r="K223" i="2"/>
  <c r="N223" i="2" s="1"/>
  <c r="N222" i="2"/>
  <c r="M222" i="2"/>
  <c r="L222" i="2"/>
  <c r="K222" i="2"/>
  <c r="M221" i="2"/>
  <c r="L221" i="2"/>
  <c r="K221" i="2"/>
  <c r="N221" i="2" s="1"/>
  <c r="M220" i="2"/>
  <c r="L220" i="2"/>
  <c r="K220" i="2"/>
  <c r="N220" i="2" s="1"/>
  <c r="M219" i="2"/>
  <c r="L219" i="2"/>
  <c r="K219" i="2"/>
  <c r="N219" i="2" s="1"/>
  <c r="M218" i="2"/>
  <c r="L218" i="2"/>
  <c r="K218" i="2"/>
  <c r="N218" i="2" s="1"/>
  <c r="M217" i="2"/>
  <c r="L217" i="2"/>
  <c r="K217" i="2"/>
  <c r="N217" i="2" s="1"/>
  <c r="M216" i="2"/>
  <c r="L216" i="2"/>
  <c r="K216" i="2"/>
  <c r="N216" i="2" s="1"/>
  <c r="M215" i="2"/>
  <c r="L215" i="2"/>
  <c r="K215" i="2"/>
  <c r="N215" i="2" s="1"/>
  <c r="M214" i="2"/>
  <c r="L214" i="2"/>
  <c r="K214" i="2"/>
  <c r="N214" i="2" s="1"/>
  <c r="M213" i="2"/>
  <c r="L213" i="2"/>
  <c r="K213" i="2"/>
  <c r="N213" i="2" s="1"/>
  <c r="M212" i="2"/>
  <c r="L212" i="2"/>
  <c r="K212" i="2"/>
  <c r="N212" i="2" s="1"/>
  <c r="M211" i="2"/>
  <c r="L211" i="2"/>
  <c r="K211" i="2"/>
  <c r="N211" i="2" s="1"/>
  <c r="M210" i="2"/>
  <c r="L210" i="2"/>
  <c r="K210" i="2"/>
  <c r="N210" i="2" s="1"/>
  <c r="M209" i="2"/>
  <c r="L209" i="2"/>
  <c r="K209" i="2"/>
  <c r="N209" i="2" s="1"/>
  <c r="M208" i="2"/>
  <c r="L208" i="2"/>
  <c r="K208" i="2"/>
  <c r="N208" i="2" s="1"/>
  <c r="M207" i="2"/>
  <c r="L207" i="2"/>
  <c r="K207" i="2"/>
  <c r="N207" i="2" s="1"/>
  <c r="M206" i="2"/>
  <c r="L206" i="2"/>
  <c r="K206" i="2"/>
  <c r="N206" i="2" s="1"/>
  <c r="M205" i="2"/>
  <c r="L205" i="2"/>
  <c r="K205" i="2"/>
  <c r="N205" i="2" s="1"/>
  <c r="M204" i="2"/>
  <c r="L204" i="2"/>
  <c r="K204" i="2"/>
  <c r="N204" i="2" s="1"/>
  <c r="M203" i="2"/>
  <c r="L203" i="2"/>
  <c r="K203" i="2"/>
  <c r="N203" i="2" s="1"/>
  <c r="M202" i="2"/>
  <c r="L202" i="2"/>
  <c r="K202" i="2"/>
  <c r="N202" i="2" s="1"/>
  <c r="M201" i="2"/>
  <c r="L201" i="2"/>
  <c r="K201" i="2"/>
  <c r="N201" i="2" s="1"/>
  <c r="M200" i="2"/>
  <c r="L200" i="2"/>
  <c r="K200" i="2"/>
  <c r="N200" i="2" s="1"/>
  <c r="M199" i="2"/>
  <c r="L199" i="2"/>
  <c r="K199" i="2"/>
  <c r="N199" i="2" s="1"/>
  <c r="M198" i="2"/>
  <c r="L198" i="2"/>
  <c r="K198" i="2"/>
  <c r="N198" i="2" s="1"/>
  <c r="M197" i="2"/>
  <c r="L197" i="2"/>
  <c r="K197" i="2"/>
  <c r="N197" i="2" s="1"/>
  <c r="M196" i="2"/>
  <c r="L196" i="2"/>
  <c r="K196" i="2"/>
  <c r="N196" i="2" s="1"/>
  <c r="M195" i="2"/>
  <c r="L195" i="2"/>
  <c r="K195" i="2"/>
  <c r="N195" i="2" s="1"/>
  <c r="M194" i="2"/>
  <c r="L194" i="2"/>
  <c r="K194" i="2"/>
  <c r="N194" i="2" s="1"/>
  <c r="M193" i="2"/>
  <c r="L193" i="2"/>
  <c r="K193" i="2"/>
  <c r="N193" i="2" s="1"/>
  <c r="M192" i="2"/>
  <c r="L192" i="2"/>
  <c r="K192" i="2"/>
  <c r="N192" i="2" s="1"/>
  <c r="M191" i="2"/>
  <c r="L191" i="2"/>
  <c r="K191" i="2"/>
  <c r="N191" i="2" s="1"/>
  <c r="M190" i="2"/>
  <c r="L190" i="2"/>
  <c r="K190" i="2"/>
  <c r="N190" i="2" s="1"/>
  <c r="M189" i="2"/>
  <c r="L189" i="2"/>
  <c r="K189" i="2"/>
  <c r="N189" i="2" s="1"/>
  <c r="M188" i="2"/>
  <c r="L188" i="2"/>
  <c r="K188" i="2"/>
  <c r="N188" i="2" s="1"/>
  <c r="M187" i="2"/>
  <c r="L187" i="2"/>
  <c r="K187" i="2"/>
  <c r="N187" i="2" s="1"/>
  <c r="M186" i="2"/>
  <c r="L186" i="2"/>
  <c r="K186" i="2"/>
  <c r="N186" i="2" s="1"/>
  <c r="M185" i="2"/>
  <c r="L185" i="2"/>
  <c r="K185" i="2"/>
  <c r="N185" i="2" s="1"/>
  <c r="M184" i="2"/>
  <c r="L184" i="2"/>
  <c r="K184" i="2"/>
  <c r="N184" i="2" s="1"/>
  <c r="M183" i="2"/>
  <c r="L183" i="2"/>
  <c r="K183" i="2"/>
  <c r="N183" i="2" s="1"/>
  <c r="M182" i="2"/>
  <c r="L182" i="2"/>
  <c r="K182" i="2"/>
  <c r="N182" i="2" s="1"/>
  <c r="M181" i="2"/>
  <c r="L181" i="2"/>
  <c r="K181" i="2"/>
  <c r="N181" i="2" s="1"/>
  <c r="M180" i="2"/>
  <c r="L180" i="2"/>
  <c r="K180" i="2"/>
  <c r="N180" i="2" s="1"/>
  <c r="M179" i="2"/>
  <c r="L179" i="2"/>
  <c r="K179" i="2"/>
  <c r="N179" i="2" s="1"/>
  <c r="M178" i="2"/>
  <c r="L178" i="2"/>
  <c r="K178" i="2"/>
  <c r="N178" i="2" s="1"/>
  <c r="M177" i="2"/>
  <c r="L177" i="2"/>
  <c r="K177" i="2"/>
  <c r="N177" i="2" s="1"/>
  <c r="M176" i="2"/>
  <c r="L176" i="2"/>
  <c r="K176" i="2"/>
  <c r="N176" i="2" s="1"/>
  <c r="M175" i="2"/>
  <c r="L175" i="2"/>
  <c r="K175" i="2"/>
  <c r="N175" i="2" s="1"/>
  <c r="M174" i="2"/>
  <c r="L174" i="2"/>
  <c r="K174" i="2"/>
  <c r="N174" i="2" s="1"/>
  <c r="M173" i="2"/>
  <c r="L173" i="2"/>
  <c r="K173" i="2"/>
  <c r="N173" i="2" s="1"/>
  <c r="M172" i="2"/>
  <c r="L172" i="2"/>
  <c r="K172" i="2"/>
  <c r="N172" i="2" s="1"/>
  <c r="M171" i="2"/>
  <c r="L171" i="2"/>
  <c r="K171" i="2"/>
  <c r="N171" i="2" s="1"/>
  <c r="M170" i="2"/>
  <c r="L170" i="2"/>
  <c r="K170" i="2"/>
  <c r="N170" i="2" s="1"/>
  <c r="M169" i="2"/>
  <c r="L169" i="2"/>
  <c r="K169" i="2"/>
  <c r="N169" i="2" s="1"/>
  <c r="M168" i="2"/>
  <c r="L168" i="2"/>
  <c r="K168" i="2"/>
  <c r="N168" i="2" s="1"/>
  <c r="M167" i="2"/>
  <c r="L167" i="2"/>
  <c r="K167" i="2"/>
  <c r="N167" i="2" s="1"/>
  <c r="M166" i="2"/>
  <c r="L166" i="2"/>
  <c r="K166" i="2"/>
  <c r="N166" i="2" s="1"/>
  <c r="M165" i="2"/>
  <c r="L165" i="2"/>
  <c r="K165" i="2"/>
  <c r="N165" i="2" s="1"/>
  <c r="M164" i="2"/>
  <c r="L164" i="2"/>
  <c r="K164" i="2"/>
  <c r="N164" i="2" s="1"/>
  <c r="M163" i="2"/>
  <c r="L163" i="2"/>
  <c r="K163" i="2"/>
  <c r="N163" i="2" s="1"/>
  <c r="M162" i="2"/>
  <c r="L162" i="2"/>
  <c r="K162" i="2"/>
  <c r="N162" i="2" s="1"/>
  <c r="M161" i="2"/>
  <c r="L161" i="2"/>
  <c r="K161" i="2"/>
  <c r="N161" i="2" s="1"/>
  <c r="M160" i="2"/>
  <c r="L160" i="2"/>
  <c r="K160" i="2"/>
  <c r="N160" i="2" s="1"/>
  <c r="M159" i="2"/>
  <c r="L159" i="2"/>
  <c r="K159" i="2"/>
  <c r="N159" i="2" s="1"/>
  <c r="M158" i="2"/>
  <c r="L158" i="2"/>
  <c r="K158" i="2"/>
  <c r="N158" i="2" s="1"/>
  <c r="M157" i="2"/>
  <c r="L157" i="2"/>
  <c r="K157" i="2"/>
  <c r="N157" i="2" s="1"/>
  <c r="M156" i="2"/>
  <c r="L156" i="2"/>
  <c r="K156" i="2"/>
  <c r="N156" i="2" s="1"/>
  <c r="M155" i="2"/>
  <c r="L155" i="2"/>
  <c r="K155" i="2"/>
  <c r="N155" i="2" s="1"/>
  <c r="M154" i="2"/>
  <c r="L154" i="2"/>
  <c r="K154" i="2"/>
  <c r="N154" i="2" s="1"/>
  <c r="M153" i="2"/>
  <c r="L153" i="2"/>
  <c r="K153" i="2"/>
  <c r="N153" i="2" s="1"/>
  <c r="M152" i="2"/>
  <c r="L152" i="2"/>
  <c r="K152" i="2"/>
  <c r="N152" i="2" s="1"/>
  <c r="M151" i="2"/>
  <c r="L151" i="2"/>
  <c r="K151" i="2"/>
  <c r="N151" i="2" s="1"/>
  <c r="M150" i="2"/>
  <c r="L150" i="2"/>
  <c r="K150" i="2"/>
  <c r="N150" i="2" s="1"/>
  <c r="M149" i="2"/>
  <c r="L149" i="2"/>
  <c r="K149" i="2"/>
  <c r="N149" i="2" s="1"/>
  <c r="M148" i="2"/>
  <c r="L148" i="2"/>
  <c r="K148" i="2"/>
  <c r="N148" i="2" s="1"/>
  <c r="M147" i="2"/>
  <c r="L147" i="2"/>
  <c r="K147" i="2"/>
  <c r="N147" i="2" s="1"/>
  <c r="M146" i="2"/>
  <c r="L146" i="2"/>
  <c r="K146" i="2"/>
  <c r="N146" i="2" s="1"/>
  <c r="M145" i="2"/>
  <c r="L145" i="2"/>
  <c r="K145" i="2"/>
  <c r="N145" i="2" s="1"/>
  <c r="M144" i="2"/>
  <c r="L144" i="2"/>
  <c r="K144" i="2"/>
  <c r="N144" i="2" s="1"/>
  <c r="M143" i="2"/>
  <c r="L143" i="2"/>
  <c r="K143" i="2"/>
  <c r="N143" i="2" s="1"/>
  <c r="M142" i="2"/>
  <c r="L142" i="2"/>
  <c r="K142" i="2"/>
  <c r="N142" i="2" s="1"/>
  <c r="M141" i="2"/>
  <c r="L141" i="2"/>
  <c r="K141" i="2"/>
  <c r="N141" i="2" s="1"/>
  <c r="M140" i="2"/>
  <c r="L140" i="2"/>
  <c r="K140" i="2"/>
  <c r="N140" i="2" s="1"/>
  <c r="M139" i="2"/>
  <c r="L139" i="2"/>
  <c r="K139" i="2"/>
  <c r="N139" i="2" s="1"/>
  <c r="M138" i="2"/>
  <c r="L138" i="2"/>
  <c r="K138" i="2"/>
  <c r="N138" i="2" s="1"/>
  <c r="M137" i="2"/>
  <c r="L137" i="2"/>
  <c r="K137" i="2"/>
  <c r="N137" i="2" s="1"/>
  <c r="M136" i="2"/>
  <c r="L136" i="2"/>
  <c r="K136" i="2"/>
  <c r="N136" i="2" s="1"/>
  <c r="M135" i="2"/>
  <c r="L135" i="2"/>
  <c r="K135" i="2"/>
  <c r="N135" i="2" s="1"/>
  <c r="M134" i="2"/>
  <c r="L134" i="2"/>
  <c r="K134" i="2"/>
  <c r="N134" i="2" s="1"/>
  <c r="M133" i="2"/>
  <c r="L133" i="2"/>
  <c r="K133" i="2"/>
  <c r="N133" i="2" s="1"/>
  <c r="M132" i="2"/>
  <c r="L132" i="2"/>
  <c r="K132" i="2"/>
  <c r="N132" i="2" s="1"/>
  <c r="M131" i="2"/>
  <c r="L131" i="2"/>
  <c r="K131" i="2"/>
  <c r="N131" i="2" s="1"/>
  <c r="M130" i="2"/>
  <c r="L130" i="2"/>
  <c r="K130" i="2"/>
  <c r="N130" i="2" s="1"/>
  <c r="M129" i="2"/>
  <c r="L129" i="2"/>
  <c r="K129" i="2"/>
  <c r="N129" i="2" s="1"/>
  <c r="M128" i="2"/>
  <c r="L128" i="2"/>
  <c r="K128" i="2"/>
  <c r="N128" i="2" s="1"/>
  <c r="M127" i="2"/>
  <c r="L127" i="2"/>
  <c r="K127" i="2"/>
  <c r="N127" i="2" s="1"/>
  <c r="M126" i="2"/>
  <c r="L126" i="2"/>
  <c r="K126" i="2"/>
  <c r="N126" i="2" s="1"/>
  <c r="M125" i="2"/>
  <c r="L125" i="2"/>
  <c r="K125" i="2"/>
  <c r="N125" i="2" s="1"/>
  <c r="M124" i="2"/>
  <c r="L124" i="2"/>
  <c r="K124" i="2"/>
  <c r="N124" i="2" s="1"/>
  <c r="M123" i="2"/>
  <c r="L123" i="2"/>
  <c r="K123" i="2"/>
  <c r="N123" i="2" s="1"/>
  <c r="M122" i="2"/>
  <c r="L122" i="2"/>
  <c r="K122" i="2"/>
  <c r="N122" i="2" s="1"/>
  <c r="M121" i="2"/>
  <c r="L121" i="2"/>
  <c r="K121" i="2"/>
  <c r="N121" i="2" s="1"/>
  <c r="M120" i="2"/>
  <c r="L120" i="2"/>
  <c r="K120" i="2"/>
  <c r="N120" i="2" s="1"/>
  <c r="M119" i="2"/>
  <c r="L119" i="2"/>
  <c r="K119" i="2"/>
  <c r="N119" i="2" s="1"/>
  <c r="M118" i="2"/>
  <c r="L118" i="2"/>
  <c r="K118" i="2"/>
  <c r="N118" i="2" s="1"/>
  <c r="M117" i="2"/>
  <c r="L117" i="2"/>
  <c r="K117" i="2"/>
  <c r="N117" i="2" s="1"/>
  <c r="M116" i="2"/>
  <c r="L116" i="2"/>
  <c r="K116" i="2"/>
  <c r="N116" i="2" s="1"/>
  <c r="M115" i="2"/>
  <c r="L115" i="2"/>
  <c r="K115" i="2"/>
  <c r="N115" i="2" s="1"/>
  <c r="M114" i="2"/>
  <c r="L114" i="2"/>
  <c r="K114" i="2"/>
  <c r="N114" i="2" s="1"/>
  <c r="M113" i="2"/>
  <c r="L113" i="2"/>
  <c r="K113" i="2"/>
  <c r="N113" i="2" s="1"/>
  <c r="M112" i="2"/>
  <c r="L112" i="2"/>
  <c r="K112" i="2"/>
  <c r="N112" i="2" s="1"/>
  <c r="M111" i="2"/>
  <c r="L111" i="2"/>
  <c r="K111" i="2"/>
  <c r="N111" i="2" s="1"/>
  <c r="M110" i="2"/>
  <c r="L110" i="2"/>
  <c r="K110" i="2"/>
  <c r="N110" i="2" s="1"/>
  <c r="M109" i="2"/>
  <c r="L109" i="2"/>
  <c r="K109" i="2"/>
  <c r="N109" i="2" s="1"/>
  <c r="M108" i="2"/>
  <c r="L108" i="2"/>
  <c r="K108" i="2"/>
  <c r="N108" i="2" s="1"/>
  <c r="M107" i="2"/>
  <c r="L107" i="2"/>
  <c r="K107" i="2"/>
  <c r="N107" i="2" s="1"/>
  <c r="M106" i="2"/>
  <c r="L106" i="2"/>
  <c r="K106" i="2"/>
  <c r="N106" i="2" s="1"/>
  <c r="M105" i="2"/>
  <c r="L105" i="2"/>
  <c r="K105" i="2"/>
  <c r="N105" i="2" s="1"/>
  <c r="M104" i="2"/>
  <c r="L104" i="2"/>
  <c r="K104" i="2"/>
  <c r="N104" i="2" s="1"/>
  <c r="M103" i="2"/>
  <c r="L103" i="2"/>
  <c r="K103" i="2"/>
  <c r="N103" i="2" s="1"/>
  <c r="M102" i="2"/>
  <c r="L102" i="2"/>
  <c r="K102" i="2"/>
  <c r="N102" i="2" s="1"/>
  <c r="M101" i="2"/>
  <c r="L101" i="2"/>
  <c r="K101" i="2"/>
  <c r="N101" i="2" s="1"/>
  <c r="M100" i="2"/>
  <c r="L100" i="2"/>
  <c r="K100" i="2"/>
  <c r="N100" i="2" s="1"/>
  <c r="M99" i="2"/>
  <c r="L99" i="2"/>
  <c r="K99" i="2"/>
  <c r="N99" i="2" s="1"/>
  <c r="M98" i="2"/>
  <c r="L98" i="2"/>
  <c r="K98" i="2"/>
  <c r="N98" i="2" s="1"/>
  <c r="M97" i="2"/>
  <c r="L97" i="2"/>
  <c r="K97" i="2"/>
  <c r="N97" i="2" s="1"/>
  <c r="M96" i="2"/>
  <c r="L96" i="2"/>
  <c r="K96" i="2"/>
  <c r="N96" i="2" s="1"/>
  <c r="M95" i="2"/>
  <c r="L95" i="2"/>
  <c r="K95" i="2"/>
  <c r="N95" i="2" s="1"/>
  <c r="M94" i="2"/>
  <c r="L94" i="2"/>
  <c r="K94" i="2"/>
  <c r="N94" i="2" s="1"/>
  <c r="M93" i="2"/>
  <c r="L93" i="2"/>
  <c r="K93" i="2"/>
  <c r="N93" i="2" s="1"/>
  <c r="M92" i="2"/>
  <c r="L92" i="2"/>
  <c r="K92" i="2"/>
  <c r="N92" i="2" s="1"/>
  <c r="M91" i="2"/>
  <c r="L91" i="2"/>
  <c r="K91" i="2"/>
  <c r="N91" i="2" s="1"/>
  <c r="M90" i="2"/>
  <c r="L90" i="2"/>
  <c r="K90" i="2"/>
  <c r="N90" i="2" s="1"/>
  <c r="M89" i="2"/>
  <c r="L89" i="2"/>
  <c r="K89" i="2"/>
  <c r="N89" i="2" s="1"/>
  <c r="M88" i="2"/>
  <c r="L88" i="2"/>
  <c r="K88" i="2"/>
  <c r="N88" i="2" s="1"/>
  <c r="M87" i="2"/>
  <c r="L87" i="2"/>
  <c r="K87" i="2"/>
  <c r="N87" i="2" s="1"/>
  <c r="M86" i="2"/>
  <c r="L86" i="2"/>
  <c r="K86" i="2"/>
  <c r="N86" i="2" s="1"/>
  <c r="M85" i="2"/>
  <c r="L85" i="2"/>
  <c r="K85" i="2"/>
  <c r="N85" i="2" s="1"/>
  <c r="M84" i="2"/>
  <c r="L84" i="2"/>
  <c r="K84" i="2"/>
  <c r="N84" i="2" s="1"/>
  <c r="M83" i="2"/>
  <c r="L83" i="2"/>
  <c r="K83" i="2"/>
  <c r="N83" i="2" s="1"/>
  <c r="M82" i="2"/>
  <c r="L82" i="2"/>
  <c r="K82" i="2"/>
  <c r="N82" i="2" s="1"/>
  <c r="M81" i="2"/>
  <c r="L81" i="2"/>
  <c r="K81" i="2"/>
  <c r="N81" i="2" s="1"/>
  <c r="M80" i="2"/>
  <c r="L80" i="2"/>
  <c r="K80" i="2"/>
  <c r="N80" i="2" s="1"/>
  <c r="M79" i="2"/>
  <c r="L79" i="2"/>
  <c r="K79" i="2"/>
  <c r="N79" i="2" s="1"/>
  <c r="M78" i="2"/>
  <c r="L78" i="2"/>
  <c r="K78" i="2"/>
  <c r="N78" i="2" s="1"/>
  <c r="M77" i="2"/>
  <c r="L77" i="2"/>
  <c r="K77" i="2"/>
  <c r="N77" i="2" s="1"/>
  <c r="M76" i="2"/>
  <c r="L76" i="2"/>
  <c r="K76" i="2"/>
  <c r="N76" i="2" s="1"/>
  <c r="M75" i="2"/>
  <c r="L75" i="2"/>
  <c r="K75" i="2"/>
  <c r="N75" i="2" s="1"/>
  <c r="M74" i="2"/>
  <c r="L74" i="2"/>
  <c r="K74" i="2"/>
  <c r="N74" i="2" s="1"/>
  <c r="M73" i="2"/>
  <c r="L73" i="2"/>
  <c r="K73" i="2"/>
  <c r="N73" i="2" s="1"/>
  <c r="M72" i="2"/>
  <c r="L72" i="2"/>
  <c r="K72" i="2"/>
  <c r="N72" i="2" s="1"/>
  <c r="M71" i="2"/>
  <c r="L71" i="2"/>
  <c r="K71" i="2"/>
  <c r="N71" i="2" s="1"/>
  <c r="M70" i="2"/>
  <c r="L70" i="2"/>
  <c r="K70" i="2"/>
  <c r="N70" i="2" s="1"/>
  <c r="M69" i="2"/>
  <c r="L69" i="2"/>
  <c r="K69" i="2"/>
  <c r="N69" i="2" s="1"/>
  <c r="M68" i="2"/>
  <c r="L68" i="2"/>
  <c r="K68" i="2"/>
  <c r="N68" i="2" s="1"/>
  <c r="M67" i="2"/>
  <c r="L67" i="2"/>
  <c r="K67" i="2"/>
  <c r="N67" i="2" s="1"/>
  <c r="M66" i="2"/>
  <c r="L66" i="2"/>
  <c r="K66" i="2"/>
  <c r="N66" i="2" s="1"/>
  <c r="M65" i="2"/>
  <c r="L65" i="2"/>
  <c r="K65" i="2"/>
  <c r="N65" i="2" s="1"/>
  <c r="M64" i="2"/>
  <c r="L64" i="2"/>
  <c r="K64" i="2"/>
  <c r="N64" i="2" s="1"/>
  <c r="M63" i="2"/>
  <c r="L63" i="2"/>
  <c r="K63" i="2"/>
  <c r="N63" i="2" s="1"/>
  <c r="M62" i="2"/>
  <c r="L62" i="2"/>
  <c r="K62" i="2"/>
  <c r="N62" i="2" s="1"/>
  <c r="M61" i="2"/>
  <c r="L61" i="2"/>
  <c r="K61" i="2"/>
  <c r="N61" i="2" s="1"/>
  <c r="M60" i="2"/>
  <c r="L60" i="2"/>
  <c r="K60" i="2"/>
  <c r="N60" i="2" s="1"/>
  <c r="M59" i="2"/>
  <c r="L59" i="2"/>
  <c r="K59" i="2"/>
  <c r="N59" i="2" s="1"/>
  <c r="M58" i="2"/>
  <c r="L58" i="2"/>
  <c r="K58" i="2"/>
  <c r="N58" i="2" s="1"/>
  <c r="M57" i="2"/>
  <c r="L57" i="2"/>
  <c r="K57" i="2"/>
  <c r="N57" i="2" s="1"/>
  <c r="M56" i="2"/>
  <c r="L56" i="2"/>
  <c r="K56" i="2"/>
  <c r="N56" i="2" s="1"/>
  <c r="M55" i="2"/>
  <c r="L55" i="2"/>
  <c r="K55" i="2"/>
  <c r="N55" i="2" s="1"/>
  <c r="M54" i="2"/>
  <c r="L54" i="2"/>
  <c r="K54" i="2"/>
  <c r="N54" i="2" s="1"/>
  <c r="M53" i="2"/>
  <c r="L53" i="2"/>
  <c r="K53" i="2"/>
  <c r="N53" i="2" s="1"/>
  <c r="M52" i="2"/>
  <c r="L52" i="2"/>
  <c r="K52" i="2"/>
  <c r="N52" i="2" s="1"/>
  <c r="M51" i="2"/>
  <c r="L51" i="2"/>
  <c r="K51" i="2"/>
  <c r="N51" i="2" s="1"/>
  <c r="M50" i="2"/>
  <c r="L50" i="2"/>
  <c r="K50" i="2"/>
  <c r="N50" i="2" s="1"/>
  <c r="M49" i="2"/>
  <c r="L49" i="2"/>
  <c r="K49" i="2"/>
  <c r="N49" i="2" s="1"/>
  <c r="M48" i="2"/>
  <c r="L48" i="2"/>
  <c r="K48" i="2"/>
  <c r="N48" i="2" s="1"/>
  <c r="M47" i="2"/>
  <c r="L47" i="2"/>
  <c r="K47" i="2"/>
  <c r="N47" i="2" s="1"/>
  <c r="M46" i="2"/>
  <c r="L46" i="2"/>
  <c r="K46" i="2"/>
  <c r="N46" i="2" s="1"/>
  <c r="M45" i="2"/>
  <c r="L45" i="2"/>
  <c r="K45" i="2"/>
  <c r="N45" i="2" s="1"/>
  <c r="M44" i="2"/>
  <c r="L44" i="2"/>
  <c r="K44" i="2"/>
  <c r="N44" i="2" s="1"/>
  <c r="M43" i="2"/>
  <c r="L43" i="2"/>
  <c r="K43" i="2"/>
  <c r="N43" i="2" s="1"/>
  <c r="M42" i="2"/>
  <c r="L42" i="2"/>
  <c r="K42" i="2"/>
  <c r="N42" i="2" s="1"/>
  <c r="M41" i="2"/>
  <c r="L41" i="2"/>
  <c r="K41" i="2"/>
  <c r="N41" i="2" s="1"/>
  <c r="M40" i="2"/>
  <c r="L40" i="2"/>
  <c r="K40" i="2"/>
  <c r="N40" i="2" s="1"/>
  <c r="M39" i="2"/>
  <c r="L39" i="2"/>
  <c r="K39" i="2"/>
  <c r="N39" i="2" s="1"/>
  <c r="M38" i="2"/>
  <c r="L38" i="2"/>
  <c r="K38" i="2"/>
  <c r="N38" i="2" s="1"/>
  <c r="M37" i="2"/>
  <c r="L37" i="2"/>
  <c r="K37" i="2"/>
  <c r="N37" i="2" s="1"/>
  <c r="M36" i="2"/>
  <c r="L36" i="2"/>
  <c r="K36" i="2"/>
  <c r="N36" i="2" s="1"/>
  <c r="M35" i="2"/>
  <c r="L35" i="2"/>
  <c r="K35" i="2"/>
  <c r="N35" i="2" s="1"/>
  <c r="M34" i="2"/>
  <c r="L34" i="2"/>
  <c r="K34" i="2"/>
  <c r="N34" i="2" s="1"/>
  <c r="M33" i="2"/>
  <c r="L33" i="2"/>
  <c r="K33" i="2"/>
  <c r="N33" i="2" s="1"/>
  <c r="M32" i="2"/>
  <c r="L32" i="2"/>
  <c r="K32" i="2"/>
  <c r="N32" i="2" s="1"/>
  <c r="M31" i="2"/>
  <c r="L31" i="2"/>
  <c r="K31" i="2"/>
  <c r="N31" i="2" s="1"/>
  <c r="M30" i="2"/>
  <c r="L30" i="2"/>
  <c r="K30" i="2"/>
  <c r="N30" i="2" s="1"/>
  <c r="M29" i="2"/>
  <c r="L29" i="2"/>
  <c r="K29" i="2"/>
  <c r="N29" i="2" s="1"/>
  <c r="M28" i="2"/>
  <c r="L28" i="2"/>
  <c r="K28" i="2"/>
  <c r="N28" i="2" s="1"/>
  <c r="M27" i="2"/>
  <c r="L27" i="2"/>
  <c r="K27" i="2"/>
  <c r="N27" i="2" s="1"/>
  <c r="M26" i="2"/>
  <c r="L26" i="2"/>
  <c r="K26" i="2"/>
  <c r="N26" i="2" s="1"/>
  <c r="M25" i="2"/>
  <c r="L25" i="2"/>
  <c r="K25" i="2"/>
  <c r="N25" i="2" s="1"/>
  <c r="M24" i="2"/>
  <c r="L24" i="2"/>
  <c r="K24" i="2"/>
  <c r="N24" i="2" s="1"/>
  <c r="M23" i="2"/>
  <c r="L23" i="2"/>
  <c r="K23" i="2"/>
  <c r="N23" i="2" s="1"/>
  <c r="M22" i="2"/>
  <c r="L22" i="2"/>
  <c r="K22" i="2"/>
  <c r="N22" i="2" s="1"/>
  <c r="M21" i="2"/>
  <c r="L21" i="2"/>
  <c r="K21" i="2"/>
  <c r="N21" i="2" s="1"/>
  <c r="M20" i="2"/>
  <c r="L20" i="2"/>
  <c r="K20" i="2"/>
  <c r="N20" i="2" s="1"/>
  <c r="M19" i="2"/>
  <c r="L19" i="2"/>
  <c r="K19" i="2"/>
  <c r="N19" i="2" s="1"/>
  <c r="M18" i="2"/>
  <c r="L18" i="2"/>
  <c r="K18" i="2"/>
  <c r="N18" i="2" s="1"/>
  <c r="M17" i="2"/>
  <c r="L17" i="2"/>
  <c r="K17" i="2"/>
  <c r="N17" i="2" s="1"/>
  <c r="M16" i="2"/>
  <c r="L16" i="2"/>
  <c r="K16" i="2"/>
  <c r="N16" i="2" s="1"/>
  <c r="M15" i="2"/>
  <c r="L15" i="2"/>
  <c r="K15" i="2"/>
  <c r="N15" i="2" s="1"/>
  <c r="M14" i="2"/>
  <c r="L14" i="2"/>
  <c r="K14" i="2"/>
  <c r="N14" i="2" s="1"/>
  <c r="M13" i="2"/>
  <c r="L13" i="2"/>
  <c r="K13" i="2"/>
  <c r="N13" i="2" s="1"/>
  <c r="M12" i="2"/>
  <c r="L12" i="2"/>
  <c r="K12" i="2"/>
  <c r="N12" i="2" s="1"/>
  <c r="M11" i="2"/>
  <c r="L11" i="2"/>
  <c r="K11" i="2"/>
  <c r="N11" i="2" s="1"/>
  <c r="M10" i="2"/>
  <c r="L10" i="2"/>
  <c r="K10" i="2"/>
  <c r="N10" i="2" s="1"/>
  <c r="M9" i="2"/>
  <c r="L9" i="2"/>
  <c r="K9" i="2"/>
  <c r="N9" i="2" s="1"/>
  <c r="M8" i="2"/>
  <c r="L8" i="2"/>
  <c r="K8" i="2"/>
  <c r="N8" i="2" s="1"/>
  <c r="M7" i="2"/>
  <c r="L7" i="2"/>
  <c r="K7" i="2"/>
  <c r="N7" i="2" s="1"/>
  <c r="M6" i="2"/>
  <c r="L6" i="2"/>
  <c r="K6" i="2"/>
  <c r="N6" i="2" s="1"/>
  <c r="M5" i="2"/>
  <c r="L5" i="2"/>
  <c r="K5" i="2"/>
  <c r="N5" i="2" s="1"/>
  <c r="B50" i="1"/>
  <c r="B49" i="1"/>
  <c r="B44" i="1"/>
  <c r="B43" i="1"/>
  <c r="B42" i="1"/>
  <c r="D37" i="1"/>
  <c r="C37" i="1"/>
  <c r="B37" i="1"/>
  <c r="B36" i="1"/>
  <c r="B35" i="1"/>
  <c r="B34" i="1"/>
  <c r="B33" i="1"/>
  <c r="B32" i="1"/>
  <c r="B26" i="1"/>
  <c r="B25" i="1"/>
  <c r="B24" i="1"/>
  <c r="C24" i="1" s="1"/>
  <c r="B19" i="1"/>
  <c r="B18" i="1"/>
  <c r="B17" i="1"/>
  <c r="B16" i="1"/>
  <c r="B15" i="1"/>
  <c r="B14" i="1"/>
  <c r="B13" i="1"/>
  <c r="B12" i="1"/>
  <c r="B9" i="1"/>
  <c r="B8" i="1"/>
  <c r="B7" i="1"/>
  <c r="B6" i="1"/>
  <c r="B5" i="1"/>
  <c r="C61" i="4" l="1"/>
  <c r="D61" i="4"/>
  <c r="G61" i="4"/>
  <c r="B40" i="4"/>
  <c r="H61" i="4"/>
  <c r="C40" i="4"/>
  <c r="D40" i="4" s="1"/>
  <c r="E37" i="1"/>
  <c r="B61" i="4"/>
  <c r="F61" i="4"/>
  <c r="E61" i="4"/>
  <c r="C26" i="1"/>
  <c r="B51" i="1"/>
  <c r="C25" i="1"/>
  <c r="N19" i="3"/>
  <c r="B46" i="3"/>
  <c r="B42" i="3"/>
  <c r="M19" i="3"/>
  <c r="B44" i="3"/>
  <c r="B45" i="3"/>
  <c r="B41" i="3"/>
  <c r="B40" i="3"/>
  <c r="B33" i="3"/>
  <c r="B34" i="3"/>
  <c r="B30" i="3"/>
  <c r="B29" i="3"/>
  <c r="G60" i="4"/>
  <c r="H60" i="4"/>
  <c r="C60" i="4"/>
  <c r="D60" i="4"/>
  <c r="F60" i="4"/>
  <c r="E60" i="4"/>
  <c r="B60" i="4"/>
  <c r="H59" i="4"/>
  <c r="G59" i="4"/>
  <c r="C59" i="4"/>
  <c r="D59" i="4"/>
  <c r="E59" i="4"/>
  <c r="B59" i="4"/>
  <c r="F59" i="4"/>
  <c r="F58" i="4"/>
  <c r="E58" i="4"/>
  <c r="D58" i="4"/>
  <c r="C58" i="4"/>
  <c r="H58" i="4"/>
  <c r="B58" i="4"/>
  <c r="G58" i="4"/>
  <c r="H57" i="4"/>
  <c r="G57" i="4"/>
  <c r="C57" i="4"/>
  <c r="D57" i="4"/>
  <c r="F57" i="4"/>
  <c r="E57" i="4"/>
  <c r="B57" i="4"/>
  <c r="H56" i="4"/>
  <c r="G56" i="4"/>
  <c r="D56" i="4"/>
  <c r="C56" i="4"/>
  <c r="B56" i="4"/>
  <c r="F56" i="4"/>
  <c r="E56" i="4"/>
  <c r="D55" i="4"/>
  <c r="C55" i="4"/>
  <c r="E55" i="4"/>
  <c r="F55" i="4"/>
  <c r="H55" i="4"/>
  <c r="G55" i="4"/>
  <c r="B55" i="4"/>
  <c r="C54" i="4"/>
  <c r="D54" i="4"/>
  <c r="F54" i="4"/>
  <c r="E54" i="4"/>
  <c r="G54" i="4"/>
  <c r="H54" i="4"/>
  <c r="B54" i="4"/>
  <c r="C53" i="4"/>
  <c r="D53" i="4"/>
  <c r="H53" i="4"/>
  <c r="G53" i="4"/>
  <c r="E53" i="4"/>
  <c r="F53" i="4"/>
  <c r="B53" i="4"/>
  <c r="C36" i="1"/>
  <c r="D36" i="1"/>
  <c r="H24" i="4"/>
  <c r="G24" i="4"/>
  <c r="D24" i="4"/>
  <c r="C24" i="4"/>
  <c r="E24" i="4"/>
  <c r="B24" i="4"/>
  <c r="F24" i="4"/>
  <c r="G23" i="4"/>
  <c r="H23" i="4"/>
  <c r="C23" i="4"/>
  <c r="D23" i="4"/>
  <c r="B23" i="4"/>
  <c r="E23" i="4"/>
  <c r="F23" i="4"/>
  <c r="G22" i="4"/>
  <c r="H22" i="4"/>
  <c r="D22" i="4"/>
  <c r="C22" i="4"/>
  <c r="B22" i="4"/>
  <c r="F22" i="4"/>
  <c r="E22" i="4"/>
  <c r="H21" i="4"/>
  <c r="G21" i="4"/>
  <c r="C21" i="4"/>
  <c r="D21" i="4"/>
  <c r="E21" i="4"/>
  <c r="B21" i="4"/>
  <c r="F21" i="4"/>
  <c r="G20" i="4"/>
  <c r="H20" i="4"/>
  <c r="D20" i="4"/>
  <c r="C20" i="4"/>
  <c r="F20" i="4"/>
  <c r="B20" i="4"/>
  <c r="E20" i="4"/>
  <c r="F19" i="4"/>
  <c r="E19" i="4"/>
  <c r="D19" i="4"/>
  <c r="C19" i="4"/>
  <c r="H19" i="4"/>
  <c r="G19" i="4"/>
  <c r="B19" i="4"/>
  <c r="F18" i="4"/>
  <c r="E18" i="4"/>
  <c r="C18" i="4"/>
  <c r="D18" i="4"/>
  <c r="G18" i="4"/>
  <c r="H18" i="4"/>
  <c r="B18" i="4"/>
  <c r="I18" i="4" s="1"/>
  <c r="G17" i="4"/>
  <c r="H17" i="4"/>
  <c r="C17" i="4"/>
  <c r="D17" i="4"/>
  <c r="E17" i="4"/>
  <c r="F17" i="4"/>
  <c r="B17" i="4"/>
  <c r="N260" i="2"/>
  <c r="D33" i="1" s="1"/>
  <c r="B52" i="1"/>
  <c r="G16" i="4"/>
  <c r="H16" i="4"/>
  <c r="C16" i="4"/>
  <c r="D16" i="4"/>
  <c r="E16" i="4"/>
  <c r="B16" i="4"/>
  <c r="F16" i="4"/>
  <c r="D15" i="4"/>
  <c r="C15" i="4"/>
  <c r="C32" i="1"/>
  <c r="D32" i="1"/>
  <c r="H15" i="4"/>
  <c r="G15" i="4"/>
  <c r="E15" i="4"/>
  <c r="B15" i="4"/>
  <c r="F15" i="4"/>
  <c r="H14" i="4"/>
  <c r="G14" i="4"/>
  <c r="C14" i="4"/>
  <c r="D14" i="4"/>
  <c r="B14" i="4"/>
  <c r="F14" i="4"/>
  <c r="E14" i="4"/>
  <c r="G13" i="4"/>
  <c r="H13" i="4"/>
  <c r="D13" i="4"/>
  <c r="C13" i="4"/>
  <c r="E13" i="4"/>
  <c r="B13" i="4"/>
  <c r="F13" i="4"/>
  <c r="G12" i="4"/>
  <c r="H12" i="4"/>
  <c r="C12" i="4"/>
  <c r="D12" i="4"/>
  <c r="E12" i="4"/>
  <c r="F12" i="4"/>
  <c r="B12" i="4"/>
  <c r="H11" i="4"/>
  <c r="G11" i="4"/>
  <c r="D11" i="4"/>
  <c r="C11" i="4"/>
  <c r="B11" i="4"/>
  <c r="E11" i="4"/>
  <c r="F11" i="4"/>
  <c r="G10" i="4"/>
  <c r="H10" i="4"/>
  <c r="D10" i="4"/>
  <c r="C10" i="4"/>
  <c r="E10" i="4"/>
  <c r="B10" i="4"/>
  <c r="F10" i="4"/>
  <c r="H9" i="4"/>
  <c r="G9" i="4"/>
  <c r="D9" i="4"/>
  <c r="C9" i="4"/>
  <c r="B9" i="4"/>
  <c r="E9" i="4"/>
  <c r="F9" i="4"/>
  <c r="H8" i="4"/>
  <c r="G8" i="4"/>
  <c r="C8" i="4"/>
  <c r="D8" i="4"/>
  <c r="B8" i="4"/>
  <c r="F8" i="4"/>
  <c r="E8" i="4"/>
  <c r="C39" i="4"/>
  <c r="B39" i="4"/>
  <c r="D7" i="4"/>
  <c r="C7" i="4"/>
  <c r="F7" i="4"/>
  <c r="E7" i="4"/>
  <c r="B31" i="4"/>
  <c r="H7" i="4"/>
  <c r="B7" i="4"/>
  <c r="G7" i="4"/>
  <c r="C31" i="4"/>
  <c r="C42" i="1"/>
  <c r="D42" i="1"/>
  <c r="C44" i="1"/>
  <c r="C33" i="4"/>
  <c r="B33" i="4"/>
  <c r="D44" i="1"/>
  <c r="C6" i="4"/>
  <c r="D6" i="4"/>
  <c r="C33" i="1"/>
  <c r="E6" i="4"/>
  <c r="C34" i="1"/>
  <c r="F6" i="4"/>
  <c r="D34" i="1"/>
  <c r="G6" i="4"/>
  <c r="C43" i="1"/>
  <c r="D43" i="1"/>
  <c r="D35" i="1"/>
  <c r="C38" i="4"/>
  <c r="H6" i="4"/>
  <c r="B32" i="4"/>
  <c r="B38" i="4"/>
  <c r="B6" i="4"/>
  <c r="C35" i="1"/>
  <c r="E35" i="1" s="1"/>
  <c r="C32" i="4"/>
  <c r="D31" i="4" l="1"/>
  <c r="I10" i="4"/>
  <c r="I54" i="4"/>
  <c r="I19" i="4"/>
  <c r="I61" i="4"/>
  <c r="I59" i="4"/>
  <c r="I16" i="4"/>
  <c r="I57" i="4"/>
  <c r="I55" i="4"/>
  <c r="I22" i="4"/>
  <c r="I56" i="4"/>
  <c r="I24" i="4"/>
  <c r="E33" i="1"/>
  <c r="I14" i="4"/>
  <c r="I15" i="4"/>
  <c r="I13" i="4"/>
  <c r="E43" i="1"/>
  <c r="B94" i="4"/>
  <c r="I53" i="4"/>
  <c r="B26" i="4"/>
  <c r="I6" i="4"/>
  <c r="D32" i="4"/>
  <c r="I60" i="4"/>
  <c r="I58" i="4"/>
  <c r="I21" i="4"/>
  <c r="E36" i="1"/>
  <c r="I20" i="4"/>
  <c r="I23" i="4"/>
  <c r="I17" i="4"/>
  <c r="E32" i="1"/>
  <c r="I12" i="4"/>
  <c r="I11" i="4"/>
  <c r="I9" i="4"/>
  <c r="I8" i="4"/>
  <c r="E42" i="1"/>
  <c r="D39" i="4"/>
  <c r="I7" i="4"/>
  <c r="E44" i="1"/>
  <c r="D33" i="4"/>
  <c r="C26" i="4"/>
  <c r="E26" i="4"/>
  <c r="E34" i="1"/>
  <c r="G26" i="4"/>
  <c r="D38" i="4"/>
  <c r="I26" i="4" l="1"/>
  <c r="I94" i="4"/>
</calcChain>
</file>

<file path=xl/sharedStrings.xml><?xml version="1.0" encoding="utf-8"?>
<sst xmlns="http://schemas.openxmlformats.org/spreadsheetml/2006/main" count="3618" uniqueCount="348">
  <si>
    <t>Live Cohort Scoreboard — Phase 3-A out-of-sample guardrail</t>
  </si>
  <si>
    <t>Auto-generated by guardrail_trace.py · source: Signals tab · as of 2026-06-25. One row per live cohort. 'Held' = the guardrail's pairwise claim, 50-59% &gt; 60-69% (distinct from the tracker's stricter 'is 50-59 the top band' Pattern). Regime is keyed off the cohort-wide +5d hit rate: &lt;40% compressed (bands can't separate), &gt;55% clean — weight compressed cohorts lightly.</t>
  </si>
  <si>
    <t>Cohort</t>
  </si>
  <si>
    <t>n</t>
  </si>
  <si>
    <t>50-59% (h/n)</t>
  </si>
  <si>
    <t>50-59%</t>
  </si>
  <si>
    <t>Held (50-59&gt;60-69)</t>
  </si>
  <si>
    <t>Cohort band order (by hit)</t>
  </si>
  <si>
    <t>Cum lead (pt)</t>
  </si>
  <si>
    <t>Cohort hit%</t>
  </si>
  <si>
    <t>Regime</t>
  </si>
  <si>
    <t>6 of 15</t>
  </si>
  <si>
    <t>NO</t>
  </si>
  <si>
    <t>40-49 50%(2) = 60-69 50%(6) &gt; 50-59 40%(15)</t>
  </si>
  <si>
    <t>mixed</t>
  </si>
  <si>
    <t>3 of 10</t>
  </si>
  <si>
    <t>YES</t>
  </si>
  <si>
    <t>40-49 100%(1) &gt; 50-59 30%(10) &gt; 60-69 27%(11)</t>
  </si>
  <si>
    <t>compressed</t>
  </si>
  <si>
    <t>5 of 13</t>
  </si>
  <si>
    <t>60-69 75%(8) &gt; 50-59 38%(13) &gt; 40-49 33%(3)</t>
  </si>
  <si>
    <t>7 of 11</t>
  </si>
  <si>
    <t>60-69 83%(6) &gt; 50-59 64%(11) &gt; 40-49 14%(7)</t>
  </si>
  <si>
    <t>6 of 11</t>
  </si>
  <si>
    <t>60-69 67%(6) &gt; 50-59 55%(11) &gt; 40-49 33%(6)</t>
  </si>
  <si>
    <t>8 of 10</t>
  </si>
  <si>
    <t>60-69 86%(7) &gt; 50-59 80%(10) &gt; 40-49 57%(7)</t>
  </si>
  <si>
    <t>clean</t>
  </si>
  <si>
    <t>5 of 8</t>
  </si>
  <si>
    <t>60-69 88%(8) &gt; 50-59 62%(8) &gt; 40-49 50%(6)</t>
  </si>
  <si>
    <t>4 of 9</t>
  </si>
  <si>
    <t>60-69 71%(7) &gt; 40-49 50%(6) &gt; 50-59 44%(9)</t>
  </si>
  <si>
    <t>Pairwise held (50-59 &gt; 60-69): 1 of 8 live cohorts</t>
  </si>
  <si>
    <t>Cumulative lead through 2026-06-25: -0.7pt   ·   compressed cohorts are low-information — weight them lightly</t>
  </si>
  <si>
    <t>Claude Equity Bot — Performance Dashboard</t>
  </si>
  <si>
    <t>Auto-updates as you fill in Price +5d/+10d/+20d on the Signals tab</t>
  </si>
  <si>
    <t>SIGNAL DISTRIBUTION</t>
  </si>
  <si>
    <t>Total Signals</t>
  </si>
  <si>
    <t>BUY Signals</t>
  </si>
  <si>
    <t>SELL Signals</t>
  </si>
  <si>
    <t>HOLD Signals</t>
  </si>
  <si>
    <t>% HOLD</t>
  </si>
  <si>
    <t>CONFIDENCE STATS</t>
  </si>
  <si>
    <t>Average Confidence</t>
  </si>
  <si>
    <t>Median Confidence</t>
  </si>
  <si>
    <t>Highest Confidence</t>
  </si>
  <si>
    <t>Lowest Confidence</t>
  </si>
  <si>
    <t># Signals ≥ 70% (actionable)</t>
  </si>
  <si>
    <t># Signals ≥ 60% (better than coin toss)</t>
  </si>
  <si>
    <t># Signals &lt; 45% (weak)</t>
  </si>
  <si>
    <t># Signals &lt; 40% (very weak)</t>
  </si>
  <si>
    <t>DATA QUALITY DISTRIBUTION</t>
  </si>
  <si>
    <t>Quality</t>
  </si>
  <si>
    <t>Count</t>
  </si>
  <si>
    <t>% of Total</t>
  </si>
  <si>
    <t>HIGH</t>
  </si>
  <si>
    <t>MEDIUM</t>
  </si>
  <si>
    <t>LOW</t>
  </si>
  <si>
    <t>ACCURACY BY CONFIDENCE BAND (5-Day Horizon)</t>
  </si>
  <si>
    <t>Updates as you fill in 5-day prices. Bands compare 'was claude right' vs total signals in each band.</t>
  </si>
  <si>
    <t>Confidence Band</t>
  </si>
  <si>
    <t>YES (Right)</t>
  </si>
  <si>
    <t>NO (Wrong)</t>
  </si>
  <si>
    <t>Hit Rate</t>
  </si>
  <si>
    <t>0-39%</t>
  </si>
  <si>
    <t>40-49%</t>
  </si>
  <si>
    <t>60-69%</t>
  </si>
  <si>
    <t>70-79%</t>
  </si>
  <si>
    <t>80-100%</t>
  </si>
  <si>
    <t>ACCURACY BY DATA QUALITY (5-Day Horizon)</t>
  </si>
  <si>
    <t>Data Quality</t>
  </si>
  <si>
    <t>Total</t>
  </si>
  <si>
    <t>FILL-IN PROGRESS</t>
  </si>
  <si>
    <t>Tracks how much outcome data has been entered. Update Price +5d/+10d/+20d on Signals tab.</t>
  </si>
  <si>
    <t>Filled-in 5-Day Prices</t>
  </si>
  <si>
    <t>% Complete (5-Day)</t>
  </si>
  <si>
    <t>Avg Return 5-Day</t>
  </si>
  <si>
    <t>Avg Return 10-Day</t>
  </si>
  <si>
    <t>Avg Return 20-Day</t>
  </si>
  <si>
    <t>Claude Equity Bot — Signal Outcome Tracker</t>
  </si>
  <si>
    <t>Yellow cells = fill in manually as time passes  |  Gray cells = auto-calculated  |  Formulas update as you enter prices</t>
  </si>
  <si>
    <t>Date</t>
  </si>
  <si>
    <t>Ticker</t>
  </si>
  <si>
    <t>Account</t>
  </si>
  <si>
    <t>Signal</t>
  </si>
  <si>
    <t>Conf %</t>
  </si>
  <si>
    <t>Price at Signal</t>
  </si>
  <si>
    <t>Price +5d</t>
  </si>
  <si>
    <t>Price +10d</t>
  </si>
  <si>
    <t>Price +20d</t>
  </si>
  <si>
    <t>Return +5d</t>
  </si>
  <si>
    <t>Return +10d</t>
  </si>
  <si>
    <t>Return +20d</t>
  </si>
  <si>
    <t>Was Claude Right? (5d)</t>
  </si>
  <si>
    <t>Notes / Outcome</t>
  </si>
  <si>
    <t>WMT</t>
  </si>
  <si>
    <t>Roth IRA,Individual</t>
  </si>
  <si>
    <t>HOLD</t>
  </si>
  <si>
    <t>NTR</t>
  </si>
  <si>
    <t>Roth IRA</t>
  </si>
  <si>
    <t>MSFT</t>
  </si>
  <si>
    <t>NKE</t>
  </si>
  <si>
    <t>SCHD</t>
  </si>
  <si>
    <t>AAPL</t>
  </si>
  <si>
    <t>DOW</t>
  </si>
  <si>
    <t>AIQ</t>
  </si>
  <si>
    <t>JPM</t>
  </si>
  <si>
    <t>GM</t>
  </si>
  <si>
    <t>PWR</t>
  </si>
  <si>
    <t>XLU</t>
  </si>
  <si>
    <t>PM</t>
  </si>
  <si>
    <t>FTI</t>
  </si>
  <si>
    <t>AG</t>
  </si>
  <si>
    <t>Individual</t>
  </si>
  <si>
    <t>CBRS</t>
  </si>
  <si>
    <t>RTX</t>
  </si>
  <si>
    <t>CORN</t>
  </si>
  <si>
    <t>SND</t>
  </si>
  <si>
    <t>SPY</t>
  </si>
  <si>
    <t>Scout</t>
  </si>
  <si>
    <t>QQQ</t>
  </si>
  <si>
    <t>VTI</t>
  </si>
  <si>
    <t>NVDA</t>
  </si>
  <si>
    <t>GLD</t>
  </si>
  <si>
    <t>BUY</t>
  </si>
  <si>
    <t>First BUY signal. Rejected: 62% &lt; 70% threshold</t>
  </si>
  <si>
    <t>AG skipped 6/1 — Schwab 429 rate limit on quote fetch. No signal recorded. Phase 3 fix: add retry/backoff to quote client. +5d mark unavailable from run. Backfill from Schwab close if doing full cohort.</t>
  </si>
  <si>
    <t>FTI skipped 6/1 — Schwab 429 rate limit on quote fetch. No signal recorded. Phase 3 fix: add retry/backoff to quote client. +5d mark unavailable from run. Backfill from Schwab close if doing full cohort.</t>
  </si>
  <si>
    <t>SELL</t>
  </si>
  <si>
    <t>Near-Miss BUY Signals — Threshold Calibration Cohort (auto-generated)</t>
  </si>
  <si>
    <t>AUTO-GENERATED from the Signals tab — do not hand-edit. BUY signals rejected by the 70% threshold (60–69% confidence). Prices/returns are sourced from Signals; +Nd dates are trading-day offsets.</t>
  </si>
  <si>
    <t>Signal Date</t>
  </si>
  <si>
    <t>+5d Date</t>
  </si>
  <si>
    <t>+10d Date</t>
  </si>
  <si>
    <t>Was Claude Right? (10d)</t>
  </si>
  <si>
    <t>Notes</t>
  </si>
  <si>
    <t>Segment</t>
  </si>
  <si>
    <t>LOCKED</t>
  </si>
  <si>
    <t>EXTENDED</t>
  </si>
  <si>
    <t>LOCKED — final 7-of-7 verdict cohort</t>
  </si>
  <si>
    <t>signals on/before 2026-06-01 · immutable</t>
  </si>
  <si>
    <t>Near-miss BUYs (n)</t>
  </si>
  <si>
    <t>Completed +5d</t>
  </si>
  <si>
    <t>Hit count (+5d &gt; 0)</t>
  </si>
  <si>
    <t>Hit rate +5d</t>
  </si>
  <si>
    <t>Avg +5d return</t>
  </si>
  <si>
    <t>Completed +10d</t>
  </si>
  <si>
    <t>Hit count (+10d &gt; 0)</t>
  </si>
  <si>
    <t>Hit rate +10d</t>
  </si>
  <si>
    <t>Avg +10d return</t>
  </si>
  <si>
    <t>EXTENDED — running post-lock tracking</t>
  </si>
  <si>
    <t>signals after 2026-06-01 · fills over time</t>
  </si>
  <si>
    <t>TOTAL near-miss BUYs</t>
  </si>
  <si>
    <t>VERDICT — RESOLVED 2026-06-12 (Phase 2 close)</t>
  </si>
  <si>
    <t>Decision: KEEP 70% threshold</t>
  </si>
  <si>
    <t>Locked 7-of-7 cohort: hit rate 57.1% &lt; 75.0% required AND avg +5d -0.9% &lt; 3.0% required. Both gates fail; extended post-lock set corroborates (running). KEEP 70% confirmed at the 6/12 review.</t>
  </si>
  <si>
    <t>Loosening gates: hit rate ≥ 75.0% AND avg +5d ≥ 3.0% → lower to 65%. Locked cohort 57.1% / -0.9% fails both.</t>
  </si>
  <si>
    <t>Source: claude_equity_bot_tracker.xlsx · Signals tab · generated 2026-07-06 15:28 · near-miss band [60%, 70%) · +Nd = trading days (weekends + NYSE holidays excluded).</t>
  </si>
  <si>
    <t>Cohort Analysis — Calibration Evidence by Confidence Band</t>
  </si>
  <si>
    <t>Hit rate by confidence band, per cohort. Looking for the pattern: highest hit rate in 50-59%, lowest hit rate in 40-49%, with absolute returns inverse (highest abs return in lowest-conf band).</t>
  </si>
  <si>
    <t>Section 1: Hit Rate by Confidence Band (+5d)</t>
  </si>
  <si>
    <t>Cohort Date</t>
  </si>
  <si>
    <t>Sample (with +5d)</t>
  </si>
  <si>
    <t>40-49% Hit Rate</t>
  </si>
  <si>
    <t>40-49% n</t>
  </si>
  <si>
    <t>50-59% Hit Rate</t>
  </si>
  <si>
    <t>50-59% n</t>
  </si>
  <si>
    <t>60-69% Hit Rate</t>
  </si>
  <si>
    <t>60-69% n</t>
  </si>
  <si>
    <t>Pattern Holds?</t>
  </si>
  <si>
    <t>2026-05-18</t>
  </si>
  <si>
    <t>2026-05-19</t>
  </si>
  <si>
    <t>2026-05-20</t>
  </si>
  <si>
    <t>2026-05-21</t>
  </si>
  <si>
    <t>2026-05-22</t>
  </si>
  <si>
    <t>2026-05-26</t>
  </si>
  <si>
    <t>2026-05-27</t>
  </si>
  <si>
    <t>2026-05-28</t>
  </si>
  <si>
    <t>2026-05-29</t>
  </si>
  <si>
    <t>2026-06-01</t>
  </si>
  <si>
    <t>2026-06-02</t>
  </si>
  <si>
    <t>2026-06-03</t>
  </si>
  <si>
    <t>2026-06-04</t>
  </si>
  <si>
    <t>2026-06-05</t>
  </si>
  <si>
    <t>2026-06-08</t>
  </si>
  <si>
    <t>2026-06-09</t>
  </si>
  <si>
    <t>2026-06-10</t>
  </si>
  <si>
    <t>2026-06-11</t>
  </si>
  <si>
    <t>2026-06-12</t>
  </si>
  <si>
    <t>ACROSS ALL COHORTS</t>
  </si>
  <si>
    <t>Section 2: Hit Rate by Data Quality (+5d, all cohorts combined)</t>
  </si>
  <si>
    <t>Hit Count</t>
  </si>
  <si>
    <t>Section 3: Hit Rate by Signal Type (+5d, all cohorts)</t>
  </si>
  <si>
    <t>Signal Type</t>
  </si>
  <si>
    <t>Bot says 'no significant move'; measured as |return| &lt; 3%</t>
  </si>
  <si>
    <t>Bot says 'go up'; measured as return &gt; 0</t>
  </si>
  <si>
    <t>Bot says 'go down'; measured as return &lt; 0</t>
  </si>
  <si>
    <t>Reading Guide</t>
  </si>
  <si>
    <t>• All formulas are live — they refresh automatically as you fill +5d prices in the Signals tab.</t>
  </si>
  <si>
    <t>• Section 1 'Pattern Holds?' fires YES when the 50-59% band has a higher hit rate than both the 40-49% and 60-69% bands.</t>
  </si>
  <si>
    <t>• Once 3+ cohorts show 'Pattern Holds? = YES', the calibration finding is statistically meaningful.</t>
  </si>
  <si>
    <t>• Section 2 (Data Quality) — LOW outperforming MEDIUM is likely a confound, not skill. See analyst_notes.md.</t>
  </si>
  <si>
    <t>• Section 3 (Signal Type) — currently dominated by HOLD; BUY/SELL stats are sparse until more non-HOLD signals accumulate.</t>
  </si>
  <si>
    <t>Section 4: Phase 3-A Cohorts — Hit Rate by Confidence Band (+5d)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</si>
  <si>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</si>
  <si>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</si>
  <si>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</si>
  <si>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</si>
  <si>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</si>
  <si>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</si>
  <si>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</si>
  <si>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2026-06-25</t>
  </si>
  <si>
    <t>2026-06-26</t>
  </si>
  <si>
    <t>2026-06-29</t>
  </si>
  <si>
    <t>2026-06-30</t>
  </si>
  <si>
    <t>2026-07-01</t>
  </si>
  <si>
    <t>2026-07-02</t>
  </si>
  <si>
    <t>2026-07-06</t>
  </si>
  <si>
    <t>2026-07-07</t>
  </si>
  <si>
    <t>2026-07-08</t>
  </si>
  <si>
    <t>2026-07-09</t>
  </si>
  <si>
    <t>2026-07-10</t>
  </si>
  <si>
    <t>2026-07-13</t>
  </si>
  <si>
    <t>2026-07-14</t>
  </si>
  <si>
    <t>2026-07-15</t>
  </si>
  <si>
    <t>2026-07-16</t>
  </si>
  <si>
    <t>2026-07-17</t>
  </si>
  <si>
    <t>2026-07-20</t>
  </si>
  <si>
    <t>2026-07-21</t>
  </si>
  <si>
    <t>2026-07-22</t>
  </si>
  <si>
    <t>2026-07-23</t>
  </si>
  <si>
    <t>2026-07-24</t>
  </si>
  <si>
    <t>2026-07-27</t>
  </si>
  <si>
    <t>2026-07-28</t>
  </si>
  <si>
    <t>2026-07-29</t>
  </si>
  <si>
    <t>2026-07-30</t>
  </si>
  <si>
    <t>2026-07-31</t>
  </si>
  <si>
    <t>2026-08-03</t>
  </si>
  <si>
    <t>2026-08-04</t>
  </si>
  <si>
    <t>2026-08-05</t>
  </si>
  <si>
    <t>2026-08-06</t>
  </si>
  <si>
    <t>2026-08-07</t>
  </si>
  <si>
    <t>2026-08-10</t>
  </si>
  <si>
    <t>2026-08-11</t>
  </si>
  <si>
    <t>ACROSS PHASE 3-A COHORTS</t>
  </si>
  <si>
    <t>• Phase 3-A cohorts auto-populate as you paste signals and fill +5d prices. Same GO/NO-GO: 50-59% should lead. Section 1 (Phase 2) above is frozen/certified.</t>
  </si>
  <si>
    <t>How to Use This Tracker</t>
  </si>
  <si>
    <t>Goal</t>
  </si>
  <si>
    <t>Determine whether Claude's signals have predictive value before advancing to Phase 3 (paper trading).</t>
  </si>
  <si>
    <t>Workflow</t>
  </si>
  <si>
    <t>1. Daily</t>
  </si>
  <si>
    <t>Run bot, run analyzer. New signals get added manually to the Signals tab.</t>
  </si>
  <si>
    <t>2. +5 days later</t>
  </si>
  <si>
    <t>Look up the actual price for each ticker that day. Enter it in the yellow 'Price +5d' column.</t>
  </si>
  <si>
    <t>3. +10 days later</t>
  </si>
  <si>
    <t>Same — fill in 'Price +10d' column.</t>
  </si>
  <si>
    <t>4. +20 days later</t>
  </si>
  <si>
    <t>Same — fill in 'Price +20d' column.</t>
  </si>
  <si>
    <t>5. Watch Dashboard</t>
  </si>
  <si>
    <t>Returns and hit-rates auto-calculate. Patterns emerge after ~20+ data points.</t>
  </si>
  <si>
    <t>Color Code</t>
  </si>
  <si>
    <t>Yellow cells</t>
  </si>
  <si>
    <t>Manual entry — you fill these in over time.</t>
  </si>
  <si>
    <t>Gray cells</t>
  </si>
  <si>
    <t>Auto-calculated formulas — don't edit.</t>
  </si>
  <si>
    <t>Green YES cell</t>
  </si>
  <si>
    <t>Claude's signal was directionally correct.</t>
  </si>
  <si>
    <t>Red NO cell</t>
  </si>
  <si>
    <t>Claude's signal was directionally wrong.</t>
  </si>
  <si>
    <t>Hit-Rate Logic</t>
  </si>
  <si>
    <t>HOLD signal</t>
  </si>
  <si>
    <t>Counted RIGHT if absolute 5-day return &lt; 3% (i.e., stock stayed flat as predicted).</t>
  </si>
  <si>
    <t>BUY signal</t>
  </si>
  <si>
    <t>Counted RIGHT if 5-day return &gt; 0%.</t>
  </si>
  <si>
    <t>SELL signal</t>
  </si>
  <si>
    <t>Counted RIGHT if 5-day return &lt; 0%.</t>
  </si>
  <si>
    <t>Decision Criteria</t>
  </si>
  <si>
    <t>After 3 weeks of data</t>
  </si>
  <si>
    <t>Look at Dashboard. Three key tests:</t>
  </si>
  <si>
    <t>Test 1</t>
  </si>
  <si>
    <t>Does hit-rate at 70%+ confidence exceed hit-rate at 40-50% confidence?</t>
  </si>
  <si>
    <t>Test 2</t>
  </si>
  <si>
    <t>Does HIGH data quality outperform MEDIUM/LOW?</t>
  </si>
  <si>
    <t>Test 3</t>
  </si>
  <si>
    <t>Do at least a few BUY/SELL signals appear, not just HOLDs?</t>
  </si>
  <si>
    <t>If yes to all three</t>
  </si>
  <si>
    <t>Advance to Phase 3 (paper trading).</t>
  </si>
  <si>
    <t>If no</t>
  </si>
  <si>
    <t>Review prompts, news sources, or risk engine thresholds before advancing.</t>
  </si>
  <si>
    <t>Important</t>
  </si>
  <si>
    <t>Honest scoring</t>
  </si>
  <si>
    <t>Don't fudge the 'right/wrong' calls. The whole point is empirical evidence.</t>
  </si>
  <si>
    <t>Sample size</t>
  </si>
  <si>
    <t>Don't conclude anything from &lt; 30 outcome data points. Statistical noise dominates.</t>
  </si>
  <si>
    <t>Phase discipline</t>
  </si>
  <si>
    <t>Resist changing prompts or thresholds mid-experiment. Tune AFTER you have data.</t>
  </si>
  <si>
    <t>Guardrail Compression Trace — cumulative +5d hit rate by confidence band</t>
  </si>
  <si>
    <t>Auto-generated by guardrail_trace.py · source: Signals tab · as of 2026-06-25. The 50-59% band must lead 60-69%.</t>
  </si>
  <si>
    <t>50-59 (coh)</t>
  </si>
  <si>
    <t>60-69 (coh)</t>
  </si>
  <si>
    <t>cum 50-59</t>
  </si>
  <si>
    <t>cum 60-69</t>
  </si>
  <si>
    <t>cum 40-49</t>
  </si>
  <si>
    <t>lead gap (pt)</t>
  </si>
  <si>
    <t>8/14</t>
  </si>
  <si>
    <t>2/4</t>
  </si>
  <si>
    <t>5/10</t>
  </si>
  <si>
    <t>1/7</t>
  </si>
  <si>
    <t>3/7</t>
  </si>
  <si>
    <t>1/3</t>
  </si>
  <si>
    <t>5/12</t>
  </si>
  <si>
    <t>2/3</t>
  </si>
  <si>
    <t>6/12</t>
  </si>
  <si>
    <t>9/14</t>
  </si>
  <si>
    <t>11/13</t>
  </si>
  <si>
    <t>4/5</t>
  </si>
  <si>
    <t>10/13</t>
  </si>
  <si>
    <t>1/2</t>
  </si>
  <si>
    <t>8/11</t>
  </si>
  <si>
    <t>4/6</t>
  </si>
  <si>
    <t>6/8</t>
  </si>
  <si>
    <t>3/6</t>
  </si>
  <si>
    <t>3/10</t>
  </si>
  <si>
    <t>4/11</t>
  </si>
  <si>
    <t>1/5</t>
  </si>
  <si>
    <t>7/13</t>
  </si>
  <si>
    <t>7/11</t>
  </si>
  <si>
    <t>2/5</t>
  </si>
  <si>
    <t>3/5</t>
  </si>
  <si>
    <t>8/12</t>
  </si>
  <si>
    <t>3/4</t>
  </si>
  <si>
    <t>7/12</t>
  </si>
  <si>
    <t>6/10</t>
  </si>
  <si>
    <t>6/15</t>
  </si>
  <si>
    <t>3/11</t>
  </si>
  <si>
    <t>5/13</t>
  </si>
  <si>
    <t>5/6</t>
  </si>
  <si>
    <t>6/11</t>
  </si>
  <si>
    <t>8/10</t>
  </si>
  <si>
    <t>6/7</t>
  </si>
  <si>
    <t>5/8</t>
  </si>
  <si>
    <t>7/8</t>
  </si>
  <si>
    <t>4/9</t>
  </si>
  <si>
    <t>5/7</t>
  </si>
  <si>
    <t>As of 2026-06-25</t>
  </si>
  <si>
    <t>50-59% 56.4%   ·   60-69% 57.1%   ·   40-49% 44.4%</t>
  </si>
  <si>
    <t>lead (50-59 over 60-69): -0.7pt    ·    drift from certified 61.3%: -4.9pt</t>
  </si>
  <si>
    <t>lead gap, last 3 cohorts: narrowing (+2.2pt → -0.7pt)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</si>
</sst>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yyyy\-mm\-dd"/>
    <numFmt numFmtId="166" formatCode="\$#,##0.00"/>
    <numFmt numFmtId="167" formatCode="0.0%;[Red]\(0.0%\);\-"/>
    <numFmt numFmtId="168" formatCode="0.0%;[Red]\-0.0%"/>
    <numFmt numFmtId="169" formatCode="m/d"/>
    <numFmt numFmtId="170" formatCode="0.0"/>
  </numFmts>
  <fonts count="23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i/>
      <sz val="10"/>
      <color rgb="FF595959"/>
      <name val="Calibri"/>
      <charset val="1"/>
    </font>
    <font>
      <b/>
      <sz val="12"/>
      <color rgb="FF1F4E79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1"/>
      <color rgb="FFFFFFFF"/>
      <name val="Calibri"/>
      <charset val="1"/>
    </font>
    <font>
      <b/>
      <sz val="11"/>
      <color rgb="FF1F4E79"/>
      <name val="Calibri"/>
      <charset val="1"/>
    </font>
    <font>
      <b/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b/>
      <sz val="12"/>
      <color rgb="FF000000"/>
      <name val="Arial"/>
    </font>
    <font>
      <sz val="9"/>
      <color rgb="FF000000"/>
      <name val="Arial"/>
    </font>
    <font>
      <b/>
      <sz val="9"/>
      <color rgb="FFFFFFFF"/>
      <name val="Arial"/>
    </font>
    <font>
      <sz val="10"/>
      <color rgb="FF000000"/>
      <name val="Arial"/>
    </font>
    <font>
      <b/>
      <sz val="10"/>
      <color rgb="FF000000"/>
      <name val="Arial"/>
    </font>
    <font>
      <sz val="9"/>
      <color rgb="FF808080"/>
      <name val="Arial"/>
    </font>
    <font>
      <b/>
      <sz val="9"/>
      <color rgb="FF000000"/>
      <name val="Arial"/>
    </font>
    <font>
      <b/>
      <sz val="10"/>
      <color rgb="FF1F4E78"/>
      <name val="Arial"/>
    </font>
    <font>
      <sz val="8"/>
      <color rgb="FF808080"/>
      <name val="Arial"/>
    </font>
    <font>
      <b/>
      <sz val="13"/>
      <name val="Calibri"/>
    </font>
    <font>
      <i/>
      <sz val="9"/>
      <color rgb="FF666666"/>
      <name val="Calibri"/>
    </font>
    <font>
      <b/>
      <sz val="10"/>
      <color rgb="FFFFFFFF"/>
      <name val="Calibri"/>
    </font>
    <font>
      <b/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  <fill>
      <patternFill patternType="solid">
        <fgColor rgb="FF1F4E79"/>
        <bgColor rgb="FF1F4E78"/>
      </patternFill>
    </fill>
    <fill>
      <patternFill patternType="solid">
        <fgColor rgb="FFFFF2CC"/>
        <bgColor rgb="FFFEF7E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1A237E"/>
      </patternFill>
    </fill>
    <fill>
      <patternFill patternType="solid">
        <fgColor rgb="FF0B6E4F"/>
      </patternFill>
    </fill>
    <fill>
      <patternFill patternType="solid">
        <fgColor rgb="FFFCE8E6"/>
      </patternFill>
    </fill>
    <fill>
      <patternFill patternType="solid">
        <fgColor rgb="FFF1F3F4"/>
      </patternFill>
    </fill>
    <fill>
      <patternFill patternType="solid">
        <fgColor rgb="FFE6F4EA"/>
      </patternFill>
    </fill>
    <fill>
      <patternFill patternType="solid">
        <fgColor rgb="FFFEF7E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0" fillId="0" borderId="5" xfId="0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4" fillId="0" borderId="0" xfId="0" applyFont="1"/>
    <xf numFmtId="0" fontId="5" fillId="3" borderId="0" xfId="0" applyFont="1" applyFill="1"/>
    <xf numFmtId="164" fontId="5" fillId="3" borderId="0" xfId="0" applyNumberFormat="1" applyFont="1" applyFill="1"/>
    <xf numFmtId="1" fontId="5" fillId="3" borderId="0" xfId="0" applyNumberFormat="1" applyFont="1" applyFill="1"/>
    <xf numFmtId="0" fontId="6" fillId="4" borderId="0" xfId="0" applyFont="1" applyFill="1" applyAlignment="1">
      <alignment horizontal="center" vertical="center"/>
    </xf>
    <xf numFmtId="0" fontId="5" fillId="0" borderId="0" xfId="0" applyFont="1"/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10" fontId="5" fillId="3" borderId="0" xfId="0" applyNumberFormat="1" applyFont="1" applyFill="1"/>
    <xf numFmtId="165" fontId="0" fillId="0" borderId="1" xfId="0" applyNumberFormat="1" applyBorder="1"/>
    <xf numFmtId="0" fontId="0" fillId="0" borderId="1" xfId="0" applyBorder="1"/>
    <xf numFmtId="9" fontId="0" fillId="0" borderId="1" xfId="0" applyNumberFormat="1" applyBorder="1"/>
    <xf numFmtId="166" fontId="0" fillId="0" borderId="1" xfId="0" applyNumberFormat="1" applyBorder="1"/>
    <xf numFmtId="166" fontId="5" fillId="5" borderId="1" xfId="0" applyNumberFormat="1" applyFont="1" applyFill="1" applyBorder="1"/>
    <xf numFmtId="165" fontId="0" fillId="0" borderId="0" xfId="0" applyNumberFormat="1"/>
    <xf numFmtId="9" fontId="0" fillId="0" borderId="0" xfId="0" applyNumberFormat="1"/>
    <xf numFmtId="166" fontId="0" fillId="0" borderId="0" xfId="0" applyNumberFormat="1"/>
    <xf numFmtId="166" fontId="5" fillId="0" borderId="4" xfId="0" applyNumberFormat="1" applyFont="1" applyBorder="1"/>
    <xf numFmtId="0" fontId="6" fillId="4" borderId="1" xfId="0" applyFont="1" applyFill="1" applyBorder="1" applyAlignment="1">
      <alignment horizontal="center" vertical="center"/>
    </xf>
    <xf numFmtId="165" fontId="5" fillId="0" borderId="1" xfId="0" applyNumberFormat="1" applyFont="1" applyBorder="1"/>
    <xf numFmtId="0" fontId="5" fillId="0" borderId="1" xfId="0" applyFont="1" applyBorder="1"/>
    <xf numFmtId="9" fontId="5" fillId="0" borderId="1" xfId="0" applyNumberFormat="1" applyFont="1" applyBorder="1"/>
    <xf numFmtId="166" fontId="5" fillId="0" borderId="1" xfId="0" applyNumberFormat="1" applyFont="1" applyBorder="1"/>
    <xf numFmtId="167" fontId="5" fillId="3" borderId="1" xfId="0" applyNumberFormat="1" applyFont="1" applyFill="1" applyBorder="1"/>
    <xf numFmtId="0" fontId="5" fillId="3" borderId="1" xfId="0" applyFont="1" applyFill="1" applyBorder="1"/>
    <xf numFmtId="165" fontId="0" fillId="6" borderId="1" xfId="0" applyNumberFormat="1" applyFill="1" applyBorder="1"/>
    <xf numFmtId="0" fontId="0" fillId="6" borderId="1" xfId="0" applyFill="1" applyBorder="1"/>
    <xf numFmtId="9" fontId="0" fillId="6" borderId="1" xfId="0" applyNumberFormat="1" applyFill="1" applyBorder="1"/>
    <xf numFmtId="166" fontId="0" fillId="6" borderId="1" xfId="0" applyNumberFormat="1" applyFill="1" applyBorder="1"/>
    <xf numFmtId="166" fontId="5" fillId="6" borderId="1" xfId="0" applyNumberFormat="1" applyFont="1" applyFill="1" applyBorder="1"/>
    <xf numFmtId="167" fontId="5" fillId="6" borderId="1" xfId="0" applyNumberFormat="1" applyFont="1" applyFill="1" applyBorder="1"/>
    <xf numFmtId="0" fontId="0" fillId="0" borderId="1" xfId="0" applyBorder="1" applyAlignment="1">
      <alignment wrapText="1"/>
    </xf>
    <xf numFmtId="0" fontId="6" fillId="4" borderId="5" xfId="0" applyFont="1" applyFill="1" applyBorder="1" applyAlignment="1">
      <alignment horizontal="center" vertical="center" wrapText="1"/>
    </xf>
    <xf numFmtId="1" fontId="0" fillId="3" borderId="5" xfId="0" applyNumberFormat="1" applyFill="1" applyBorder="1" applyAlignment="1">
      <alignment horizontal="right" vertical="center" wrapText="1"/>
    </xf>
    <xf numFmtId="9" fontId="0" fillId="3" borderId="5" xfId="0" applyNumberFormat="1" applyFill="1" applyBorder="1" applyAlignment="1">
      <alignment horizontal="right" vertical="center" wrapText="1"/>
    </xf>
    <xf numFmtId="0" fontId="0" fillId="3" borderId="5" xfId="0" applyFill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1" fontId="8" fillId="3" borderId="5" xfId="0" applyNumberFormat="1" applyFont="1" applyFill="1" applyBorder="1" applyAlignment="1">
      <alignment horizontal="left" vertical="center" wrapText="1"/>
    </xf>
    <xf numFmtId="164" fontId="9" fillId="3" borderId="5" xfId="0" applyNumberFormat="1" applyFont="1" applyFill="1" applyBorder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0" fontId="8" fillId="3" borderId="5" xfId="0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0" fontId="5" fillId="0" borderId="0" xfId="0" applyFont="1" applyAlignment="1">
      <alignment vertical="top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7" borderId="8" xfId="0" applyFont="1" applyFill="1" applyBorder="1" applyAlignment="1">
      <alignment horizontal="center" vertical="center"/>
    </xf>
    <xf numFmtId="165" fontId="13" fillId="8" borderId="8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center" vertical="center"/>
    </xf>
    <xf numFmtId="0" fontId="13" fillId="8" borderId="8" xfId="0" applyFont="1" applyFill="1" applyBorder="1" applyAlignment="1">
      <alignment horizontal="left" vertical="center"/>
    </xf>
    <xf numFmtId="9" fontId="13" fillId="8" borderId="8" xfId="0" applyNumberFormat="1" applyFont="1" applyFill="1" applyBorder="1" applyAlignment="1">
      <alignment horizontal="center" vertical="center"/>
    </xf>
    <xf numFmtId="0" fontId="13" fillId="8" borderId="8" xfId="0" applyFont="1" applyFill="1" applyBorder="1" applyAlignment="1">
      <alignment horizontal="center" vertical="center"/>
    </xf>
    <xf numFmtId="166" fontId="13" fillId="8" borderId="8" xfId="0" applyNumberFormat="1" applyFont="1" applyFill="1" applyBorder="1" applyAlignment="1">
      <alignment horizontal="right" vertical="center"/>
    </xf>
    <xf numFmtId="168" fontId="13" fillId="8" borderId="8" xfId="0" applyNumberFormat="1" applyFont="1" applyFill="1" applyBorder="1" applyAlignment="1">
      <alignment horizontal="right" vertical="center"/>
    </xf>
    <xf numFmtId="0" fontId="11" fillId="8" borderId="8" xfId="0" applyFont="1" applyFill="1" applyBorder="1" applyAlignment="1">
      <alignment horizontal="center" vertical="center"/>
    </xf>
    <xf numFmtId="165" fontId="13" fillId="9" borderId="8" xfId="0" applyNumberFormat="1" applyFont="1" applyFill="1" applyBorder="1" applyAlignment="1">
      <alignment horizontal="center" vertical="center"/>
    </xf>
    <xf numFmtId="0" fontId="14" fillId="9" borderId="8" xfId="0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left" vertical="center"/>
    </xf>
    <xf numFmtId="9" fontId="13" fillId="9" borderId="8" xfId="0" applyNumberFormat="1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center" vertical="center"/>
    </xf>
    <xf numFmtId="166" fontId="13" fillId="9" borderId="8" xfId="0" applyNumberFormat="1" applyFont="1" applyFill="1" applyBorder="1" applyAlignment="1">
      <alignment horizontal="right" vertical="center"/>
    </xf>
    <xf numFmtId="168" fontId="13" fillId="9" borderId="8" xfId="0" applyNumberFormat="1" applyFont="1" applyFill="1" applyBorder="1" applyAlignment="1">
      <alignment horizontal="right" vertical="center"/>
    </xf>
    <xf numFmtId="0" fontId="11" fillId="9" borderId="8" xfId="0" applyFont="1" applyFill="1" applyBorder="1" applyAlignment="1">
      <alignment horizontal="center" vertical="center"/>
    </xf>
    <xf numFmtId="0" fontId="14" fillId="10" borderId="8" xfId="0" applyFont="1" applyFill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1" fontId="11" fillId="0" borderId="8" xfId="0" applyNumberFormat="1" applyFont="1" applyBorder="1" applyAlignment="1">
      <alignment horizontal="right" vertical="center"/>
    </xf>
    <xf numFmtId="164" fontId="11" fillId="0" borderId="8" xfId="0" applyNumberFormat="1" applyFont="1" applyBorder="1" applyAlignment="1">
      <alignment horizontal="right" vertical="center"/>
    </xf>
    <xf numFmtId="168" fontId="11" fillId="0" borderId="8" xfId="0" applyNumberFormat="1" applyFont="1" applyBorder="1" applyAlignment="1">
      <alignment horizontal="right" vertical="center"/>
    </xf>
    <xf numFmtId="0" fontId="16" fillId="0" borderId="8" xfId="0" applyFont="1" applyBorder="1" applyAlignment="1">
      <alignment horizontal="left" vertical="center"/>
    </xf>
    <xf numFmtId="1" fontId="16" fillId="0" borderId="8" xfId="0" applyNumberFormat="1" applyFont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/>
    <xf numFmtId="0" fontId="20" fillId="0" borderId="0" xfId="0" applyFont="1"/>
    <xf numFmtId="0" fontId="21" fillId="11" borderId="9" xfId="0" applyFont="1" applyFill="1" applyBorder="1" applyAlignment="1">
      <alignment horizontal="center"/>
    </xf>
    <xf numFmtId="169" fontId="0" fillId="0" borderId="9" xfId="0" applyNumberFormat="1" applyBorder="1"/>
    <xf numFmtId="0" fontId="0" fillId="0" borderId="9" xfId="0" applyBorder="1" applyAlignment="1">
      <alignment horizontal="center"/>
    </xf>
    <xf numFmtId="164" fontId="0" fillId="0" borderId="9" xfId="0" applyNumberFormat="1" applyBorder="1"/>
    <xf numFmtId="170" fontId="0" fillId="0" borderId="9" xfId="0" applyNumberFormat="1" applyBorder="1"/>
    <xf numFmtId="0" fontId="22" fillId="0" borderId="0" xfId="0" applyFont="1"/>
    <xf numFmtId="0" fontId="21" fillId="12" borderId="9" xfId="0" applyFont="1" applyFill="1" applyBorder="1" applyAlignment="1">
      <alignment horizontal="center" vertical="center" wrapText="1"/>
    </xf>
    <xf numFmtId="0" fontId="22" fillId="13" borderId="9" xfId="0" applyFont="1" applyFill="1" applyBorder="1" applyAlignment="1">
      <alignment horizontal="center"/>
    </xf>
    <xf numFmtId="0" fontId="0" fillId="0" borderId="9" xfId="0" applyBorder="1" applyAlignment="1">
      <alignment horizontal="left"/>
    </xf>
    <xf numFmtId="9" fontId="0" fillId="0" borderId="9" xfId="0" applyNumberFormat="1" applyBorder="1"/>
    <xf numFmtId="0" fontId="0" fillId="14" borderId="9" xfId="0" applyFill="1" applyBorder="1" applyAlignment="1">
      <alignment horizontal="center"/>
    </xf>
    <xf numFmtId="0" fontId="22" fillId="15" borderId="9" xfId="0" applyFont="1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5" borderId="9" xfId="0" applyFill="1" applyBorder="1" applyAlignment="1">
      <alignment horizontal="center"/>
    </xf>
    <xf numFmtId="0" fontId="20" fillId="0" borderId="0" xfId="0" applyFont="1" applyAlignment="1">
      <alignment vertical="top" wrapText="1"/>
    </xf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2" fillId="0" borderId="3" xfId="0" applyFont="1" applyBorder="1"/>
    <xf numFmtId="0" fontId="0" fillId="0" borderId="3" xfId="0" applyBorder="1"/>
    <xf numFmtId="0" fontId="1" fillId="0" borderId="2" xfId="0" applyFont="1" applyBorder="1" applyAlignment="1">
      <alignment horizontal="left" vertical="center"/>
    </xf>
    <xf numFmtId="0" fontId="0" fillId="0" borderId="2" xfId="0" applyBorder="1"/>
    <xf numFmtId="0" fontId="3" fillId="0" borderId="5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0" fontId="2" fillId="0" borderId="0" xfId="0" applyFont="1" applyAlignment="1">
      <alignment vertical="top" wrapText="1"/>
    </xf>
    <xf numFmtId="0" fontId="3" fillId="0" borderId="0" xfId="0" applyFont="1"/>
    <xf numFmtId="0" fontId="0" fillId="0" borderId="5" xfId="0" applyBorder="1" applyAlignment="1">
      <alignment horizontal="left" vertical="center" wrapText="1"/>
    </xf>
  </cellXfs>
  <cellStyles count="1">
    <cellStyle name="Normal" xfId="0" builtinId="0"/>
  </cellStyles>
  <dxfs count="2"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1F3F4"/>
      <rgbColor rgb="FFFF00FF"/>
      <rgbColor rgb="FF00FFFF"/>
      <rgbColor rgb="FF800000"/>
      <rgbColor rgb="FF008000"/>
      <rgbColor rgb="FF000080"/>
      <rgbColor rgb="FF808000"/>
      <rgbColor rgb="FF800080"/>
      <rgbColor rgb="FF0B6E4F"/>
      <rgbColor rgb="FFBFBFBF"/>
      <rgbColor rgb="FF808080"/>
      <rgbColor rgb="FF9999FF"/>
      <rgbColor rgb="FF595959"/>
      <rgbColor rgb="FFFEF7E0"/>
      <rgbColor rgb="FFE6F4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FF2CC"/>
      <rgbColor rgb="FFE7E6E6"/>
      <rgbColor rgb="FFFCE8E6"/>
      <rgbColor rgb="FFF2F2F2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A6A6A6"/>
      <rgbColor rgb="FF1A237E"/>
      <rgbColor rgb="FF339966"/>
      <rgbColor rgb="FF003300"/>
      <rgbColor rgb="FF333300"/>
      <rgbColor rgb="FF993300"/>
      <rgbColor rgb="FF993366"/>
      <rgbColor rgb="FF1F4E79"/>
      <rgbColor rgb="FF1F4E78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3</xdr:row>
      <xdr:rowOff>0</xdr:rowOff>
    </xdr:from>
    <xdr:ext cx="7239000" cy="3914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4"/>
  <sheetViews>
    <sheetView topLeftCell="A24" zoomScaleNormal="100" workbookViewId="0">
      <selection activeCell="B59" sqref="B59"/>
    </sheetView>
  </sheetViews>
  <sheetFormatPr defaultColWidth="8.7109375" defaultRowHeight="15" x14ac:dyDescent="0.25"/>
  <cols>
    <col min="1" max="1" width="34.85546875" customWidth="1"/>
    <col min="2" max="2" width="18" customWidth="1"/>
    <col min="3" max="5" width="15" customWidth="1"/>
  </cols>
  <sheetData>
    <row r="1" spans="1:5" ht="18.75" customHeight="1" x14ac:dyDescent="0.3">
      <c r="A1" s="96" t="s">
        <v>34</v>
      </c>
      <c r="B1" s="93"/>
      <c r="C1" s="93"/>
      <c r="D1" s="93"/>
      <c r="E1" s="93"/>
    </row>
    <row r="2" spans="1:5" ht="15" customHeight="1" x14ac:dyDescent="0.25">
      <c r="A2" s="94" t="s">
        <v>35</v>
      </c>
      <c r="B2" s="93"/>
      <c r="C2" s="93"/>
      <c r="D2" s="93"/>
      <c r="E2" s="93"/>
    </row>
    <row r="4" spans="1:5" ht="15.75" customHeight="1" x14ac:dyDescent="0.25">
      <c r="A4" s="95" t="s">
        <v>36</v>
      </c>
      <c r="B4" s="93"/>
      <c r="C4" s="93"/>
      <c r="D4" s="93"/>
      <c r="E4" s="93"/>
    </row>
    <row r="5" spans="1:5" ht="15" customHeight="1" x14ac:dyDescent="0.25">
      <c r="A5" s="3" t="s">
        <v>37</v>
      </c>
      <c r="B5" s="4">
        <f>COUNTA(Signals!B5:B2000)</f>
        <v>787</v>
      </c>
    </row>
    <row r="6" spans="1:5" ht="15" customHeight="1" x14ac:dyDescent="0.25">
      <c r="A6" s="3" t="s">
        <v>38</v>
      </c>
      <c r="B6" s="4">
        <f>COUNTIF(Signals!D5:D2000,"BUY")</f>
        <v>20</v>
      </c>
    </row>
    <row r="7" spans="1:5" ht="15" customHeight="1" x14ac:dyDescent="0.25">
      <c r="A7" s="3" t="s">
        <v>39</v>
      </c>
      <c r="B7" s="4">
        <f>COUNTIF(Signals!D5:D2000,"SELL")</f>
        <v>1</v>
      </c>
    </row>
    <row r="8" spans="1:5" ht="15" customHeight="1" x14ac:dyDescent="0.25">
      <c r="A8" s="3" t="s">
        <v>40</v>
      </c>
      <c r="B8" s="4">
        <f>COUNTIF(Signals!D5:D2000,"HOLD")</f>
        <v>764</v>
      </c>
    </row>
    <row r="9" spans="1:5" ht="15" customHeight="1" x14ac:dyDescent="0.25">
      <c r="A9" s="3" t="s">
        <v>41</v>
      </c>
      <c r="B9" s="5">
        <f>COUNTIF(Signals!D5:D2000,"HOLD")/COUNTA(Signals!D5:D2000)</f>
        <v>0.97324840764331211</v>
      </c>
    </row>
    <row r="11" spans="1:5" ht="15.75" customHeight="1" x14ac:dyDescent="0.25">
      <c r="A11" s="95" t="s">
        <v>42</v>
      </c>
      <c r="B11" s="93"/>
      <c r="C11" s="93"/>
      <c r="D11" s="93"/>
      <c r="E11" s="93"/>
    </row>
    <row r="12" spans="1:5" ht="15" customHeight="1" x14ac:dyDescent="0.25">
      <c r="A12" s="3" t="s">
        <v>43</v>
      </c>
      <c r="B12" s="5">
        <f>AVERAGE(Signals!E5:E2000)</f>
        <v>0.52991082802547784</v>
      </c>
    </row>
    <row r="13" spans="1:5" ht="15" customHeight="1" x14ac:dyDescent="0.25">
      <c r="A13" s="3" t="s">
        <v>44</v>
      </c>
      <c r="B13" s="5">
        <f>MEDIAN(Signals!E5:E2000)</f>
        <v>0.52</v>
      </c>
    </row>
    <row r="14" spans="1:5" ht="15" customHeight="1" x14ac:dyDescent="0.25">
      <c r="A14" s="3" t="s">
        <v>45</v>
      </c>
      <c r="B14" s="5">
        <f>MAX(Signals!E5:E2000)</f>
        <v>0.72</v>
      </c>
    </row>
    <row r="15" spans="1:5" ht="15" customHeight="1" x14ac:dyDescent="0.25">
      <c r="A15" s="3" t="s">
        <v>46</v>
      </c>
      <c r="B15" s="5">
        <f>MIN(Signals!E5:E2000)</f>
        <v>0.35</v>
      </c>
    </row>
    <row r="16" spans="1:5" ht="15" customHeight="1" x14ac:dyDescent="0.25">
      <c r="A16" s="3" t="s">
        <v>47</v>
      </c>
      <c r="B16" s="6">
        <f>COUNTIF(Signals!E5:E2000,"&gt;=0.7")</f>
        <v>1</v>
      </c>
    </row>
    <row r="17" spans="1:5" ht="15" customHeight="1" x14ac:dyDescent="0.25">
      <c r="A17" s="3" t="s">
        <v>48</v>
      </c>
      <c r="B17" s="6">
        <f>COUNTIF(Signals!E5:E2000,"&gt;=0.6")</f>
        <v>182</v>
      </c>
    </row>
    <row r="18" spans="1:5" ht="15" customHeight="1" x14ac:dyDescent="0.25">
      <c r="A18" s="3" t="s">
        <v>49</v>
      </c>
      <c r="B18" s="6">
        <f>COUNTIF(Signals!E5:E2000,"&lt;0.45")</f>
        <v>135</v>
      </c>
    </row>
    <row r="19" spans="1:5" ht="15" customHeight="1" x14ac:dyDescent="0.25">
      <c r="A19" s="3" t="s">
        <v>50</v>
      </c>
      <c r="B19" s="6">
        <f>COUNTIF(Signals!E5:E2000,"&lt;0.40")</f>
        <v>25</v>
      </c>
    </row>
    <row r="22" spans="1:5" ht="15.75" customHeight="1" x14ac:dyDescent="0.25">
      <c r="A22" s="95" t="s">
        <v>51</v>
      </c>
      <c r="B22" s="93"/>
      <c r="C22" s="93"/>
      <c r="D22" s="93"/>
      <c r="E22" s="93"/>
    </row>
    <row r="23" spans="1:5" ht="15" customHeight="1" x14ac:dyDescent="0.25">
      <c r="A23" s="7" t="s">
        <v>52</v>
      </c>
      <c r="B23" s="7" t="s">
        <v>53</v>
      </c>
      <c r="C23" s="7" t="s">
        <v>54</v>
      </c>
    </row>
    <row r="24" spans="1:5" ht="15" customHeight="1" x14ac:dyDescent="0.25">
      <c r="A24" s="8" t="s">
        <v>55</v>
      </c>
      <c r="B24" s="4">
        <f>COUNTIF(Signals!F5:F2000,"HIGH")</f>
        <v>344</v>
      </c>
      <c r="C24" s="5">
        <f>B24/SUM(B24:B26)</f>
        <v>0.43821656050955415</v>
      </c>
    </row>
    <row r="25" spans="1:5" ht="15" customHeight="1" x14ac:dyDescent="0.25">
      <c r="A25" s="8" t="s">
        <v>56</v>
      </c>
      <c r="B25" s="4">
        <f>COUNTIF(Signals!F5:F2000,"MEDIUM")</f>
        <v>420</v>
      </c>
      <c r="C25" s="5">
        <f>B25/SUM(B24:B26)</f>
        <v>0.53503184713375795</v>
      </c>
    </row>
    <row r="26" spans="1:5" ht="15" customHeight="1" x14ac:dyDescent="0.25">
      <c r="A26" s="8" t="s">
        <v>57</v>
      </c>
      <c r="B26" s="4">
        <f>COUNTIF(Signals!F5:F2000,"LOW")</f>
        <v>21</v>
      </c>
      <c r="C26" s="5">
        <f>B26/SUM(B24:B26)</f>
        <v>2.6751592356687899E-2</v>
      </c>
    </row>
    <row r="29" spans="1:5" ht="15.75" customHeight="1" x14ac:dyDescent="0.25">
      <c r="A29" s="95" t="s">
        <v>58</v>
      </c>
      <c r="B29" s="93"/>
      <c r="C29" s="93"/>
      <c r="D29" s="93"/>
      <c r="E29" s="93"/>
    </row>
    <row r="30" spans="1:5" ht="15" customHeight="1" x14ac:dyDescent="0.25">
      <c r="A30" s="94" t="s">
        <v>59</v>
      </c>
      <c r="B30" s="93"/>
      <c r="C30" s="93"/>
      <c r="D30" s="93"/>
      <c r="E30" s="93"/>
    </row>
    <row r="31" spans="1:5" ht="15" customHeight="1" x14ac:dyDescent="0.25">
      <c r="A31" s="7" t="s">
        <v>60</v>
      </c>
      <c r="B31" s="7" t="s">
        <v>37</v>
      </c>
      <c r="C31" s="7" t="s">
        <v>61</v>
      </c>
      <c r="D31" s="7" t="s">
        <v>62</v>
      </c>
      <c r="E31" s="7" t="s">
        <v>63</v>
      </c>
    </row>
    <row r="32" spans="1:5" ht="15" customHeight="1" x14ac:dyDescent="0.25">
      <c r="A32" s="8" t="s">
        <v>64</v>
      </c>
      <c r="B32" s="9">
        <f>COUNTIFS(Signals!E5:E2000,"&lt;0.4",Signals!E5:E2000,"&lt;0.4")</f>
        <v>25</v>
      </c>
      <c r="C32" s="9">
        <f>COUNTIFS(Signals!E5:E2000,"&lt;0.4",Signals!E5:E2000,"&lt;0.4",Signals!N5:N2000,"YES")</f>
        <v>3</v>
      </c>
      <c r="D32" s="9">
        <f>COUNTIFS(Signals!E5:E2000,"&lt;0.4",Signals!E5:E2000,"&lt;0.4",Signals!N5:N2000,"NO")</f>
        <v>17</v>
      </c>
      <c r="E32" s="10">
        <f t="shared" ref="E32:E37" si="0">IFERROR(C32/(C32+D32),"-")</f>
        <v>0.15</v>
      </c>
    </row>
    <row r="33" spans="1:5" ht="15" customHeight="1" x14ac:dyDescent="0.25">
      <c r="A33" s="8" t="s">
        <v>65</v>
      </c>
      <c r="B33" s="9">
        <f>COUNTIFS(Signals!E5:E2000,"&gt;=0.4",Signals!E5:E2000,"&lt;0.5")</f>
        <v>210</v>
      </c>
      <c r="C33" s="9">
        <f>COUNTIFS(Signals!E5:E2000,"&gt;=0.4",Signals!E5:E2000,"&lt;0.5",Signals!N5:N2000,"YES")</f>
        <v>80</v>
      </c>
      <c r="D33" s="9">
        <f>COUNTIFS(Signals!E5:E2000,"&gt;=0.4",Signals!E5:E2000,"&lt;0.5",Signals!N5:N2000,"NO")</f>
        <v>103</v>
      </c>
      <c r="E33" s="10">
        <f t="shared" si="0"/>
        <v>0.43715846994535518</v>
      </c>
    </row>
    <row r="34" spans="1:5" ht="15" customHeight="1" x14ac:dyDescent="0.25">
      <c r="A34" s="8" t="s">
        <v>5</v>
      </c>
      <c r="B34" s="9">
        <f>COUNTIFS(Signals!E5:E2000,"&gt;=0.5",Signals!E5:E2000,"&lt;0.6")</f>
        <v>368</v>
      </c>
      <c r="C34" s="9">
        <f>COUNTIFS(Signals!E5:E2000,"&gt;=0.5",Signals!E5:E2000,"&lt;0.6",Signals!N5:N2000,"YES")</f>
        <v>178</v>
      </c>
      <c r="D34" s="9">
        <f>COUNTIFS(Signals!E5:E2000,"&gt;=0.5",Signals!E5:E2000,"&lt;0.6",Signals!N5:N2000,"NO")</f>
        <v>135</v>
      </c>
      <c r="E34" s="10">
        <f t="shared" si="0"/>
        <v>0.56869009584664532</v>
      </c>
    </row>
    <row r="35" spans="1:5" ht="15" customHeight="1" x14ac:dyDescent="0.25">
      <c r="A35" s="8" t="s">
        <v>66</v>
      </c>
      <c r="B35" s="9">
        <f>COUNTIFS(Signals!E5:E2000,"&gt;=0.6",Signals!E5:E2000,"&lt;0.7")</f>
        <v>181</v>
      </c>
      <c r="C35" s="9">
        <f>COUNTIFS(Signals!E5:E2000,"&gt;=0.6",Signals!E5:E2000,"&lt;0.7",Signals!N5:N2000,"YES")</f>
        <v>85</v>
      </c>
      <c r="D35" s="9">
        <f>COUNTIFS(Signals!E5:E2000,"&gt;=0.6",Signals!E5:E2000,"&lt;0.7",Signals!N5:N2000,"NO")</f>
        <v>63</v>
      </c>
      <c r="E35" s="10">
        <f t="shared" si="0"/>
        <v>0.57432432432432434</v>
      </c>
    </row>
    <row r="36" spans="1:5" ht="15" customHeight="1" x14ac:dyDescent="0.25">
      <c r="A36" s="8" t="s">
        <v>67</v>
      </c>
      <c r="B36" s="9">
        <f>COUNTIFS(Signals!E5:E2000,"&gt;=0.7",Signals!E5:E2000,"&lt;0.8")</f>
        <v>1</v>
      </c>
      <c r="C36" s="9">
        <f>COUNTIFS(Signals!E5:E2000,"&gt;=0.7",Signals!E5:E2000,"&lt;0.8",Signals!N5:N2000,"YES")</f>
        <v>1</v>
      </c>
      <c r="D36" s="9">
        <f>COUNTIFS(Signals!E5:E2000,"&gt;=0.7",Signals!E5:E2000,"&lt;0.8",Signals!N5:N2000,"NO")</f>
        <v>0</v>
      </c>
      <c r="E36" s="10">
        <f t="shared" si="0"/>
        <v>1</v>
      </c>
    </row>
    <row r="37" spans="1:5" ht="15" customHeight="1" x14ac:dyDescent="0.25">
      <c r="A37" s="8" t="s">
        <v>68</v>
      </c>
      <c r="B37" s="9">
        <f>COUNTIFS(Signals!E5:E2000,"&gt;=0.8",Signals!E5:E2000,"&lt;=1")</f>
        <v>0</v>
      </c>
      <c r="C37" s="9">
        <f>COUNTIFS(Signals!E5:E2000,"&gt;=0.8",Signals!E5:E2000,"&lt;=1",Signals!N5:N2000,"YES")</f>
        <v>0</v>
      </c>
      <c r="D37" s="9">
        <f>COUNTIFS(Signals!E5:E2000,"&gt;=0.8",Signals!E5:E2000,"&lt;=1",Signals!N5:N2000,"NO")</f>
        <v>0</v>
      </c>
      <c r="E37" s="10" t="str">
        <f t="shared" si="0"/>
        <v>-</v>
      </c>
    </row>
    <row r="40" spans="1:5" ht="15.75" customHeight="1" x14ac:dyDescent="0.25">
      <c r="A40" s="95" t="s">
        <v>69</v>
      </c>
      <c r="B40" s="93"/>
      <c r="C40" s="93"/>
      <c r="D40" s="93"/>
      <c r="E40" s="93"/>
    </row>
    <row r="41" spans="1:5" ht="15" customHeight="1" x14ac:dyDescent="0.25">
      <c r="A41" s="7" t="s">
        <v>70</v>
      </c>
      <c r="B41" s="7" t="s">
        <v>71</v>
      </c>
      <c r="C41" s="7" t="s">
        <v>16</v>
      </c>
      <c r="D41" s="7" t="s">
        <v>12</v>
      </c>
      <c r="E41" s="7" t="s">
        <v>63</v>
      </c>
    </row>
    <row r="42" spans="1:5" ht="15" customHeight="1" x14ac:dyDescent="0.25">
      <c r="A42" s="8" t="s">
        <v>55</v>
      </c>
      <c r="B42" s="9">
        <f>COUNTIF(Signals!F5:F2000,"HIGH")</f>
        <v>344</v>
      </c>
      <c r="C42" s="9">
        <f>COUNTIFS(Signals!F5:F2000,"HIGH",Signals!N5:N2000,"YES")</f>
        <v>156</v>
      </c>
      <c r="D42" s="9">
        <f>COUNTIFS(Signals!F5:F2000,"HIGH",Signals!N5:N2000,"NO")</f>
        <v>114</v>
      </c>
      <c r="E42" s="10">
        <f>IFERROR(C42/(C42+D42),"-")</f>
        <v>0.57777777777777772</v>
      </c>
    </row>
    <row r="43" spans="1:5" ht="15" customHeight="1" x14ac:dyDescent="0.25">
      <c r="A43" s="8" t="s">
        <v>56</v>
      </c>
      <c r="B43" s="9">
        <f>COUNTIF(Signals!F5:F2000,"MEDIUM")</f>
        <v>420</v>
      </c>
      <c r="C43" s="9">
        <f>COUNTIFS(Signals!F5:F2000,"MEDIUM",Signals!N5:N2000,"YES")</f>
        <v>182</v>
      </c>
      <c r="D43" s="9">
        <f>COUNTIFS(Signals!F5:F2000,"MEDIUM",Signals!N5:N2000,"NO")</f>
        <v>192</v>
      </c>
      <c r="E43" s="10">
        <f>IFERROR(C43/(C43+D43),"-")</f>
        <v>0.48663101604278075</v>
      </c>
    </row>
    <row r="44" spans="1:5" ht="15" customHeight="1" x14ac:dyDescent="0.25">
      <c r="A44" s="8" t="s">
        <v>57</v>
      </c>
      <c r="B44" s="9">
        <f>COUNTIF(Signals!F5:F2000,"LOW")</f>
        <v>21</v>
      </c>
      <c r="C44" s="9">
        <f>COUNTIFS(Signals!F5:F2000,"LOW",Signals!N5:N2000,"YES")</f>
        <v>9</v>
      </c>
      <c r="D44" s="9">
        <f>COUNTIFS(Signals!F5:F2000,"LOW",Signals!N5:N2000,"NO")</f>
        <v>12</v>
      </c>
      <c r="E44" s="10">
        <f>IFERROR(C44/(C44+D44),"-")</f>
        <v>0.42857142857142855</v>
      </c>
    </row>
    <row r="47" spans="1:5" ht="15.75" customHeight="1" x14ac:dyDescent="0.25">
      <c r="A47" s="95" t="s">
        <v>72</v>
      </c>
      <c r="B47" s="93"/>
      <c r="C47" s="93"/>
      <c r="D47" s="93"/>
      <c r="E47" s="93"/>
    </row>
    <row r="48" spans="1:5" ht="15" customHeight="1" x14ac:dyDescent="0.25">
      <c r="A48" s="94" t="s">
        <v>73</v>
      </c>
      <c r="B48" s="93"/>
      <c r="C48" s="93"/>
      <c r="D48" s="93"/>
      <c r="E48" s="93"/>
    </row>
    <row r="49" spans="1:2" ht="15" customHeight="1" x14ac:dyDescent="0.25">
      <c r="A49" s="3" t="s">
        <v>37</v>
      </c>
      <c r="B49" s="6">
        <f>COUNTA(Signals!B5:B2000)</f>
        <v>787</v>
      </c>
    </row>
    <row r="50" spans="1:2" ht="15" customHeight="1" x14ac:dyDescent="0.25">
      <c r="A50" s="3" t="s">
        <v>74</v>
      </c>
      <c r="B50" s="6">
        <f>COUNT(Signals!H5:H2000)</f>
        <v>667</v>
      </c>
    </row>
    <row r="51" spans="1:2" ht="15" customHeight="1" x14ac:dyDescent="0.25">
      <c r="A51" s="3" t="s">
        <v>75</v>
      </c>
      <c r="B51" s="5">
        <f>B50/B49</f>
        <v>0.8475222363405337</v>
      </c>
    </row>
    <row r="52" spans="1:2" ht="15" customHeight="1" x14ac:dyDescent="0.25">
      <c r="A52" s="3" t="s">
        <v>76</v>
      </c>
      <c r="B52" s="11">
        <f>IFERROR(AVERAGE(Signals!K5:K2000),"-")</f>
        <v>-9.4587247898613083E-3</v>
      </c>
    </row>
    <row r="53" spans="1:2" ht="15" customHeight="1" x14ac:dyDescent="0.25">
      <c r="A53" s="3" t="s">
        <v>77</v>
      </c>
      <c r="B53" s="11">
        <f>IFERROR(AVERAGE(Signals!L5:L2000),"-")</f>
        <v>-2.2632851724439646E-2</v>
      </c>
    </row>
    <row r="54" spans="1:2" ht="15" customHeight="1" x14ac:dyDescent="0.25">
      <c r="A54" s="3" t="s">
        <v>78</v>
      </c>
      <c r="B54" s="11">
        <f>IFERROR(AVERAGE(Signals!M5:M2000),"-")</f>
        <v>-4.160421638600096E-2</v>
      </c>
    </row>
  </sheetData>
  <mergeCells count="10">
    <mergeCell ref="A1:E1"/>
    <mergeCell ref="A22:E22"/>
    <mergeCell ref="A40:E40"/>
    <mergeCell ref="A30:E30"/>
    <mergeCell ref="A29:E29"/>
    <mergeCell ref="A4:E4"/>
    <mergeCell ref="A48:E48"/>
    <mergeCell ref="A2:E2"/>
    <mergeCell ref="A11:E11"/>
    <mergeCell ref="A47:E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00"/>
  <sheetViews>
    <sheetView zoomScaleNormal="100" workbookViewId="0">
      <pane ySplit="4" topLeftCell="A287" activePane="bottomLeft" state="frozen"/>
      <selection pane="bottomLeft" activeCell="J314" sqref="J314"/>
    </sheetView>
  </sheetViews>
  <sheetFormatPr defaultColWidth="8.7109375" defaultRowHeight="15" x14ac:dyDescent="0.25"/>
  <cols>
    <col min="1" max="1" width="10.42578125" style="12" customWidth="1"/>
    <col min="2" max="2" width="10.85546875" style="13" customWidth="1"/>
    <col min="3" max="3" width="18.28515625" style="13" customWidth="1"/>
    <col min="4" max="4" width="10.85546875" style="13" customWidth="1"/>
    <col min="5" max="5" width="11.7109375" style="14" customWidth="1"/>
    <col min="6" max="6" width="16.42578125" style="13" customWidth="1"/>
    <col min="7" max="7" width="18" style="15" customWidth="1"/>
    <col min="8" max="8" width="13.5703125" style="16" customWidth="1"/>
    <col min="9" max="10" width="14.5703125" style="16" customWidth="1"/>
    <col min="11" max="11" width="15.140625" style="13" customWidth="1"/>
    <col min="12" max="13" width="16.140625" style="13" customWidth="1"/>
    <col min="14" max="14" width="26.42578125" style="13" customWidth="1"/>
    <col min="15" max="15" width="43.28515625" style="13" customWidth="1"/>
  </cols>
  <sheetData>
    <row r="1" spans="1:15" ht="18.75" customHeight="1" x14ac:dyDescent="0.25">
      <c r="A1" s="99" t="s">
        <v>79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</row>
    <row r="2" spans="1:15" ht="15" customHeight="1" x14ac:dyDescent="0.25">
      <c r="A2" s="97" t="s">
        <v>80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</row>
    <row r="3" spans="1:15" ht="15" customHeight="1" x14ac:dyDescent="0.25">
      <c r="A3" s="17"/>
      <c r="E3" s="18"/>
      <c r="G3" s="19"/>
      <c r="H3" s="20"/>
      <c r="I3" s="20"/>
      <c r="J3" s="20"/>
    </row>
    <row r="4" spans="1:15" ht="15" customHeight="1" x14ac:dyDescent="0.25">
      <c r="A4" s="21" t="s">
        <v>81</v>
      </c>
      <c r="B4" s="21" t="s">
        <v>82</v>
      </c>
      <c r="C4" s="21" t="s">
        <v>83</v>
      </c>
      <c r="D4" s="21" t="s">
        <v>84</v>
      </c>
      <c r="E4" s="21" t="s">
        <v>85</v>
      </c>
      <c r="F4" s="21" t="s">
        <v>70</v>
      </c>
      <c r="G4" s="21" t="s">
        <v>86</v>
      </c>
      <c r="H4" s="21" t="s">
        <v>87</v>
      </c>
      <c r="I4" s="21" t="s">
        <v>88</v>
      </c>
      <c r="J4" s="21" t="s">
        <v>89</v>
      </c>
      <c r="K4" s="21" t="s">
        <v>90</v>
      </c>
      <c r="L4" s="21" t="s">
        <v>91</v>
      </c>
      <c r="M4" s="21" t="s">
        <v>92</v>
      </c>
      <c r="N4" s="21" t="s">
        <v>93</v>
      </c>
      <c r="O4" s="21" t="s">
        <v>94</v>
      </c>
    </row>
    <row r="5" spans="1:15" ht="15" customHeight="1" x14ac:dyDescent="0.25">
      <c r="A5" s="22">
        <v>46160</v>
      </c>
      <c r="B5" s="23" t="s">
        <v>95</v>
      </c>
      <c r="C5" s="23" t="s">
        <v>96</v>
      </c>
      <c r="D5" s="23" t="s">
        <v>97</v>
      </c>
      <c r="E5" s="24">
        <v>0.62</v>
      </c>
      <c r="F5" s="23" t="s">
        <v>56</v>
      </c>
      <c r="G5" s="25">
        <v>133.31</v>
      </c>
      <c r="H5" s="16">
        <v>118.57</v>
      </c>
      <c r="I5" s="16">
        <v>113.06</v>
      </c>
      <c r="J5" s="16">
        <v>121.03</v>
      </c>
      <c r="K5" s="26">
        <f t="shared" ref="K5:K68" si="0">IF(H5="","",(H5-G5)/G5)</f>
        <v>-0.11056934963618639</v>
      </c>
      <c r="L5" s="26">
        <f t="shared" ref="L5:L68" si="1">IF(I5="","",(I5-G5)/G5)</f>
        <v>-0.15190158277698598</v>
      </c>
      <c r="M5" s="26">
        <f t="shared" ref="M5:M68" si="2">IF(J5="","",(J5-G5)/G5)</f>
        <v>-9.2116120321056191E-2</v>
      </c>
      <c r="N5" s="27" t="str">
        <f t="shared" ref="N5:N68" si="3">IF(H5="","",IF(D5="HOLD",IF(ABS(K5)&lt;0.03,"YES","NO"),IF(D5="BUY",IF(K5&gt;0,"YES","NO"),IF(D5="SELL",IF(K5&lt;0,"YES","NO"),""))))</f>
        <v>NO</v>
      </c>
      <c r="O5" s="23"/>
    </row>
    <row r="6" spans="1:15" ht="15" customHeight="1" x14ac:dyDescent="0.25">
      <c r="A6" s="22">
        <v>46160</v>
      </c>
      <c r="B6" s="23" t="s">
        <v>98</v>
      </c>
      <c r="C6" s="23" t="s">
        <v>99</v>
      </c>
      <c r="D6" s="23" t="s">
        <v>97</v>
      </c>
      <c r="E6" s="24">
        <v>0.57999999999999996</v>
      </c>
      <c r="F6" s="23" t="s">
        <v>56</v>
      </c>
      <c r="G6" s="25">
        <v>71.78</v>
      </c>
      <c r="H6" s="16">
        <v>69.94</v>
      </c>
      <c r="I6" s="16">
        <v>68.5</v>
      </c>
      <c r="J6" s="16">
        <v>65.48</v>
      </c>
      <c r="K6" s="26">
        <f t="shared" si="0"/>
        <v>-2.5633881303984443E-2</v>
      </c>
      <c r="L6" s="26">
        <f t="shared" si="1"/>
        <v>-4.5695179715798284E-2</v>
      </c>
      <c r="M6" s="26">
        <f t="shared" si="2"/>
        <v>-8.7768180551685671E-2</v>
      </c>
      <c r="N6" s="27" t="str">
        <f t="shared" si="3"/>
        <v>YES</v>
      </c>
      <c r="O6" s="23"/>
    </row>
    <row r="7" spans="1:15" ht="15" customHeight="1" x14ac:dyDescent="0.25">
      <c r="A7" s="22">
        <v>46160</v>
      </c>
      <c r="B7" s="23" t="s">
        <v>100</v>
      </c>
      <c r="C7" s="23" t="s">
        <v>96</v>
      </c>
      <c r="D7" s="23" t="s">
        <v>97</v>
      </c>
      <c r="E7" s="24">
        <v>0.52</v>
      </c>
      <c r="F7" s="23" t="s">
        <v>56</v>
      </c>
      <c r="G7" s="25">
        <v>423.03</v>
      </c>
      <c r="H7" s="16">
        <v>416.03</v>
      </c>
      <c r="I7" s="16">
        <v>441.31</v>
      </c>
      <c r="J7" s="16">
        <v>393.83</v>
      </c>
      <c r="K7" s="26">
        <f t="shared" si="0"/>
        <v>-1.65472897903222E-2</v>
      </c>
      <c r="L7" s="26">
        <f t="shared" si="1"/>
        <v>4.3212065338155761E-2</v>
      </c>
      <c r="M7" s="26">
        <f t="shared" si="2"/>
        <v>-6.9025837411058291E-2</v>
      </c>
      <c r="N7" s="27" t="str">
        <f t="shared" si="3"/>
        <v>YES</v>
      </c>
      <c r="O7" s="23"/>
    </row>
    <row r="8" spans="1:15" ht="15" customHeight="1" x14ac:dyDescent="0.25">
      <c r="A8" s="22">
        <v>46160</v>
      </c>
      <c r="B8" s="23" t="s">
        <v>101</v>
      </c>
      <c r="C8" s="23" t="s">
        <v>99</v>
      </c>
      <c r="D8" s="23" t="s">
        <v>97</v>
      </c>
      <c r="E8" s="24">
        <v>0.45</v>
      </c>
      <c r="F8" s="23" t="s">
        <v>56</v>
      </c>
      <c r="G8" s="25">
        <v>42.51</v>
      </c>
      <c r="H8" s="16">
        <v>44.94</v>
      </c>
      <c r="I8" s="16">
        <v>43.73</v>
      </c>
      <c r="J8" s="16">
        <v>45.04</v>
      </c>
      <c r="K8" s="26">
        <f t="shared" si="0"/>
        <v>5.7163020465772756E-2</v>
      </c>
      <c r="L8" s="26">
        <f t="shared" si="1"/>
        <v>2.8699129616560785E-2</v>
      </c>
      <c r="M8" s="26">
        <f t="shared" si="2"/>
        <v>5.9515408139261379E-2</v>
      </c>
      <c r="N8" s="27" t="str">
        <f t="shared" si="3"/>
        <v>NO</v>
      </c>
      <c r="O8" s="23"/>
    </row>
    <row r="9" spans="1:15" ht="15" customHeight="1" x14ac:dyDescent="0.25">
      <c r="A9" s="22">
        <v>46160</v>
      </c>
      <c r="B9" s="23" t="s">
        <v>102</v>
      </c>
      <c r="C9" s="23" t="s">
        <v>99</v>
      </c>
      <c r="D9" s="23" t="s">
        <v>97</v>
      </c>
      <c r="E9" s="24">
        <v>0.65</v>
      </c>
      <c r="F9" s="23" t="s">
        <v>56</v>
      </c>
      <c r="G9" s="25">
        <v>32.04</v>
      </c>
      <c r="H9" s="16">
        <v>32.67</v>
      </c>
      <c r="I9" s="16">
        <v>32.369999999999997</v>
      </c>
      <c r="J9" s="16">
        <v>32.53</v>
      </c>
      <c r="K9" s="26">
        <f t="shared" si="0"/>
        <v>1.9662921348314686E-2</v>
      </c>
      <c r="L9" s="26">
        <f t="shared" si="1"/>
        <v>1.0299625468164741E-2</v>
      </c>
      <c r="M9" s="26">
        <f t="shared" si="2"/>
        <v>1.5293383270911422E-2</v>
      </c>
      <c r="N9" s="27" t="str">
        <f t="shared" si="3"/>
        <v>YES</v>
      </c>
      <c r="O9" s="23"/>
    </row>
    <row r="10" spans="1:15" ht="15" customHeight="1" x14ac:dyDescent="0.25">
      <c r="A10" s="22">
        <v>46160</v>
      </c>
      <c r="B10" s="23" t="s">
        <v>103</v>
      </c>
      <c r="C10" s="23" t="s">
        <v>99</v>
      </c>
      <c r="D10" s="23" t="s">
        <v>97</v>
      </c>
      <c r="E10" s="24">
        <v>0.52</v>
      </c>
      <c r="F10" s="23" t="s">
        <v>56</v>
      </c>
      <c r="G10" s="25">
        <v>297.70999999999998</v>
      </c>
      <c r="H10" s="16">
        <v>308.33</v>
      </c>
      <c r="I10" s="16">
        <v>315.2</v>
      </c>
      <c r="J10" s="16">
        <v>299.24</v>
      </c>
      <c r="K10" s="26">
        <f t="shared" si="0"/>
        <v>3.5672298545564494E-2</v>
      </c>
      <c r="L10" s="26">
        <f t="shared" si="1"/>
        <v>5.8748446474757347E-2</v>
      </c>
      <c r="M10" s="26">
        <f t="shared" si="2"/>
        <v>5.1392294514797272E-3</v>
      </c>
      <c r="N10" s="27" t="str">
        <f t="shared" si="3"/>
        <v>NO</v>
      </c>
      <c r="O10" s="23"/>
    </row>
    <row r="11" spans="1:15" ht="15" customHeight="1" x14ac:dyDescent="0.25">
      <c r="A11" s="22">
        <v>46160</v>
      </c>
      <c r="B11" s="23" t="s">
        <v>104</v>
      </c>
      <c r="C11" s="23" t="s">
        <v>96</v>
      </c>
      <c r="D11" s="23" t="s">
        <v>97</v>
      </c>
      <c r="E11" s="24">
        <v>0.52</v>
      </c>
      <c r="F11" s="23" t="s">
        <v>56</v>
      </c>
      <c r="G11" s="25">
        <v>38.6</v>
      </c>
      <c r="H11" s="16">
        <v>35.28</v>
      </c>
      <c r="I11" s="16">
        <v>34.72</v>
      </c>
      <c r="J11" s="16">
        <v>32.96</v>
      </c>
      <c r="K11" s="26">
        <f t="shared" si="0"/>
        <v>-8.6010362694300527E-2</v>
      </c>
      <c r="L11" s="26">
        <f t="shared" si="1"/>
        <v>-0.10051813471502596</v>
      </c>
      <c r="M11" s="26">
        <f t="shared" si="2"/>
        <v>-0.14611398963730571</v>
      </c>
      <c r="N11" s="27" t="str">
        <f t="shared" si="3"/>
        <v>NO</v>
      </c>
      <c r="O11" s="23"/>
    </row>
    <row r="12" spans="1:15" ht="15" customHeight="1" x14ac:dyDescent="0.25">
      <c r="A12" s="22">
        <v>46160</v>
      </c>
      <c r="B12" s="23" t="s">
        <v>105</v>
      </c>
      <c r="C12" s="23" t="s">
        <v>96</v>
      </c>
      <c r="D12" s="23" t="s">
        <v>97</v>
      </c>
      <c r="E12" s="24">
        <v>0.55000000000000004</v>
      </c>
      <c r="F12" s="23" t="s">
        <v>56</v>
      </c>
      <c r="G12" s="25">
        <v>60.73</v>
      </c>
      <c r="H12" s="16">
        <v>65.2</v>
      </c>
      <c r="I12" s="16">
        <v>70.14</v>
      </c>
      <c r="J12" s="16">
        <v>64.64</v>
      </c>
      <c r="K12" s="26">
        <f t="shared" si="0"/>
        <v>7.3604478840770732E-2</v>
      </c>
      <c r="L12" s="26">
        <f t="shared" si="1"/>
        <v>0.15494813107195793</v>
      </c>
      <c r="M12" s="26">
        <f t="shared" si="2"/>
        <v>6.4383336077721121E-2</v>
      </c>
      <c r="N12" s="27" t="str">
        <f t="shared" si="3"/>
        <v>NO</v>
      </c>
      <c r="O12" s="23"/>
    </row>
    <row r="13" spans="1:15" ht="15" customHeight="1" x14ac:dyDescent="0.25">
      <c r="A13" s="22">
        <v>46160</v>
      </c>
      <c r="B13" s="23" t="s">
        <v>106</v>
      </c>
      <c r="C13" s="23" t="s">
        <v>99</v>
      </c>
      <c r="D13" s="23" t="s">
        <v>97</v>
      </c>
      <c r="E13" s="24">
        <v>0.52</v>
      </c>
      <c r="F13" s="23" t="s">
        <v>56</v>
      </c>
      <c r="G13" s="25">
        <v>300.97000000000003</v>
      </c>
      <c r="H13" s="16">
        <v>306.74</v>
      </c>
      <c r="I13" s="16">
        <v>300.95999999999998</v>
      </c>
      <c r="J13" s="16">
        <v>331.14</v>
      </c>
      <c r="K13" s="26">
        <f t="shared" si="0"/>
        <v>1.9171345981326981E-2</v>
      </c>
      <c r="L13" s="26">
        <f t="shared" si="1"/>
        <v>-3.3225902914070328E-5</v>
      </c>
      <c r="M13" s="26">
        <f t="shared" si="2"/>
        <v>0.10024254909127141</v>
      </c>
      <c r="N13" s="27" t="str">
        <f t="shared" si="3"/>
        <v>YES</v>
      </c>
      <c r="O13" s="23"/>
    </row>
    <row r="14" spans="1:15" ht="15" customHeight="1" x14ac:dyDescent="0.25">
      <c r="A14" s="22">
        <v>46160</v>
      </c>
      <c r="B14" s="23" t="s">
        <v>107</v>
      </c>
      <c r="C14" s="23" t="s">
        <v>96</v>
      </c>
      <c r="D14" s="23" t="s">
        <v>97</v>
      </c>
      <c r="E14" s="24">
        <v>0.42</v>
      </c>
      <c r="F14" s="23" t="s">
        <v>56</v>
      </c>
      <c r="G14" s="25">
        <v>73.11</v>
      </c>
      <c r="H14" s="16">
        <v>79.790000000000006</v>
      </c>
      <c r="I14" s="16">
        <v>81.73</v>
      </c>
      <c r="J14" s="16">
        <v>82.51</v>
      </c>
      <c r="K14" s="26">
        <f t="shared" si="0"/>
        <v>9.1369169744221129E-2</v>
      </c>
      <c r="L14" s="26">
        <f t="shared" si="1"/>
        <v>0.117904527424429</v>
      </c>
      <c r="M14" s="26">
        <f t="shared" si="2"/>
        <v>0.12857338257420334</v>
      </c>
      <c r="N14" s="27" t="str">
        <f t="shared" si="3"/>
        <v>NO</v>
      </c>
      <c r="O14" s="23"/>
    </row>
    <row r="15" spans="1:15" ht="15" customHeight="1" x14ac:dyDescent="0.25">
      <c r="A15" s="22">
        <v>46160</v>
      </c>
      <c r="B15" s="23" t="s">
        <v>108</v>
      </c>
      <c r="C15" s="23" t="s">
        <v>99</v>
      </c>
      <c r="D15" s="23" t="s">
        <v>97</v>
      </c>
      <c r="E15" s="24">
        <v>0.55000000000000004</v>
      </c>
      <c r="F15" s="23" t="s">
        <v>56</v>
      </c>
      <c r="G15" s="25">
        <v>722.69</v>
      </c>
      <c r="H15" s="16">
        <v>742.18</v>
      </c>
      <c r="I15" s="16">
        <v>706.06</v>
      </c>
      <c r="J15" s="16">
        <v>719.29</v>
      </c>
      <c r="K15" s="26">
        <f t="shared" si="0"/>
        <v>2.6968686435400926E-2</v>
      </c>
      <c r="L15" s="26">
        <f t="shared" si="1"/>
        <v>-2.3011249636773871E-2</v>
      </c>
      <c r="M15" s="26">
        <f t="shared" si="2"/>
        <v>-4.7046451452214515E-3</v>
      </c>
      <c r="N15" s="27" t="str">
        <f t="shared" si="3"/>
        <v>YES</v>
      </c>
      <c r="O15" s="23"/>
    </row>
    <row r="16" spans="1:15" ht="15" customHeight="1" x14ac:dyDescent="0.25">
      <c r="A16" s="22">
        <v>46160</v>
      </c>
      <c r="B16" s="23" t="s">
        <v>109</v>
      </c>
      <c r="C16" s="23" t="s">
        <v>99</v>
      </c>
      <c r="D16" s="23" t="s">
        <v>97</v>
      </c>
      <c r="E16" s="24">
        <v>0.52</v>
      </c>
      <c r="F16" s="23" t="s">
        <v>56</v>
      </c>
      <c r="G16" s="25">
        <v>43.92</v>
      </c>
      <c r="H16" s="16">
        <v>45.33</v>
      </c>
      <c r="I16" s="16">
        <v>43.9</v>
      </c>
      <c r="J16" s="16">
        <v>45.06</v>
      </c>
      <c r="K16" s="26">
        <f t="shared" si="0"/>
        <v>3.210382513661194E-2</v>
      </c>
      <c r="L16" s="26">
        <f t="shared" si="1"/>
        <v>-4.553734061931495E-4</v>
      </c>
      <c r="M16" s="26">
        <f t="shared" si="2"/>
        <v>2.5956284153005476E-2</v>
      </c>
      <c r="N16" s="27" t="str">
        <f t="shared" si="3"/>
        <v>NO</v>
      </c>
      <c r="O16" s="23"/>
    </row>
    <row r="17" spans="1:15" ht="15" customHeight="1" x14ac:dyDescent="0.25">
      <c r="A17" s="22">
        <v>46160</v>
      </c>
      <c r="B17" s="23" t="s">
        <v>110</v>
      </c>
      <c r="C17" s="23" t="s">
        <v>99</v>
      </c>
      <c r="D17" s="23" t="s">
        <v>97</v>
      </c>
      <c r="E17" s="24">
        <v>0.62</v>
      </c>
      <c r="F17" s="23" t="s">
        <v>56</v>
      </c>
      <c r="G17" s="25">
        <v>191.59</v>
      </c>
      <c r="H17" s="16">
        <v>181.53</v>
      </c>
      <c r="I17" s="16">
        <v>173.66</v>
      </c>
      <c r="J17" s="16">
        <v>184.06</v>
      </c>
      <c r="K17" s="26">
        <f t="shared" si="0"/>
        <v>-5.2507959705621388E-2</v>
      </c>
      <c r="L17" s="26">
        <f t="shared" si="1"/>
        <v>-9.3585260191032971E-2</v>
      </c>
      <c r="M17" s="26">
        <f t="shared" si="2"/>
        <v>-3.9302677592776246E-2</v>
      </c>
      <c r="N17" s="27" t="str">
        <f t="shared" si="3"/>
        <v>NO</v>
      </c>
      <c r="O17" s="23"/>
    </row>
    <row r="18" spans="1:15" ht="15" customHeight="1" x14ac:dyDescent="0.25">
      <c r="A18" s="22">
        <v>46160</v>
      </c>
      <c r="B18" s="23" t="s">
        <v>111</v>
      </c>
      <c r="C18" s="23" t="s">
        <v>96</v>
      </c>
      <c r="D18" s="23" t="s">
        <v>97</v>
      </c>
      <c r="E18" s="24">
        <v>0.62</v>
      </c>
      <c r="F18" s="23" t="s">
        <v>56</v>
      </c>
      <c r="G18" s="25">
        <v>73.459999999999994</v>
      </c>
      <c r="H18" s="16">
        <v>71.41</v>
      </c>
      <c r="I18" s="16">
        <v>69.45</v>
      </c>
      <c r="J18" s="16">
        <v>67</v>
      </c>
      <c r="K18" s="26">
        <f t="shared" si="0"/>
        <v>-2.7906343588347364E-2</v>
      </c>
      <c r="L18" s="26">
        <f t="shared" si="1"/>
        <v>-5.4587530628913576E-2</v>
      </c>
      <c r="M18" s="26">
        <f t="shared" si="2"/>
        <v>-8.7939014429621487E-2</v>
      </c>
      <c r="N18" s="27" t="str">
        <f t="shared" si="3"/>
        <v>YES</v>
      </c>
      <c r="O18" s="23"/>
    </row>
    <row r="19" spans="1:15" ht="15" customHeight="1" x14ac:dyDescent="0.25">
      <c r="A19" s="22">
        <v>46160</v>
      </c>
      <c r="B19" s="23" t="s">
        <v>112</v>
      </c>
      <c r="C19" s="23" t="s">
        <v>113</v>
      </c>
      <c r="D19" s="23" t="s">
        <v>97</v>
      </c>
      <c r="E19" s="24">
        <v>0.52</v>
      </c>
      <c r="F19" s="23" t="s">
        <v>56</v>
      </c>
      <c r="G19" s="25">
        <v>19.75</v>
      </c>
      <c r="H19" s="16">
        <v>20.28</v>
      </c>
      <c r="I19" s="16">
        <v>20.99</v>
      </c>
      <c r="J19" s="16">
        <v>19.420000000000002</v>
      </c>
      <c r="K19" s="26">
        <f t="shared" si="0"/>
        <v>2.6835443037974742E-2</v>
      </c>
      <c r="L19" s="26">
        <f t="shared" si="1"/>
        <v>6.27848101265822E-2</v>
      </c>
      <c r="M19" s="26">
        <f t="shared" si="2"/>
        <v>-1.6708860759493585E-2</v>
      </c>
      <c r="N19" s="27" t="str">
        <f t="shared" si="3"/>
        <v>YES</v>
      </c>
      <c r="O19" s="23"/>
    </row>
    <row r="20" spans="1:15" ht="15" customHeight="1" x14ac:dyDescent="0.25">
      <c r="A20" s="22">
        <v>46160</v>
      </c>
      <c r="B20" s="23" t="s">
        <v>114</v>
      </c>
      <c r="C20" s="23" t="s">
        <v>113</v>
      </c>
      <c r="D20" s="23" t="s">
        <v>97</v>
      </c>
      <c r="E20" s="24">
        <v>0.42</v>
      </c>
      <c r="F20" s="23" t="s">
        <v>57</v>
      </c>
      <c r="G20" s="25">
        <v>297</v>
      </c>
      <c r="H20" s="16">
        <v>241.71</v>
      </c>
      <c r="I20" s="16">
        <v>236.52</v>
      </c>
      <c r="J20" s="16">
        <v>212.45</v>
      </c>
      <c r="K20" s="26">
        <f t="shared" si="0"/>
        <v>-0.18616161616161614</v>
      </c>
      <c r="L20" s="26">
        <f t="shared" si="1"/>
        <v>-0.20363636363636362</v>
      </c>
      <c r="M20" s="26">
        <f t="shared" si="2"/>
        <v>-0.2846801346801347</v>
      </c>
      <c r="N20" s="27" t="str">
        <f t="shared" si="3"/>
        <v>NO</v>
      </c>
      <c r="O20" s="23"/>
    </row>
    <row r="21" spans="1:15" ht="15" customHeight="1" x14ac:dyDescent="0.25">
      <c r="A21" s="22">
        <v>46160</v>
      </c>
      <c r="B21" s="23" t="s">
        <v>115</v>
      </c>
      <c r="C21" s="23" t="s">
        <v>113</v>
      </c>
      <c r="D21" s="23" t="s">
        <v>97</v>
      </c>
      <c r="E21" s="24">
        <v>0.52</v>
      </c>
      <c r="F21" s="23" t="s">
        <v>56</v>
      </c>
      <c r="G21" s="25">
        <v>175.7</v>
      </c>
      <c r="H21" s="16">
        <v>178.97</v>
      </c>
      <c r="I21" s="16">
        <v>174.26</v>
      </c>
      <c r="J21" s="16">
        <v>186.77</v>
      </c>
      <c r="K21" s="26">
        <f t="shared" si="0"/>
        <v>1.8611269208878831E-2</v>
      </c>
      <c r="L21" s="26">
        <f t="shared" si="1"/>
        <v>-8.1957882754695385E-3</v>
      </c>
      <c r="M21" s="26">
        <f t="shared" si="2"/>
        <v>6.3005122367672292E-2</v>
      </c>
      <c r="N21" s="27" t="str">
        <f t="shared" si="3"/>
        <v>YES</v>
      </c>
      <c r="O21" s="23"/>
    </row>
    <row r="22" spans="1:15" ht="15" customHeight="1" x14ac:dyDescent="0.25">
      <c r="A22" s="22">
        <v>46160</v>
      </c>
      <c r="B22" s="23" t="s">
        <v>116</v>
      </c>
      <c r="C22" s="23" t="s">
        <v>113</v>
      </c>
      <c r="D22" s="23" t="s">
        <v>97</v>
      </c>
      <c r="E22" s="24">
        <v>0.52</v>
      </c>
      <c r="F22" s="23" t="s">
        <v>57</v>
      </c>
      <c r="G22" s="25">
        <v>18.739999999999998</v>
      </c>
      <c r="H22" s="16">
        <v>18.18</v>
      </c>
      <c r="I22" s="16">
        <v>17.71</v>
      </c>
      <c r="J22" s="16">
        <v>16.93</v>
      </c>
      <c r="K22" s="26">
        <f t="shared" si="0"/>
        <v>-2.9882604055496198E-2</v>
      </c>
      <c r="L22" s="26">
        <f t="shared" si="1"/>
        <v>-5.4962646744930503E-2</v>
      </c>
      <c r="M22" s="26">
        <f t="shared" si="2"/>
        <v>-9.6584845250800369E-2</v>
      </c>
      <c r="N22" s="27" t="str">
        <f t="shared" si="3"/>
        <v>YES</v>
      </c>
      <c r="O22" s="23"/>
    </row>
    <row r="23" spans="1:15" ht="15" customHeight="1" x14ac:dyDescent="0.25">
      <c r="A23" s="22">
        <v>46160</v>
      </c>
      <c r="B23" s="23" t="s">
        <v>117</v>
      </c>
      <c r="C23" s="23" t="s">
        <v>113</v>
      </c>
      <c r="D23" s="23" t="s">
        <v>97</v>
      </c>
      <c r="E23" s="24">
        <v>0.52</v>
      </c>
      <c r="F23" s="23" t="s">
        <v>56</v>
      </c>
      <c r="G23" s="25">
        <v>4.84</v>
      </c>
      <c r="H23" s="16">
        <v>4.99</v>
      </c>
      <c r="I23" s="16">
        <v>4.91</v>
      </c>
      <c r="J23" s="16">
        <v>5.0199999999999996</v>
      </c>
      <c r="K23" s="26">
        <f t="shared" si="0"/>
        <v>3.0991735537190156E-2</v>
      </c>
      <c r="L23" s="26">
        <f t="shared" si="1"/>
        <v>1.4462809917355431E-2</v>
      </c>
      <c r="M23" s="26">
        <f t="shared" si="2"/>
        <v>3.7190082644628045E-2</v>
      </c>
      <c r="N23" s="27" t="str">
        <f t="shared" si="3"/>
        <v>NO</v>
      </c>
      <c r="O23" s="23"/>
    </row>
    <row r="24" spans="1:15" ht="15" customHeight="1" x14ac:dyDescent="0.25">
      <c r="A24" s="22">
        <v>46160</v>
      </c>
      <c r="B24" s="23" t="s">
        <v>118</v>
      </c>
      <c r="C24" s="23" t="s">
        <v>119</v>
      </c>
      <c r="D24" s="23" t="s">
        <v>97</v>
      </c>
      <c r="E24" s="24">
        <v>0.48</v>
      </c>
      <c r="F24" s="23" t="s">
        <v>57</v>
      </c>
      <c r="G24" s="25">
        <v>738.49</v>
      </c>
      <c r="H24" s="16">
        <v>750.59</v>
      </c>
      <c r="I24" s="16">
        <v>759.57</v>
      </c>
      <c r="J24" s="16">
        <v>750.33</v>
      </c>
      <c r="K24" s="26">
        <f t="shared" si="0"/>
        <v>1.6384785169738281E-2</v>
      </c>
      <c r="L24" s="26">
        <f t="shared" si="1"/>
        <v>2.8544733171742394E-2</v>
      </c>
      <c r="M24" s="26">
        <f t="shared" si="2"/>
        <v>1.6032715405760446E-2</v>
      </c>
      <c r="N24" s="27" t="str">
        <f t="shared" si="3"/>
        <v>YES</v>
      </c>
      <c r="O24" s="23"/>
    </row>
    <row r="25" spans="1:15" ht="15" customHeight="1" x14ac:dyDescent="0.25">
      <c r="A25" s="22">
        <v>46160</v>
      </c>
      <c r="B25" s="23" t="s">
        <v>120</v>
      </c>
      <c r="C25" s="23" t="s">
        <v>119</v>
      </c>
      <c r="D25" s="23" t="s">
        <v>97</v>
      </c>
      <c r="E25" s="24">
        <v>0.48</v>
      </c>
      <c r="F25" s="23" t="s">
        <v>56</v>
      </c>
      <c r="G25" s="25">
        <v>705.71</v>
      </c>
      <c r="H25" s="16">
        <v>730.28</v>
      </c>
      <c r="I25" s="16">
        <v>746.16</v>
      </c>
      <c r="J25" s="16">
        <v>729.86</v>
      </c>
      <c r="K25" s="26">
        <f t="shared" si="0"/>
        <v>3.4816000906888009E-2</v>
      </c>
      <c r="L25" s="26">
        <f t="shared" si="1"/>
        <v>5.7318161851185233E-2</v>
      </c>
      <c r="M25" s="26">
        <f t="shared" si="2"/>
        <v>3.4220855592240404E-2</v>
      </c>
      <c r="N25" s="27" t="str">
        <f t="shared" si="3"/>
        <v>NO</v>
      </c>
      <c r="O25" s="23"/>
    </row>
    <row r="26" spans="1:15" ht="15" customHeight="1" x14ac:dyDescent="0.25">
      <c r="A26" s="22">
        <v>46160</v>
      </c>
      <c r="B26" s="23" t="s">
        <v>121</v>
      </c>
      <c r="C26" s="23" t="s">
        <v>119</v>
      </c>
      <c r="D26" s="23" t="s">
        <v>97</v>
      </c>
      <c r="E26" s="24">
        <v>0.52</v>
      </c>
      <c r="F26" s="23" t="s">
        <v>57</v>
      </c>
      <c r="G26" s="25">
        <v>362.28</v>
      </c>
      <c r="H26" s="16">
        <v>369.46</v>
      </c>
      <c r="I26" s="16">
        <v>374.36</v>
      </c>
      <c r="J26" s="16">
        <v>370.37</v>
      </c>
      <c r="K26" s="26">
        <f t="shared" si="0"/>
        <v>1.9818924588715932E-2</v>
      </c>
      <c r="L26" s="26">
        <f t="shared" si="1"/>
        <v>3.3344374516948334E-2</v>
      </c>
      <c r="M26" s="26">
        <f t="shared" si="2"/>
        <v>2.2330793861102E-2</v>
      </c>
      <c r="N26" s="27" t="str">
        <f t="shared" si="3"/>
        <v>YES</v>
      </c>
      <c r="O26" s="23"/>
    </row>
    <row r="27" spans="1:15" ht="15" customHeight="1" x14ac:dyDescent="0.25">
      <c r="A27" s="22">
        <v>46160</v>
      </c>
      <c r="B27" s="23" t="s">
        <v>122</v>
      </c>
      <c r="C27" s="23" t="s">
        <v>119</v>
      </c>
      <c r="D27" s="23" t="s">
        <v>97</v>
      </c>
      <c r="E27" s="24">
        <v>0.52</v>
      </c>
      <c r="F27" s="23" t="s">
        <v>56</v>
      </c>
      <c r="G27" s="25">
        <v>222.3</v>
      </c>
      <c r="H27" s="16">
        <v>214.86</v>
      </c>
      <c r="I27" s="16">
        <v>222.82</v>
      </c>
      <c r="J27" s="16">
        <v>207.41</v>
      </c>
      <c r="K27" s="26">
        <f t="shared" si="0"/>
        <v>-3.3468286099865033E-2</v>
      </c>
      <c r="L27" s="26">
        <f t="shared" si="1"/>
        <v>2.3391812865496257E-3</v>
      </c>
      <c r="M27" s="26">
        <f t="shared" si="2"/>
        <v>-6.6981556455240732E-2</v>
      </c>
      <c r="N27" s="27" t="str">
        <f t="shared" si="3"/>
        <v>NO</v>
      </c>
      <c r="O27" s="23"/>
    </row>
    <row r="28" spans="1:15" ht="15" customHeight="1" x14ac:dyDescent="0.25">
      <c r="A28" s="22">
        <v>46160</v>
      </c>
      <c r="B28" s="23" t="s">
        <v>123</v>
      </c>
      <c r="C28" s="23" t="s">
        <v>119</v>
      </c>
      <c r="D28" s="23" t="s">
        <v>97</v>
      </c>
      <c r="E28" s="24">
        <v>0.48</v>
      </c>
      <c r="F28" s="23" t="s">
        <v>56</v>
      </c>
      <c r="G28" s="25">
        <v>418.44</v>
      </c>
      <c r="H28" s="16">
        <v>414</v>
      </c>
      <c r="I28" s="16">
        <v>411.95</v>
      </c>
      <c r="J28" s="16">
        <v>397.64</v>
      </c>
      <c r="K28" s="26">
        <f t="shared" si="0"/>
        <v>-1.0610840263837103E-2</v>
      </c>
      <c r="L28" s="26">
        <f t="shared" si="1"/>
        <v>-1.5509989484752913E-2</v>
      </c>
      <c r="M28" s="26">
        <f t="shared" si="2"/>
        <v>-4.9708440875633329E-2</v>
      </c>
      <c r="N28" s="27" t="str">
        <f t="shared" si="3"/>
        <v>YES</v>
      </c>
      <c r="O28" s="23"/>
    </row>
    <row r="29" spans="1:15" ht="15" customHeight="1" x14ac:dyDescent="0.25">
      <c r="A29" s="22">
        <v>46161</v>
      </c>
      <c r="B29" s="23" t="s">
        <v>103</v>
      </c>
      <c r="C29" s="23" t="s">
        <v>99</v>
      </c>
      <c r="D29" s="23" t="s">
        <v>97</v>
      </c>
      <c r="E29" s="24">
        <v>0.62</v>
      </c>
      <c r="F29" s="23" t="s">
        <v>55</v>
      </c>
      <c r="G29" s="25">
        <v>297.01</v>
      </c>
      <c r="H29" s="16">
        <v>310.85000000000002</v>
      </c>
      <c r="I29" s="16">
        <v>310.26</v>
      </c>
      <c r="J29" s="16">
        <v>295.95</v>
      </c>
      <c r="K29" s="26">
        <f t="shared" si="0"/>
        <v>4.6597757651257642E-2</v>
      </c>
      <c r="L29" s="26">
        <f t="shared" si="1"/>
        <v>4.4611292549072423E-2</v>
      </c>
      <c r="M29" s="26">
        <f t="shared" si="2"/>
        <v>-3.5689034039258017E-3</v>
      </c>
      <c r="N29" s="27" t="str">
        <f t="shared" si="3"/>
        <v>NO</v>
      </c>
      <c r="O29" s="23"/>
    </row>
    <row r="30" spans="1:15" ht="15" customHeight="1" x14ac:dyDescent="0.25">
      <c r="A30" s="22">
        <v>46161</v>
      </c>
      <c r="B30" s="23" t="s">
        <v>112</v>
      </c>
      <c r="C30" s="23" t="s">
        <v>113</v>
      </c>
      <c r="D30" s="23" t="s">
        <v>97</v>
      </c>
      <c r="E30" s="24">
        <v>0.52</v>
      </c>
      <c r="F30" s="23" t="s">
        <v>56</v>
      </c>
      <c r="G30" s="25">
        <v>18.809999999999999</v>
      </c>
      <c r="H30" s="16">
        <v>19.670000000000002</v>
      </c>
      <c r="I30" s="16">
        <v>19.77</v>
      </c>
      <c r="J30" s="16">
        <v>18.55</v>
      </c>
      <c r="K30" s="26">
        <f t="shared" si="0"/>
        <v>4.5720361509835356E-2</v>
      </c>
      <c r="L30" s="26">
        <f t="shared" si="1"/>
        <v>5.1036682615630033E-2</v>
      </c>
      <c r="M30" s="26">
        <f t="shared" si="2"/>
        <v>-1.3822434875066349E-2</v>
      </c>
      <c r="N30" s="27" t="str">
        <f t="shared" si="3"/>
        <v>NO</v>
      </c>
      <c r="O30" s="23"/>
    </row>
    <row r="31" spans="1:15" ht="15" customHeight="1" x14ac:dyDescent="0.25">
      <c r="A31" s="22">
        <v>46161</v>
      </c>
      <c r="B31" s="23" t="s">
        <v>105</v>
      </c>
      <c r="C31" s="23" t="s">
        <v>96</v>
      </c>
      <c r="D31" s="23" t="s">
        <v>97</v>
      </c>
      <c r="E31" s="24">
        <v>0.52</v>
      </c>
      <c r="F31" s="23" t="s">
        <v>56</v>
      </c>
      <c r="G31" s="25">
        <v>59.8</v>
      </c>
      <c r="H31" s="16">
        <v>65.099999999999994</v>
      </c>
      <c r="I31" s="16">
        <v>69.16</v>
      </c>
      <c r="J31" s="16">
        <v>64.33</v>
      </c>
      <c r="K31" s="26">
        <f t="shared" si="0"/>
        <v>8.8628762541805975E-2</v>
      </c>
      <c r="L31" s="26">
        <f t="shared" si="1"/>
        <v>0.15652173913043477</v>
      </c>
      <c r="M31" s="26">
        <f t="shared" si="2"/>
        <v>7.5752508361204035E-2</v>
      </c>
      <c r="N31" s="27" t="str">
        <f t="shared" si="3"/>
        <v>NO</v>
      </c>
      <c r="O31" s="23"/>
    </row>
    <row r="32" spans="1:15" ht="15" customHeight="1" x14ac:dyDescent="0.25">
      <c r="A32" s="22">
        <v>46161</v>
      </c>
      <c r="B32" s="23" t="s">
        <v>114</v>
      </c>
      <c r="C32" s="23" t="s">
        <v>113</v>
      </c>
      <c r="D32" s="23" t="s">
        <v>97</v>
      </c>
      <c r="E32" s="24">
        <v>0.42</v>
      </c>
      <c r="F32" s="23" t="s">
        <v>56</v>
      </c>
      <c r="G32" s="25">
        <v>315.88</v>
      </c>
      <c r="H32" s="16">
        <v>266.89999999999998</v>
      </c>
      <c r="I32" s="16">
        <v>214.94</v>
      </c>
      <c r="J32" s="16">
        <v>213.67</v>
      </c>
      <c r="K32" s="26">
        <f t="shared" si="0"/>
        <v>-0.15505888312017227</v>
      </c>
      <c r="L32" s="26">
        <f t="shared" si="1"/>
        <v>-0.31955172850449537</v>
      </c>
      <c r="M32" s="26">
        <f t="shared" si="2"/>
        <v>-0.3235722426237812</v>
      </c>
      <c r="N32" s="27" t="str">
        <f t="shared" si="3"/>
        <v>NO</v>
      </c>
      <c r="O32" s="23"/>
    </row>
    <row r="33" spans="1:15" ht="15" customHeight="1" x14ac:dyDescent="0.25">
      <c r="A33" s="22">
        <v>46161</v>
      </c>
      <c r="B33" s="23" t="s">
        <v>116</v>
      </c>
      <c r="C33" s="23" t="s">
        <v>113</v>
      </c>
      <c r="D33" s="23" t="s">
        <v>97</v>
      </c>
      <c r="E33" s="24">
        <v>0.52</v>
      </c>
      <c r="F33" s="23" t="s">
        <v>56</v>
      </c>
      <c r="G33" s="25">
        <v>18.690000000000001</v>
      </c>
      <c r="H33" s="16">
        <v>18</v>
      </c>
      <c r="I33" s="16">
        <v>17.47</v>
      </c>
      <c r="J33" s="16">
        <v>17.149999999999999</v>
      </c>
      <c r="K33" s="26">
        <f t="shared" si="0"/>
        <v>-3.6918138041733613E-2</v>
      </c>
      <c r="L33" s="26">
        <f t="shared" si="1"/>
        <v>-6.5275548421615967E-2</v>
      </c>
      <c r="M33" s="26">
        <f t="shared" si="2"/>
        <v>-8.2397003745318498E-2</v>
      </c>
      <c r="N33" s="27" t="str">
        <f t="shared" si="3"/>
        <v>NO</v>
      </c>
      <c r="O33" s="23"/>
    </row>
    <row r="34" spans="1:15" ht="15" customHeight="1" x14ac:dyDescent="0.25">
      <c r="A34" s="22">
        <v>46161</v>
      </c>
      <c r="B34" s="23" t="s">
        <v>104</v>
      </c>
      <c r="C34" s="23" t="s">
        <v>96</v>
      </c>
      <c r="D34" s="23" t="s">
        <v>97</v>
      </c>
      <c r="E34" s="24">
        <v>0.45</v>
      </c>
      <c r="F34" s="23" t="s">
        <v>56</v>
      </c>
      <c r="G34" s="25">
        <v>37.46</v>
      </c>
      <c r="H34" s="16">
        <v>34.49</v>
      </c>
      <c r="I34" s="16">
        <v>35.4</v>
      </c>
      <c r="J34" s="16">
        <v>32.5</v>
      </c>
      <c r="K34" s="26">
        <f t="shared" si="0"/>
        <v>-7.9284570208222077E-2</v>
      </c>
      <c r="L34" s="26">
        <f t="shared" si="1"/>
        <v>-5.4991991457554783E-2</v>
      </c>
      <c r="M34" s="26">
        <f t="shared" si="2"/>
        <v>-0.13240790176187936</v>
      </c>
      <c r="N34" s="27" t="str">
        <f t="shared" si="3"/>
        <v>NO</v>
      </c>
      <c r="O34" s="23"/>
    </row>
    <row r="35" spans="1:15" ht="15" customHeight="1" x14ac:dyDescent="0.25">
      <c r="A35" s="22">
        <v>46161</v>
      </c>
      <c r="B35" s="23" t="s">
        <v>111</v>
      </c>
      <c r="C35" s="23" t="s">
        <v>113</v>
      </c>
      <c r="D35" s="23" t="s">
        <v>97</v>
      </c>
      <c r="E35" s="24">
        <v>0.62</v>
      </c>
      <c r="F35" s="23" t="s">
        <v>56</v>
      </c>
      <c r="G35" s="25">
        <v>72.89</v>
      </c>
      <c r="H35" s="16">
        <v>67.41</v>
      </c>
      <c r="I35" s="16">
        <v>67.94</v>
      </c>
      <c r="J35" s="16">
        <v>67.010000000000005</v>
      </c>
      <c r="K35" s="26">
        <f t="shared" si="0"/>
        <v>-7.5181780765537165E-2</v>
      </c>
      <c r="L35" s="26">
        <f t="shared" si="1"/>
        <v>-6.7910550144052714E-2</v>
      </c>
      <c r="M35" s="26">
        <f t="shared" si="2"/>
        <v>-8.0669501989298883E-2</v>
      </c>
      <c r="N35" s="27" t="str">
        <f t="shared" si="3"/>
        <v>NO</v>
      </c>
      <c r="O35" s="23"/>
    </row>
    <row r="36" spans="1:15" ht="15" customHeight="1" x14ac:dyDescent="0.25">
      <c r="A36" s="22">
        <v>46161</v>
      </c>
      <c r="B36" s="23" t="s">
        <v>107</v>
      </c>
      <c r="C36" s="23" t="s">
        <v>96</v>
      </c>
      <c r="D36" s="23" t="s">
        <v>97</v>
      </c>
      <c r="E36" s="24">
        <v>0.52</v>
      </c>
      <c r="F36" s="23" t="s">
        <v>56</v>
      </c>
      <c r="G36" s="25">
        <v>71.150000000000006</v>
      </c>
      <c r="H36" s="16">
        <v>84.12</v>
      </c>
      <c r="I36" s="16">
        <v>81.7</v>
      </c>
      <c r="J36" s="16">
        <v>79.58</v>
      </c>
      <c r="K36" s="26">
        <f t="shared" si="0"/>
        <v>0.18229093464511592</v>
      </c>
      <c r="L36" s="26">
        <f t="shared" si="1"/>
        <v>0.14827828531271955</v>
      </c>
      <c r="M36" s="26">
        <f t="shared" si="2"/>
        <v>0.1184820801124384</v>
      </c>
      <c r="N36" s="27" t="str">
        <f t="shared" si="3"/>
        <v>NO</v>
      </c>
      <c r="O36" s="23"/>
    </row>
    <row r="37" spans="1:15" ht="15" customHeight="1" x14ac:dyDescent="0.25">
      <c r="A37" s="22">
        <v>46161</v>
      </c>
      <c r="B37" s="23" t="s">
        <v>106</v>
      </c>
      <c r="C37" s="23" t="s">
        <v>99</v>
      </c>
      <c r="D37" s="23" t="s">
        <v>97</v>
      </c>
      <c r="E37" s="24">
        <v>0.55000000000000004</v>
      </c>
      <c r="F37" s="23" t="s">
        <v>56</v>
      </c>
      <c r="G37" s="25">
        <v>299.23</v>
      </c>
      <c r="H37" s="16">
        <v>299.27999999999997</v>
      </c>
      <c r="I37" s="16">
        <v>300.85000000000002</v>
      </c>
      <c r="J37" s="16">
        <v>333.46</v>
      </c>
      <c r="K37" s="26">
        <f t="shared" si="0"/>
        <v>1.6709554523261212E-4</v>
      </c>
      <c r="L37" s="26">
        <f t="shared" si="1"/>
        <v>5.4138956655415717E-3</v>
      </c>
      <c r="M37" s="26">
        <f t="shared" si="2"/>
        <v>0.11439361026635016</v>
      </c>
      <c r="N37" s="27" t="str">
        <f t="shared" si="3"/>
        <v>YES</v>
      </c>
      <c r="O37" s="23"/>
    </row>
    <row r="38" spans="1:15" ht="15" customHeight="1" x14ac:dyDescent="0.25">
      <c r="A38" s="22">
        <v>46161</v>
      </c>
      <c r="B38" s="23" t="s">
        <v>100</v>
      </c>
      <c r="C38" s="23" t="s">
        <v>96</v>
      </c>
      <c r="D38" s="23" t="s">
        <v>97</v>
      </c>
      <c r="E38" s="24">
        <v>0.52</v>
      </c>
      <c r="F38" s="23" t="s">
        <v>56</v>
      </c>
      <c r="G38" s="25">
        <v>423.38</v>
      </c>
      <c r="H38" s="16">
        <v>412.67</v>
      </c>
      <c r="I38" s="16">
        <v>427.34</v>
      </c>
      <c r="J38" s="16">
        <v>378.91</v>
      </c>
      <c r="K38" s="26">
        <f t="shared" si="0"/>
        <v>-2.5296424016250128E-2</v>
      </c>
      <c r="L38" s="26">
        <f t="shared" si="1"/>
        <v>9.3532996362605206E-3</v>
      </c>
      <c r="M38" s="26">
        <f t="shared" si="2"/>
        <v>-0.10503566535972406</v>
      </c>
      <c r="N38" s="27" t="str">
        <f t="shared" si="3"/>
        <v>YES</v>
      </c>
      <c r="O38" s="23"/>
    </row>
    <row r="39" spans="1:15" ht="15" customHeight="1" x14ac:dyDescent="0.25">
      <c r="A39" s="22">
        <v>46161</v>
      </c>
      <c r="B39" s="23" t="s">
        <v>101</v>
      </c>
      <c r="C39" s="23" t="s">
        <v>99</v>
      </c>
      <c r="D39" s="23" t="s">
        <v>97</v>
      </c>
      <c r="E39" s="24">
        <v>0.42</v>
      </c>
      <c r="F39" s="23" t="s">
        <v>55</v>
      </c>
      <c r="G39" s="25">
        <v>43.08</v>
      </c>
      <c r="H39" s="16">
        <v>45.98</v>
      </c>
      <c r="I39" s="16">
        <v>43.81</v>
      </c>
      <c r="J39" s="16">
        <v>44.19</v>
      </c>
      <c r="K39" s="26">
        <f t="shared" si="0"/>
        <v>6.7316620241411301E-2</v>
      </c>
      <c r="L39" s="26">
        <f t="shared" si="1"/>
        <v>1.6945218198700186E-2</v>
      </c>
      <c r="M39" s="26">
        <f t="shared" si="2"/>
        <v>2.5766016713091911E-2</v>
      </c>
      <c r="N39" s="27" t="str">
        <f t="shared" si="3"/>
        <v>NO</v>
      </c>
      <c r="O39" s="23"/>
    </row>
    <row r="40" spans="1:15" ht="15" customHeight="1" x14ac:dyDescent="0.25">
      <c r="A40" s="22">
        <v>46161</v>
      </c>
      <c r="B40" s="23" t="s">
        <v>98</v>
      </c>
      <c r="C40" s="23" t="s">
        <v>96</v>
      </c>
      <c r="D40" s="23" t="s">
        <v>97</v>
      </c>
      <c r="E40" s="24">
        <v>0.62</v>
      </c>
      <c r="F40" s="23" t="s">
        <v>55</v>
      </c>
      <c r="G40" s="25">
        <v>70.97</v>
      </c>
      <c r="H40" s="16">
        <v>68.73</v>
      </c>
      <c r="I40" s="16">
        <v>68.81</v>
      </c>
      <c r="J40" s="16">
        <v>64.28</v>
      </c>
      <c r="K40" s="26">
        <f t="shared" si="0"/>
        <v>-3.1562632098069532E-2</v>
      </c>
      <c r="L40" s="26">
        <f t="shared" si="1"/>
        <v>-3.0435395237424216E-2</v>
      </c>
      <c r="M40" s="26">
        <f t="shared" si="2"/>
        <v>-9.4265182471466785E-2</v>
      </c>
      <c r="N40" s="27" t="str">
        <f t="shared" si="3"/>
        <v>NO</v>
      </c>
      <c r="O40" s="23"/>
    </row>
    <row r="41" spans="1:15" ht="15" customHeight="1" x14ac:dyDescent="0.25">
      <c r="A41" s="22">
        <v>46161</v>
      </c>
      <c r="B41" s="23" t="s">
        <v>110</v>
      </c>
      <c r="C41" s="23" t="s">
        <v>99</v>
      </c>
      <c r="D41" s="23" t="s">
        <v>97</v>
      </c>
      <c r="E41" s="24">
        <v>0.62</v>
      </c>
      <c r="F41" s="23" t="s">
        <v>55</v>
      </c>
      <c r="G41" s="25">
        <v>191.06</v>
      </c>
      <c r="H41" s="16">
        <v>182.04</v>
      </c>
      <c r="I41" s="16">
        <v>175.94</v>
      </c>
      <c r="J41" s="16">
        <v>179.44</v>
      </c>
      <c r="K41" s="26">
        <f t="shared" si="0"/>
        <v>-4.7210300429184601E-2</v>
      </c>
      <c r="L41" s="26">
        <f t="shared" si="1"/>
        <v>-7.9137443734952392E-2</v>
      </c>
      <c r="M41" s="26">
        <f t="shared" si="2"/>
        <v>-6.0818591018528233E-2</v>
      </c>
      <c r="N41" s="27" t="str">
        <f t="shared" si="3"/>
        <v>NO</v>
      </c>
      <c r="O41" s="23"/>
    </row>
    <row r="42" spans="1:15" ht="15" customHeight="1" x14ac:dyDescent="0.25">
      <c r="A42" s="22">
        <v>46161</v>
      </c>
      <c r="B42" s="23" t="s">
        <v>108</v>
      </c>
      <c r="C42" s="23" t="s">
        <v>99</v>
      </c>
      <c r="D42" s="23" t="s">
        <v>97</v>
      </c>
      <c r="E42" s="24">
        <v>0.57999999999999996</v>
      </c>
      <c r="F42" s="23" t="s">
        <v>56</v>
      </c>
      <c r="G42" s="25">
        <v>695.86</v>
      </c>
      <c r="H42" s="16">
        <v>733.62</v>
      </c>
      <c r="I42" s="16">
        <v>715.67</v>
      </c>
      <c r="J42" s="16">
        <v>714.85</v>
      </c>
      <c r="K42" s="26">
        <f t="shared" si="0"/>
        <v>5.4263788693127916E-2</v>
      </c>
      <c r="L42" s="26">
        <f t="shared" si="1"/>
        <v>2.8468370074440183E-2</v>
      </c>
      <c r="M42" s="26">
        <f t="shared" si="2"/>
        <v>2.7289972120828915E-2</v>
      </c>
      <c r="N42" s="27" t="str">
        <f t="shared" si="3"/>
        <v>NO</v>
      </c>
      <c r="O42" s="23"/>
    </row>
    <row r="43" spans="1:15" ht="15" customHeight="1" x14ac:dyDescent="0.25">
      <c r="A43" s="22">
        <v>46161</v>
      </c>
      <c r="B43" s="23" t="s">
        <v>115</v>
      </c>
      <c r="C43" s="23" t="s">
        <v>113</v>
      </c>
      <c r="D43" s="23" t="s">
        <v>97</v>
      </c>
      <c r="E43" s="24">
        <v>0.52</v>
      </c>
      <c r="F43" s="23" t="s">
        <v>55</v>
      </c>
      <c r="G43" s="25">
        <v>175.8</v>
      </c>
      <c r="H43" s="16">
        <v>176.59</v>
      </c>
      <c r="I43" s="16">
        <v>172.55</v>
      </c>
      <c r="J43" s="16">
        <v>192.58</v>
      </c>
      <c r="K43" s="26">
        <f t="shared" si="0"/>
        <v>4.4937428896472805E-3</v>
      </c>
      <c r="L43" s="26">
        <f t="shared" si="1"/>
        <v>-1.8486916951080772E-2</v>
      </c>
      <c r="M43" s="26">
        <f t="shared" si="2"/>
        <v>9.5449374288964731E-2</v>
      </c>
      <c r="N43" s="27" t="str">
        <f t="shared" si="3"/>
        <v>YES</v>
      </c>
      <c r="O43" s="23"/>
    </row>
    <row r="44" spans="1:15" ht="15" customHeight="1" x14ac:dyDescent="0.25">
      <c r="A44" s="22">
        <v>46161</v>
      </c>
      <c r="B44" s="23" t="s">
        <v>102</v>
      </c>
      <c r="C44" s="23" t="s">
        <v>99</v>
      </c>
      <c r="D44" s="23" t="s">
        <v>97</v>
      </c>
      <c r="E44" s="24">
        <v>0.68</v>
      </c>
      <c r="F44" s="23" t="s">
        <v>55</v>
      </c>
      <c r="G44" s="25">
        <v>32.08</v>
      </c>
      <c r="H44" s="16">
        <v>32.549999999999997</v>
      </c>
      <c r="I44" s="16">
        <v>32.369999999999997</v>
      </c>
      <c r="J44" s="16">
        <v>31.93</v>
      </c>
      <c r="K44" s="26">
        <f t="shared" si="0"/>
        <v>1.4650872817955077E-2</v>
      </c>
      <c r="L44" s="26">
        <f t="shared" si="1"/>
        <v>9.0399002493765333E-3</v>
      </c>
      <c r="M44" s="26">
        <f t="shared" si="2"/>
        <v>-4.6758104738154173E-3</v>
      </c>
      <c r="N44" s="27" t="str">
        <f t="shared" si="3"/>
        <v>YES</v>
      </c>
      <c r="O44" s="23"/>
    </row>
    <row r="45" spans="1:15" ht="15" customHeight="1" x14ac:dyDescent="0.25">
      <c r="A45" s="22">
        <v>46161</v>
      </c>
      <c r="B45" s="23" t="s">
        <v>117</v>
      </c>
      <c r="C45" s="23" t="s">
        <v>113</v>
      </c>
      <c r="D45" s="23" t="s">
        <v>97</v>
      </c>
      <c r="E45" s="24">
        <v>0.48</v>
      </c>
      <c r="F45" s="23" t="s">
        <v>56</v>
      </c>
      <c r="G45" s="25">
        <v>4.84</v>
      </c>
      <c r="H45" s="16">
        <v>4.9000000000000004</v>
      </c>
      <c r="I45" s="16">
        <v>5.0999999999999996</v>
      </c>
      <c r="J45" s="16">
        <v>5.03</v>
      </c>
      <c r="K45" s="26">
        <f t="shared" si="0"/>
        <v>1.2396694214876136E-2</v>
      </c>
      <c r="L45" s="26">
        <f t="shared" si="1"/>
        <v>5.371900826446277E-2</v>
      </c>
      <c r="M45" s="26">
        <f t="shared" si="2"/>
        <v>3.9256198347107522E-2</v>
      </c>
      <c r="N45" s="27" t="str">
        <f t="shared" si="3"/>
        <v>YES</v>
      </c>
      <c r="O45" s="23"/>
    </row>
    <row r="46" spans="1:15" ht="15" customHeight="1" x14ac:dyDescent="0.25">
      <c r="A46" s="22">
        <v>46161</v>
      </c>
      <c r="B46" s="23" t="s">
        <v>95</v>
      </c>
      <c r="C46" s="23" t="s">
        <v>96</v>
      </c>
      <c r="D46" s="23" t="s">
        <v>97</v>
      </c>
      <c r="E46" s="24">
        <v>0.62</v>
      </c>
      <c r="F46" s="23" t="s">
        <v>55</v>
      </c>
      <c r="G46" s="25">
        <v>134.16</v>
      </c>
      <c r="H46" s="16">
        <v>118.54</v>
      </c>
      <c r="I46" s="16">
        <v>116.89</v>
      </c>
      <c r="J46" s="16">
        <v>118.13</v>
      </c>
      <c r="K46" s="26">
        <f t="shared" si="0"/>
        <v>-0.11642814549791287</v>
      </c>
      <c r="L46" s="26">
        <f t="shared" si="1"/>
        <v>-0.12872689326177697</v>
      </c>
      <c r="M46" s="26">
        <f t="shared" si="2"/>
        <v>-0.11948419797257008</v>
      </c>
      <c r="N46" s="27" t="str">
        <f t="shared" si="3"/>
        <v>NO</v>
      </c>
      <c r="O46" s="23"/>
    </row>
    <row r="47" spans="1:15" ht="15" customHeight="1" x14ac:dyDescent="0.25">
      <c r="A47" s="22">
        <v>46161</v>
      </c>
      <c r="B47" s="23" t="s">
        <v>109</v>
      </c>
      <c r="C47" s="23" t="s">
        <v>99</v>
      </c>
      <c r="D47" s="23" t="s">
        <v>97</v>
      </c>
      <c r="E47" s="24">
        <v>0.52</v>
      </c>
      <c r="F47" s="23" t="s">
        <v>55</v>
      </c>
      <c r="G47" s="25">
        <v>44.03</v>
      </c>
      <c r="H47" s="16">
        <v>45.14</v>
      </c>
      <c r="I47" s="16">
        <v>43.71</v>
      </c>
      <c r="J47" s="16">
        <v>44.46</v>
      </c>
      <c r="K47" s="26">
        <f t="shared" si="0"/>
        <v>2.5210084033613432E-2</v>
      </c>
      <c r="L47" s="26">
        <f t="shared" si="1"/>
        <v>-7.2677719736543326E-3</v>
      </c>
      <c r="M47" s="26">
        <f t="shared" si="2"/>
        <v>9.7660685895979947E-3</v>
      </c>
      <c r="N47" s="27" t="str">
        <f t="shared" si="3"/>
        <v>YES</v>
      </c>
      <c r="O47" s="23"/>
    </row>
    <row r="48" spans="1:15" ht="15" customHeight="1" x14ac:dyDescent="0.25">
      <c r="A48" s="22">
        <v>46161</v>
      </c>
      <c r="B48" s="23" t="s">
        <v>118</v>
      </c>
      <c r="C48" s="23" t="s">
        <v>119</v>
      </c>
      <c r="D48" s="23" t="s">
        <v>97</v>
      </c>
      <c r="E48" s="24">
        <v>0.45</v>
      </c>
      <c r="F48" s="23" t="s">
        <v>55</v>
      </c>
      <c r="G48" s="25">
        <v>733.01</v>
      </c>
      <c r="H48" s="16">
        <v>750.46</v>
      </c>
      <c r="I48" s="16">
        <v>754.24</v>
      </c>
      <c r="J48" s="16">
        <v>740.96</v>
      </c>
      <c r="K48" s="26">
        <f t="shared" si="0"/>
        <v>2.3805950805582524E-2</v>
      </c>
      <c r="L48" s="26">
        <f t="shared" si="1"/>
        <v>2.8962769948568258E-2</v>
      </c>
      <c r="M48" s="26">
        <f t="shared" si="2"/>
        <v>1.0845691054692358E-2</v>
      </c>
      <c r="N48" s="27" t="str">
        <f t="shared" si="3"/>
        <v>YES</v>
      </c>
      <c r="O48" s="23"/>
    </row>
    <row r="49" spans="1:15" ht="15" customHeight="1" x14ac:dyDescent="0.25">
      <c r="A49" s="22">
        <v>46161</v>
      </c>
      <c r="B49" s="23" t="s">
        <v>120</v>
      </c>
      <c r="C49" s="23" t="s">
        <v>119</v>
      </c>
      <c r="D49" s="23" t="s">
        <v>97</v>
      </c>
      <c r="E49" s="24">
        <v>0.42</v>
      </c>
      <c r="F49" s="23" t="s">
        <v>56</v>
      </c>
      <c r="G49" s="25">
        <v>698.41</v>
      </c>
      <c r="H49" s="16">
        <v>729.45</v>
      </c>
      <c r="I49" s="16">
        <v>744.21</v>
      </c>
      <c r="J49" s="16">
        <v>722.51</v>
      </c>
      <c r="K49" s="26">
        <f t="shared" si="0"/>
        <v>4.4443808078349509E-2</v>
      </c>
      <c r="L49" s="26">
        <f t="shared" si="1"/>
        <v>6.5577526094987279E-2</v>
      </c>
      <c r="M49" s="26">
        <f t="shared" si="2"/>
        <v>3.4506951504130842E-2</v>
      </c>
      <c r="N49" s="27" t="str">
        <f t="shared" si="3"/>
        <v>NO</v>
      </c>
      <c r="O49" s="23"/>
    </row>
    <row r="50" spans="1:15" ht="15" customHeight="1" x14ac:dyDescent="0.25">
      <c r="A50" s="22">
        <v>46161</v>
      </c>
      <c r="B50" s="23" t="s">
        <v>121</v>
      </c>
      <c r="C50" s="23" t="s">
        <v>119</v>
      </c>
      <c r="D50" s="23" t="s">
        <v>97</v>
      </c>
      <c r="E50" s="24">
        <v>0.52</v>
      </c>
      <c r="F50" s="23" t="s">
        <v>56</v>
      </c>
      <c r="G50" s="25">
        <v>359.51</v>
      </c>
      <c r="H50" s="16">
        <v>369.36</v>
      </c>
      <c r="I50" s="16">
        <v>371.65</v>
      </c>
      <c r="J50" s="16">
        <v>365.76</v>
      </c>
      <c r="K50" s="26">
        <f t="shared" si="0"/>
        <v>2.7398403382381638E-2</v>
      </c>
      <c r="L50" s="26">
        <f t="shared" si="1"/>
        <v>3.3768184473310855E-2</v>
      </c>
      <c r="M50" s="26">
        <f t="shared" si="2"/>
        <v>1.7384773719785265E-2</v>
      </c>
      <c r="N50" s="27" t="str">
        <f t="shared" si="3"/>
        <v>YES</v>
      </c>
      <c r="O50" s="23"/>
    </row>
    <row r="51" spans="1:15" ht="15" customHeight="1" x14ac:dyDescent="0.25">
      <c r="A51" s="22">
        <v>46161</v>
      </c>
      <c r="B51" s="23" t="s">
        <v>122</v>
      </c>
      <c r="C51" s="23" t="s">
        <v>119</v>
      </c>
      <c r="D51" s="23" t="s">
        <v>124</v>
      </c>
      <c r="E51" s="24">
        <v>0.62</v>
      </c>
      <c r="F51" s="23" t="s">
        <v>56</v>
      </c>
      <c r="G51" s="25">
        <v>220.58</v>
      </c>
      <c r="H51" s="16">
        <v>212.6</v>
      </c>
      <c r="I51" s="16">
        <v>214.75</v>
      </c>
      <c r="J51" s="16">
        <v>204.65</v>
      </c>
      <c r="K51" s="26">
        <f t="shared" si="0"/>
        <v>-3.6177350621089933E-2</v>
      </c>
      <c r="L51" s="26">
        <f t="shared" si="1"/>
        <v>-2.6430320065282491E-2</v>
      </c>
      <c r="M51" s="26">
        <f t="shared" si="2"/>
        <v>-7.2218696164656843E-2</v>
      </c>
      <c r="N51" s="27" t="str">
        <f t="shared" si="3"/>
        <v>NO</v>
      </c>
      <c r="O51" s="23" t="s">
        <v>125</v>
      </c>
    </row>
    <row r="52" spans="1:15" ht="15" customHeight="1" x14ac:dyDescent="0.25">
      <c r="A52" s="22">
        <v>46161</v>
      </c>
      <c r="B52" s="23" t="s">
        <v>123</v>
      </c>
      <c r="C52" s="23" t="s">
        <v>119</v>
      </c>
      <c r="D52" s="23" t="s">
        <v>97</v>
      </c>
      <c r="E52" s="24">
        <v>0.42</v>
      </c>
      <c r="F52" s="23" t="s">
        <v>56</v>
      </c>
      <c r="G52" s="25">
        <v>412.56</v>
      </c>
      <c r="H52" s="16">
        <v>404.49</v>
      </c>
      <c r="I52" s="16">
        <v>407.87</v>
      </c>
      <c r="J52" s="16">
        <v>388.6</v>
      </c>
      <c r="K52" s="26">
        <f t="shared" si="0"/>
        <v>-1.956079115764978E-2</v>
      </c>
      <c r="L52" s="26">
        <f t="shared" si="1"/>
        <v>-1.1368043436106258E-2</v>
      </c>
      <c r="M52" s="26">
        <f t="shared" si="2"/>
        <v>-5.8076401008338129E-2</v>
      </c>
      <c r="N52" s="27" t="str">
        <f t="shared" si="3"/>
        <v>YES</v>
      </c>
      <c r="O52" s="23"/>
    </row>
    <row r="53" spans="1:15" ht="15" customHeight="1" x14ac:dyDescent="0.25">
      <c r="A53" s="22">
        <v>46162</v>
      </c>
      <c r="B53" s="23" t="s">
        <v>103</v>
      </c>
      <c r="C53" s="23" t="s">
        <v>99</v>
      </c>
      <c r="D53" s="23" t="s">
        <v>97</v>
      </c>
      <c r="E53" s="24">
        <v>0.52</v>
      </c>
      <c r="F53" s="23" t="s">
        <v>56</v>
      </c>
      <c r="G53" s="25">
        <v>299.43</v>
      </c>
      <c r="H53" s="16">
        <v>312.51</v>
      </c>
      <c r="I53" s="16">
        <v>311.23</v>
      </c>
      <c r="J53" s="16">
        <v>298.01</v>
      </c>
      <c r="K53" s="26">
        <f t="shared" si="0"/>
        <v>4.3682997695621624E-2</v>
      </c>
      <c r="L53" s="26">
        <f t="shared" si="1"/>
        <v>3.9408208930300941E-2</v>
      </c>
      <c r="M53" s="26">
        <f t="shared" si="2"/>
        <v>-4.7423437865277895E-3</v>
      </c>
      <c r="N53" s="27" t="str">
        <f t="shared" si="3"/>
        <v>NO</v>
      </c>
      <c r="O53" s="23"/>
    </row>
    <row r="54" spans="1:15" ht="15" customHeight="1" x14ac:dyDescent="0.25">
      <c r="A54" s="22">
        <v>46162</v>
      </c>
      <c r="B54" s="23" t="s">
        <v>112</v>
      </c>
      <c r="C54" s="23" t="s">
        <v>113</v>
      </c>
      <c r="D54" s="23" t="s">
        <v>97</v>
      </c>
      <c r="E54" s="24">
        <v>0.45</v>
      </c>
      <c r="F54" s="23" t="s">
        <v>56</v>
      </c>
      <c r="G54" s="25">
        <v>19.690000000000001</v>
      </c>
      <c r="H54" s="16">
        <v>20.58</v>
      </c>
      <c r="I54" s="16">
        <v>19.77</v>
      </c>
      <c r="J54" s="16">
        <v>18</v>
      </c>
      <c r="K54" s="26">
        <f t="shared" si="0"/>
        <v>4.5200609446419349E-2</v>
      </c>
      <c r="L54" s="26">
        <f t="shared" si="1"/>
        <v>4.0629761300151491E-3</v>
      </c>
      <c r="M54" s="26">
        <f t="shared" si="2"/>
        <v>-8.5830370746571918E-2</v>
      </c>
      <c r="N54" s="27" t="str">
        <f t="shared" si="3"/>
        <v>NO</v>
      </c>
      <c r="O54" s="23"/>
    </row>
    <row r="55" spans="1:15" ht="15" customHeight="1" x14ac:dyDescent="0.25">
      <c r="A55" s="22">
        <v>46162</v>
      </c>
      <c r="B55" s="23" t="s">
        <v>105</v>
      </c>
      <c r="C55" s="23" t="s">
        <v>96</v>
      </c>
      <c r="D55" s="23" t="s">
        <v>97</v>
      </c>
      <c r="E55" s="24">
        <v>0.45</v>
      </c>
      <c r="F55" s="23" t="s">
        <v>56</v>
      </c>
      <c r="G55" s="25">
        <v>61.25</v>
      </c>
      <c r="H55" s="16">
        <v>66.34</v>
      </c>
      <c r="I55" s="16">
        <v>68.069999999999993</v>
      </c>
      <c r="J55" s="16">
        <v>66.8</v>
      </c>
      <c r="K55" s="26">
        <f t="shared" si="0"/>
        <v>8.3102040816326592E-2</v>
      </c>
      <c r="L55" s="26">
        <f t="shared" si="1"/>
        <v>0.11134693877551009</v>
      </c>
      <c r="M55" s="26">
        <f t="shared" si="2"/>
        <v>9.0612244897959132E-2</v>
      </c>
      <c r="N55" s="27" t="str">
        <f t="shared" si="3"/>
        <v>NO</v>
      </c>
      <c r="O55" s="23"/>
    </row>
    <row r="56" spans="1:15" ht="15" customHeight="1" x14ac:dyDescent="0.25">
      <c r="A56" s="22">
        <v>46162</v>
      </c>
      <c r="B56" s="23" t="s">
        <v>114</v>
      </c>
      <c r="C56" s="23" t="s">
        <v>113</v>
      </c>
      <c r="D56" s="23" t="s">
        <v>97</v>
      </c>
      <c r="E56" s="24">
        <v>0.42</v>
      </c>
      <c r="F56" s="23" t="s">
        <v>57</v>
      </c>
      <c r="G56" s="25">
        <v>322.42</v>
      </c>
      <c r="H56" s="16">
        <v>242.59</v>
      </c>
      <c r="I56" s="16">
        <v>215.4</v>
      </c>
      <c r="J56" s="16">
        <v>234.71</v>
      </c>
      <c r="K56" s="26">
        <f t="shared" si="0"/>
        <v>-0.24759630295887355</v>
      </c>
      <c r="L56" s="26">
        <f t="shared" si="1"/>
        <v>-0.33192729979529806</v>
      </c>
      <c r="M56" s="26">
        <f t="shared" si="2"/>
        <v>-0.27203647416413373</v>
      </c>
      <c r="N56" s="27" t="str">
        <f t="shared" si="3"/>
        <v>NO</v>
      </c>
      <c r="O56" s="23"/>
    </row>
    <row r="57" spans="1:15" ht="15" customHeight="1" x14ac:dyDescent="0.25">
      <c r="A57" s="22">
        <v>46162</v>
      </c>
      <c r="B57" s="23" t="s">
        <v>116</v>
      </c>
      <c r="C57" s="23" t="s">
        <v>113</v>
      </c>
      <c r="D57" s="23" t="s">
        <v>97</v>
      </c>
      <c r="E57" s="24">
        <v>0.42</v>
      </c>
      <c r="F57" s="23" t="s">
        <v>57</v>
      </c>
      <c r="G57" s="25">
        <v>18.5</v>
      </c>
      <c r="H57" s="16">
        <v>18.21</v>
      </c>
      <c r="I57" s="16">
        <v>17.23</v>
      </c>
      <c r="J57" s="16">
        <v>16.95</v>
      </c>
      <c r="K57" s="26">
        <f t="shared" si="0"/>
        <v>-1.567567567567563E-2</v>
      </c>
      <c r="L57" s="26">
        <f t="shared" si="1"/>
        <v>-6.8648648648648627E-2</v>
      </c>
      <c r="M57" s="26">
        <f t="shared" si="2"/>
        <v>-8.3783783783783816E-2</v>
      </c>
      <c r="N57" s="27" t="str">
        <f t="shared" si="3"/>
        <v>YES</v>
      </c>
      <c r="O57" s="23"/>
    </row>
    <row r="58" spans="1:15" ht="15" customHeight="1" x14ac:dyDescent="0.25">
      <c r="A58" s="22">
        <v>46162</v>
      </c>
      <c r="B58" s="23" t="s">
        <v>104</v>
      </c>
      <c r="C58" s="23" t="s">
        <v>96</v>
      </c>
      <c r="D58" s="23" t="s">
        <v>97</v>
      </c>
      <c r="E58" s="24">
        <v>0.42</v>
      </c>
      <c r="F58" s="23" t="s">
        <v>56</v>
      </c>
      <c r="G58" s="25">
        <v>36.85</v>
      </c>
      <c r="H58" s="16">
        <v>34.770000000000003</v>
      </c>
      <c r="I58" s="16">
        <v>34.79</v>
      </c>
      <c r="J58" s="16">
        <v>31.73</v>
      </c>
      <c r="K58" s="26">
        <f t="shared" si="0"/>
        <v>-5.6445047489823562E-2</v>
      </c>
      <c r="L58" s="26">
        <f t="shared" si="1"/>
        <v>-5.5902306648575366E-2</v>
      </c>
      <c r="M58" s="26">
        <f t="shared" si="2"/>
        <v>-0.13894165535956582</v>
      </c>
      <c r="N58" s="27" t="str">
        <f t="shared" si="3"/>
        <v>NO</v>
      </c>
      <c r="O58" s="23"/>
    </row>
    <row r="59" spans="1:15" ht="15" customHeight="1" x14ac:dyDescent="0.25">
      <c r="A59" s="22">
        <v>46162</v>
      </c>
      <c r="B59" s="23" t="s">
        <v>111</v>
      </c>
      <c r="C59" s="23" t="s">
        <v>113</v>
      </c>
      <c r="D59" s="23" t="s">
        <v>97</v>
      </c>
      <c r="E59" s="24">
        <v>0.55000000000000004</v>
      </c>
      <c r="F59" s="23" t="s">
        <v>56</v>
      </c>
      <c r="G59" s="25">
        <v>73.930000000000007</v>
      </c>
      <c r="H59" s="16">
        <v>67.7</v>
      </c>
      <c r="I59" s="16">
        <v>69.010000000000005</v>
      </c>
      <c r="J59" s="16">
        <v>65.17</v>
      </c>
      <c r="K59" s="26">
        <f t="shared" si="0"/>
        <v>-8.4268903016366886E-2</v>
      </c>
      <c r="L59" s="26">
        <f t="shared" si="1"/>
        <v>-6.6549438658190199E-2</v>
      </c>
      <c r="M59" s="26">
        <f t="shared" si="2"/>
        <v>-0.11849046395238745</v>
      </c>
      <c r="N59" s="27" t="str">
        <f t="shared" si="3"/>
        <v>NO</v>
      </c>
      <c r="O59" s="23"/>
    </row>
    <row r="60" spans="1:15" ht="15" customHeight="1" x14ac:dyDescent="0.25">
      <c r="A60" s="22">
        <v>46162</v>
      </c>
      <c r="B60" s="23" t="s">
        <v>107</v>
      </c>
      <c r="C60" s="23" t="s">
        <v>96</v>
      </c>
      <c r="D60" s="23" t="s">
        <v>97</v>
      </c>
      <c r="E60" s="24">
        <v>0.45</v>
      </c>
      <c r="F60" s="23" t="s">
        <v>56</v>
      </c>
      <c r="G60" s="25">
        <v>74.48</v>
      </c>
      <c r="H60" s="16">
        <v>84.35</v>
      </c>
      <c r="I60" s="16">
        <v>83.22</v>
      </c>
      <c r="J60" s="16">
        <v>79.290000000000006</v>
      </c>
      <c r="K60" s="26">
        <f t="shared" si="0"/>
        <v>0.13251879699248106</v>
      </c>
      <c r="L60" s="26">
        <f t="shared" si="1"/>
        <v>0.11734693877551013</v>
      </c>
      <c r="M60" s="26">
        <f t="shared" si="2"/>
        <v>6.4581095596133217E-2</v>
      </c>
      <c r="N60" s="27" t="str">
        <f t="shared" si="3"/>
        <v>NO</v>
      </c>
      <c r="O60" s="23"/>
    </row>
    <row r="61" spans="1:15" ht="15" customHeight="1" x14ac:dyDescent="0.25">
      <c r="A61" s="22">
        <v>46162</v>
      </c>
      <c r="B61" s="23" t="s">
        <v>106</v>
      </c>
      <c r="C61" s="23" t="s">
        <v>99</v>
      </c>
      <c r="D61" s="23" t="s">
        <v>97</v>
      </c>
      <c r="E61" s="24">
        <v>0.52</v>
      </c>
      <c r="F61" s="23" t="s">
        <v>56</v>
      </c>
      <c r="G61" s="25">
        <v>299.5</v>
      </c>
      <c r="H61" s="16">
        <v>296.73</v>
      </c>
      <c r="I61" s="16">
        <v>310.89</v>
      </c>
      <c r="J61" s="16">
        <v>325.22000000000003</v>
      </c>
      <c r="K61" s="26">
        <f t="shared" si="0"/>
        <v>-9.2487479131885871E-3</v>
      </c>
      <c r="L61" s="26">
        <f t="shared" si="1"/>
        <v>3.8030050083472405E-2</v>
      </c>
      <c r="M61" s="26">
        <f t="shared" si="2"/>
        <v>8.5876460767946666E-2</v>
      </c>
      <c r="N61" s="27" t="str">
        <f t="shared" si="3"/>
        <v>YES</v>
      </c>
      <c r="O61" s="23"/>
    </row>
    <row r="62" spans="1:15" ht="15" customHeight="1" x14ac:dyDescent="0.25">
      <c r="A62" s="22">
        <v>46162</v>
      </c>
      <c r="B62" s="23" t="s">
        <v>100</v>
      </c>
      <c r="C62" s="23" t="s">
        <v>96</v>
      </c>
      <c r="D62" s="23" t="s">
        <v>97</v>
      </c>
      <c r="E62" s="24">
        <v>0.52</v>
      </c>
      <c r="F62" s="23" t="s">
        <v>56</v>
      </c>
      <c r="G62" s="25">
        <v>414.49</v>
      </c>
      <c r="H62" s="16">
        <v>426.99</v>
      </c>
      <c r="I62" s="16">
        <v>428.05</v>
      </c>
      <c r="J62" s="16">
        <v>379.4</v>
      </c>
      <c r="K62" s="26">
        <f t="shared" si="0"/>
        <v>3.0157543004656322E-2</v>
      </c>
      <c r="L62" s="26">
        <f t="shared" si="1"/>
        <v>3.2714902651451189E-2</v>
      </c>
      <c r="M62" s="26">
        <f t="shared" si="2"/>
        <v>-8.4658254722671314E-2</v>
      </c>
      <c r="N62" s="27" t="str">
        <f t="shared" si="3"/>
        <v>NO</v>
      </c>
      <c r="O62" s="23"/>
    </row>
    <row r="63" spans="1:15" ht="15" customHeight="1" x14ac:dyDescent="0.25">
      <c r="A63" s="22">
        <v>46162</v>
      </c>
      <c r="B63" s="23" t="s">
        <v>101</v>
      </c>
      <c r="C63" s="23" t="s">
        <v>99</v>
      </c>
      <c r="D63" s="23" t="s">
        <v>97</v>
      </c>
      <c r="E63" s="24">
        <v>0.48</v>
      </c>
      <c r="F63" s="23" t="s">
        <v>56</v>
      </c>
      <c r="G63" s="25">
        <v>43.08</v>
      </c>
      <c r="H63" s="16">
        <v>47.37</v>
      </c>
      <c r="I63" s="16">
        <v>43.62</v>
      </c>
      <c r="J63" s="16">
        <v>45.2</v>
      </c>
      <c r="K63" s="26">
        <f t="shared" si="0"/>
        <v>9.9582172701949842E-2</v>
      </c>
      <c r="L63" s="26">
        <f t="shared" si="1"/>
        <v>1.2534818941504159E-2</v>
      </c>
      <c r="M63" s="26">
        <f t="shared" si="2"/>
        <v>4.9210770659238734E-2</v>
      </c>
      <c r="N63" s="27" t="str">
        <f t="shared" si="3"/>
        <v>NO</v>
      </c>
      <c r="O63" s="23"/>
    </row>
    <row r="64" spans="1:15" ht="15" customHeight="1" x14ac:dyDescent="0.25">
      <c r="A64" s="22">
        <v>46162</v>
      </c>
      <c r="B64" s="23" t="s">
        <v>98</v>
      </c>
      <c r="C64" s="23" t="s">
        <v>96</v>
      </c>
      <c r="D64" s="23" t="s">
        <v>97</v>
      </c>
      <c r="E64" s="24">
        <v>0.57999999999999996</v>
      </c>
      <c r="F64" s="23" t="s">
        <v>56</v>
      </c>
      <c r="G64" s="25">
        <v>70.97</v>
      </c>
      <c r="H64" s="16">
        <v>69.650000000000006</v>
      </c>
      <c r="I64" s="16">
        <v>69</v>
      </c>
      <c r="J64" s="16">
        <v>62.86</v>
      </c>
      <c r="K64" s="26">
        <f t="shared" si="0"/>
        <v>-1.8599408200648065E-2</v>
      </c>
      <c r="L64" s="26">
        <f t="shared" si="1"/>
        <v>-2.7758207693391559E-2</v>
      </c>
      <c r="M64" s="26">
        <f t="shared" si="2"/>
        <v>-0.11427363674792165</v>
      </c>
      <c r="N64" s="27" t="str">
        <f t="shared" si="3"/>
        <v>YES</v>
      </c>
      <c r="O64" s="23"/>
    </row>
    <row r="65" spans="1:15" ht="15" customHeight="1" x14ac:dyDescent="0.25">
      <c r="A65" s="22">
        <v>46162</v>
      </c>
      <c r="B65" s="23" t="s">
        <v>110</v>
      </c>
      <c r="C65" s="23" t="s">
        <v>99</v>
      </c>
      <c r="D65" s="23" t="s">
        <v>97</v>
      </c>
      <c r="E65" s="24">
        <v>0.62</v>
      </c>
      <c r="F65" s="23" t="s">
        <v>56</v>
      </c>
      <c r="G65" s="25">
        <v>191.06</v>
      </c>
      <c r="H65" s="16">
        <v>178.57</v>
      </c>
      <c r="I65" s="16">
        <v>174.99</v>
      </c>
      <c r="J65" s="16">
        <v>178.4</v>
      </c>
      <c r="K65" s="26">
        <f t="shared" si="0"/>
        <v>-6.5372134408039406E-2</v>
      </c>
      <c r="L65" s="26">
        <f t="shared" si="1"/>
        <v>-8.4109703757981755E-2</v>
      </c>
      <c r="M65" s="26">
        <f t="shared" si="2"/>
        <v>-6.6261907254265659E-2</v>
      </c>
      <c r="N65" s="27" t="str">
        <f t="shared" si="3"/>
        <v>NO</v>
      </c>
      <c r="O65" s="23"/>
    </row>
    <row r="66" spans="1:15" ht="15" customHeight="1" x14ac:dyDescent="0.25">
      <c r="A66" s="22">
        <v>46162</v>
      </c>
      <c r="B66" s="23" t="s">
        <v>108</v>
      </c>
      <c r="C66" s="23" t="s">
        <v>99</v>
      </c>
      <c r="D66" s="23" t="s">
        <v>97</v>
      </c>
      <c r="E66" s="24">
        <v>0.52</v>
      </c>
      <c r="F66" s="23" t="s">
        <v>56</v>
      </c>
      <c r="G66" s="25">
        <v>695.86</v>
      </c>
      <c r="H66" s="16">
        <v>730.1</v>
      </c>
      <c r="I66" s="16">
        <v>719.17</v>
      </c>
      <c r="J66" s="16">
        <v>702.25</v>
      </c>
      <c r="K66" s="26">
        <f t="shared" si="0"/>
        <v>4.920529991664991E-2</v>
      </c>
      <c r="L66" s="26">
        <f t="shared" si="1"/>
        <v>3.3498117437415494E-2</v>
      </c>
      <c r="M66" s="26">
        <f t="shared" si="2"/>
        <v>9.1828816141177622E-3</v>
      </c>
      <c r="N66" s="27" t="str">
        <f t="shared" si="3"/>
        <v>NO</v>
      </c>
      <c r="O66" s="23"/>
    </row>
    <row r="67" spans="1:15" ht="15" customHeight="1" x14ac:dyDescent="0.25">
      <c r="A67" s="22">
        <v>46162</v>
      </c>
      <c r="B67" s="23" t="s">
        <v>115</v>
      </c>
      <c r="C67" s="23" t="s">
        <v>113</v>
      </c>
      <c r="D67" s="23" t="s">
        <v>97</v>
      </c>
      <c r="E67" s="24">
        <v>0.48</v>
      </c>
      <c r="F67" s="23" t="s">
        <v>56</v>
      </c>
      <c r="G67" s="25">
        <v>175.8</v>
      </c>
      <c r="H67" s="16">
        <v>178.96</v>
      </c>
      <c r="I67" s="16">
        <v>179.41</v>
      </c>
      <c r="J67" s="16">
        <v>185.6</v>
      </c>
      <c r="K67" s="26">
        <f t="shared" si="0"/>
        <v>1.7974971558589285E-2</v>
      </c>
      <c r="L67" s="26">
        <f t="shared" si="1"/>
        <v>2.0534698521046557E-2</v>
      </c>
      <c r="M67" s="26">
        <f t="shared" si="2"/>
        <v>5.5745164960181927E-2</v>
      </c>
      <c r="N67" s="27" t="str">
        <f t="shared" si="3"/>
        <v>YES</v>
      </c>
      <c r="O67" s="23"/>
    </row>
    <row r="68" spans="1:15" ht="15" customHeight="1" x14ac:dyDescent="0.25">
      <c r="A68" s="22">
        <v>46162</v>
      </c>
      <c r="B68" s="23" t="s">
        <v>102</v>
      </c>
      <c r="C68" s="23" t="s">
        <v>99</v>
      </c>
      <c r="D68" s="23" t="s">
        <v>97</v>
      </c>
      <c r="E68" s="24">
        <v>0.62</v>
      </c>
      <c r="F68" s="23" t="s">
        <v>55</v>
      </c>
      <c r="G68" s="25">
        <v>32.08</v>
      </c>
      <c r="H68" s="16">
        <v>32.630000000000003</v>
      </c>
      <c r="I68" s="16">
        <v>32.590000000000003</v>
      </c>
      <c r="J68" s="16">
        <v>31.86</v>
      </c>
      <c r="K68" s="26">
        <f t="shared" si="0"/>
        <v>1.7144638403990158E-2</v>
      </c>
      <c r="L68" s="26">
        <f t="shared" si="1"/>
        <v>1.589775561097273E-2</v>
      </c>
      <c r="M68" s="26">
        <f t="shared" si="2"/>
        <v>-6.8578553615959749E-3</v>
      </c>
      <c r="N68" s="27" t="str">
        <f t="shared" si="3"/>
        <v>YES</v>
      </c>
      <c r="O68" s="23"/>
    </row>
    <row r="69" spans="1:15" ht="15" customHeight="1" x14ac:dyDescent="0.25">
      <c r="A69" s="22">
        <v>46162</v>
      </c>
      <c r="B69" s="23" t="s">
        <v>117</v>
      </c>
      <c r="C69" s="23" t="s">
        <v>113</v>
      </c>
      <c r="D69" s="23" t="s">
        <v>97</v>
      </c>
      <c r="E69" s="24">
        <v>0.48</v>
      </c>
      <c r="F69" s="23" t="s">
        <v>56</v>
      </c>
      <c r="G69" s="25">
        <v>4.84</v>
      </c>
      <c r="H69" s="16">
        <v>4.6399999999999997</v>
      </c>
      <c r="I69" s="16">
        <v>5.71</v>
      </c>
      <c r="J69" s="16">
        <v>4.79</v>
      </c>
      <c r="K69" s="26">
        <f t="shared" ref="K69:K132" si="4">IF(H69="","",(H69-G69)/G69)</f>
        <v>-4.1322314049586813E-2</v>
      </c>
      <c r="L69" s="26">
        <f t="shared" ref="L69:L132" si="5">IF(I69="","",(I69-G69)/G69)</f>
        <v>0.17975206611570252</v>
      </c>
      <c r="M69" s="26">
        <f t="shared" ref="M69:M132" si="6">IF(J69="","",(J69-G69)/G69)</f>
        <v>-1.0330578512396658E-2</v>
      </c>
      <c r="N69" s="27" t="str">
        <f t="shared" ref="N69:N132" si="7">IF(H69="","",IF(D69="HOLD",IF(ABS(K69)&lt;0.03,"YES","NO"),IF(D69="BUY",IF(K69&gt;0,"YES","NO"),IF(D69="SELL",IF(K69&lt;0,"YES","NO"),""))))</f>
        <v>NO</v>
      </c>
      <c r="O69" s="23"/>
    </row>
    <row r="70" spans="1:15" ht="15" customHeight="1" x14ac:dyDescent="0.25">
      <c r="A70" s="22">
        <v>46162</v>
      </c>
      <c r="B70" s="23" t="s">
        <v>95</v>
      </c>
      <c r="C70" s="23" t="s">
        <v>96</v>
      </c>
      <c r="D70" s="23" t="s">
        <v>97</v>
      </c>
      <c r="E70" s="24">
        <v>0.62</v>
      </c>
      <c r="F70" s="23" t="s">
        <v>56</v>
      </c>
      <c r="G70" s="25">
        <v>134.16</v>
      </c>
      <c r="H70" s="16">
        <v>118.9</v>
      </c>
      <c r="I70" s="16">
        <v>117.74</v>
      </c>
      <c r="J70" s="16">
        <v>117.18</v>
      </c>
      <c r="K70" s="26">
        <f t="shared" si="4"/>
        <v>-0.11374478234943344</v>
      </c>
      <c r="L70" s="26">
        <f t="shared" si="5"/>
        <v>-0.12239117471675613</v>
      </c>
      <c r="M70" s="26">
        <f t="shared" si="6"/>
        <v>-0.12656529516994625</v>
      </c>
      <c r="N70" s="27" t="str">
        <f t="shared" si="7"/>
        <v>NO</v>
      </c>
      <c r="O70" s="23"/>
    </row>
    <row r="71" spans="1:15" ht="15" customHeight="1" x14ac:dyDescent="0.25">
      <c r="A71" s="22">
        <v>46162</v>
      </c>
      <c r="B71" s="23" t="s">
        <v>109</v>
      </c>
      <c r="C71" s="23" t="s">
        <v>99</v>
      </c>
      <c r="D71" s="23" t="s">
        <v>97</v>
      </c>
      <c r="E71" s="24">
        <v>0.48</v>
      </c>
      <c r="F71" s="23" t="s">
        <v>55</v>
      </c>
      <c r="G71" s="25">
        <v>44.03</v>
      </c>
      <c r="H71" s="16">
        <v>44.63</v>
      </c>
      <c r="I71" s="16">
        <v>43.94</v>
      </c>
      <c r="J71" s="16">
        <v>44.76</v>
      </c>
      <c r="K71" s="26">
        <f t="shared" si="4"/>
        <v>1.3627072450601895E-2</v>
      </c>
      <c r="L71" s="26">
        <f t="shared" si="5"/>
        <v>-2.0440608675903566E-3</v>
      </c>
      <c r="M71" s="26">
        <f t="shared" si="6"/>
        <v>1.6579604814898861E-2</v>
      </c>
      <c r="N71" s="27" t="str">
        <f t="shared" si="7"/>
        <v>YES</v>
      </c>
      <c r="O71" s="23"/>
    </row>
    <row r="72" spans="1:15" ht="15" customHeight="1" x14ac:dyDescent="0.25">
      <c r="A72" s="22">
        <v>46162</v>
      </c>
      <c r="B72" s="23" t="s">
        <v>118</v>
      </c>
      <c r="C72" s="23" t="s">
        <v>119</v>
      </c>
      <c r="D72" s="23" t="s">
        <v>97</v>
      </c>
      <c r="E72" s="24">
        <v>0.42</v>
      </c>
      <c r="F72" s="23" t="s">
        <v>56</v>
      </c>
      <c r="G72" s="25">
        <v>733.01</v>
      </c>
      <c r="H72" s="16">
        <v>754.6</v>
      </c>
      <c r="I72" s="16">
        <v>757.09</v>
      </c>
      <c r="J72" s="16">
        <v>746.74</v>
      </c>
      <c r="K72" s="26">
        <f t="shared" si="4"/>
        <v>2.9453895581233586E-2</v>
      </c>
      <c r="L72" s="26">
        <f t="shared" si="5"/>
        <v>3.285084787383534E-2</v>
      </c>
      <c r="M72" s="26">
        <f t="shared" si="6"/>
        <v>1.8730985934707602E-2</v>
      </c>
      <c r="N72" s="27" t="str">
        <f t="shared" si="7"/>
        <v>YES</v>
      </c>
      <c r="O72" s="23"/>
    </row>
    <row r="73" spans="1:15" ht="15" customHeight="1" x14ac:dyDescent="0.25">
      <c r="A73" s="22">
        <v>46162</v>
      </c>
      <c r="B73" s="23" t="s">
        <v>120</v>
      </c>
      <c r="C73" s="23" t="s">
        <v>119</v>
      </c>
      <c r="D73" s="23" t="s">
        <v>97</v>
      </c>
      <c r="E73" s="24">
        <v>0.42</v>
      </c>
      <c r="F73" s="23" t="s">
        <v>56</v>
      </c>
      <c r="G73" s="25">
        <v>698.41</v>
      </c>
      <c r="H73" s="16">
        <v>735.6</v>
      </c>
      <c r="I73" s="16">
        <v>740.61</v>
      </c>
      <c r="J73" s="16">
        <v>740.62</v>
      </c>
      <c r="K73" s="26">
        <f t="shared" si="4"/>
        <v>5.3249523918615219E-2</v>
      </c>
      <c r="L73" s="26">
        <f t="shared" si="5"/>
        <v>6.0422960725075595E-2</v>
      </c>
      <c r="M73" s="26">
        <f t="shared" si="6"/>
        <v>6.0437278962214229E-2</v>
      </c>
      <c r="N73" s="27" t="str">
        <f t="shared" si="7"/>
        <v>NO</v>
      </c>
      <c r="O73" s="23"/>
    </row>
    <row r="74" spans="1:15" ht="15" customHeight="1" x14ac:dyDescent="0.25">
      <c r="A74" s="22">
        <v>46162</v>
      </c>
      <c r="B74" s="23" t="s">
        <v>121</v>
      </c>
      <c r="C74" s="23" t="s">
        <v>119</v>
      </c>
      <c r="D74" s="23" t="s">
        <v>97</v>
      </c>
      <c r="E74" s="24">
        <v>0.48</v>
      </c>
      <c r="F74" s="23" t="s">
        <v>56</v>
      </c>
      <c r="G74" s="25">
        <v>359.51</v>
      </c>
      <c r="H74" s="16">
        <v>371.66</v>
      </c>
      <c r="I74" s="16">
        <v>373.38</v>
      </c>
      <c r="J74" s="16">
        <v>369.99</v>
      </c>
      <c r="K74" s="26">
        <f t="shared" si="4"/>
        <v>3.3796000111262645E-2</v>
      </c>
      <c r="L74" s="26">
        <f t="shared" si="5"/>
        <v>3.8580289838947471E-2</v>
      </c>
      <c r="M74" s="26">
        <f t="shared" si="6"/>
        <v>2.915078857333598E-2</v>
      </c>
      <c r="N74" s="27" t="str">
        <f t="shared" si="7"/>
        <v>NO</v>
      </c>
      <c r="O74" s="23"/>
    </row>
    <row r="75" spans="1:15" ht="15" customHeight="1" x14ac:dyDescent="0.25">
      <c r="A75" s="22">
        <v>46162</v>
      </c>
      <c r="B75" s="23" t="s">
        <v>122</v>
      </c>
      <c r="C75" s="23" t="s">
        <v>119</v>
      </c>
      <c r="D75" s="23" t="s">
        <v>97</v>
      </c>
      <c r="E75" s="24">
        <v>0.57999999999999996</v>
      </c>
      <c r="F75" s="23" t="s">
        <v>55</v>
      </c>
      <c r="G75" s="25">
        <v>220.58</v>
      </c>
      <c r="H75" s="16">
        <v>214.25</v>
      </c>
      <c r="I75" s="16">
        <v>218.66</v>
      </c>
      <c r="J75" s="16">
        <v>210.15</v>
      </c>
      <c r="K75" s="26">
        <f t="shared" si="4"/>
        <v>-2.8697071357330729E-2</v>
      </c>
      <c r="L75" s="26">
        <f t="shared" si="5"/>
        <v>-8.7043249614652991E-3</v>
      </c>
      <c r="M75" s="26">
        <f t="shared" si="6"/>
        <v>-4.7284431952126241E-2</v>
      </c>
      <c r="N75" s="27" t="str">
        <f t="shared" si="7"/>
        <v>YES</v>
      </c>
      <c r="O75" s="23"/>
    </row>
    <row r="76" spans="1:15" ht="15" customHeight="1" x14ac:dyDescent="0.25">
      <c r="A76" s="22">
        <v>46162</v>
      </c>
      <c r="B76" s="23" t="s">
        <v>123</v>
      </c>
      <c r="C76" s="23" t="s">
        <v>119</v>
      </c>
      <c r="D76" s="23" t="s">
        <v>97</v>
      </c>
      <c r="E76" s="24">
        <v>0.42</v>
      </c>
      <c r="F76" s="23" t="s">
        <v>56</v>
      </c>
      <c r="G76" s="25">
        <v>412.56</v>
      </c>
      <c r="H76" s="16">
        <v>412.77</v>
      </c>
      <c r="I76" s="16">
        <v>411.27</v>
      </c>
      <c r="J76" s="16">
        <v>387.12</v>
      </c>
      <c r="K76" s="26">
        <f t="shared" si="4"/>
        <v>5.0901687027336514E-4</v>
      </c>
      <c r="L76" s="26">
        <f t="shared" si="5"/>
        <v>-3.1268179173938831E-3</v>
      </c>
      <c r="M76" s="26">
        <f t="shared" si="6"/>
        <v>-6.1663757998836527E-2</v>
      </c>
      <c r="N76" s="27" t="str">
        <f t="shared" si="7"/>
        <v>YES</v>
      </c>
      <c r="O76" s="23"/>
    </row>
    <row r="77" spans="1:15" ht="15" customHeight="1" x14ac:dyDescent="0.25">
      <c r="A77" s="22">
        <v>46163</v>
      </c>
      <c r="B77" s="13" t="s">
        <v>103</v>
      </c>
      <c r="C77" s="13" t="s">
        <v>99</v>
      </c>
      <c r="D77" s="13" t="s">
        <v>97</v>
      </c>
      <c r="E77" s="14">
        <v>0.55000000000000004</v>
      </c>
      <c r="F77" s="13" t="s">
        <v>55</v>
      </c>
      <c r="G77" s="15">
        <v>302.14999999999998</v>
      </c>
      <c r="H77" s="16">
        <v>312.06</v>
      </c>
      <c r="I77" s="16">
        <v>307.33999999999997</v>
      </c>
      <c r="J77" s="16">
        <v>297.01</v>
      </c>
      <c r="K77" s="26">
        <f t="shared" si="4"/>
        <v>3.2798279000496526E-2</v>
      </c>
      <c r="L77" s="26">
        <f t="shared" si="5"/>
        <v>1.7176898891279161E-2</v>
      </c>
      <c r="M77" s="26">
        <f t="shared" si="6"/>
        <v>-1.7011418169783177E-2</v>
      </c>
      <c r="N77" s="23" t="str">
        <f t="shared" si="7"/>
        <v>NO</v>
      </c>
    </row>
    <row r="78" spans="1:15" ht="15" customHeight="1" x14ac:dyDescent="0.25">
      <c r="A78" s="12">
        <v>46163</v>
      </c>
      <c r="B78" s="13" t="s">
        <v>112</v>
      </c>
      <c r="C78" s="13" t="s">
        <v>113</v>
      </c>
      <c r="D78" s="13" t="s">
        <v>97</v>
      </c>
      <c r="E78" s="14">
        <v>0.52</v>
      </c>
      <c r="F78" s="13" t="s">
        <v>56</v>
      </c>
      <c r="G78" s="15">
        <v>19.57</v>
      </c>
      <c r="H78" s="16">
        <v>21.08</v>
      </c>
      <c r="I78" s="16">
        <v>16.989999999999998</v>
      </c>
      <c r="J78" s="16">
        <v>17.72</v>
      </c>
      <c r="K78" s="26">
        <f t="shared" si="4"/>
        <v>7.7158916709248751E-2</v>
      </c>
      <c r="L78" s="26">
        <f t="shared" si="5"/>
        <v>-0.13183444047010739</v>
      </c>
      <c r="M78" s="26">
        <f t="shared" si="6"/>
        <v>-9.4532447623914231E-2</v>
      </c>
      <c r="N78" s="27" t="str">
        <f t="shared" si="7"/>
        <v>NO</v>
      </c>
    </row>
    <row r="79" spans="1:15" ht="15" customHeight="1" x14ac:dyDescent="0.25">
      <c r="A79" s="12">
        <v>46163</v>
      </c>
      <c r="B79" s="13" t="s">
        <v>105</v>
      </c>
      <c r="C79" s="13" t="s">
        <v>96</v>
      </c>
      <c r="D79" s="13" t="s">
        <v>97</v>
      </c>
      <c r="E79" s="14">
        <v>0.55000000000000004</v>
      </c>
      <c r="F79" s="13" t="s">
        <v>55</v>
      </c>
      <c r="G79" s="15">
        <v>61.75</v>
      </c>
      <c r="H79" s="16">
        <v>67.319999999999993</v>
      </c>
      <c r="I79" s="16">
        <v>62.52</v>
      </c>
      <c r="J79" s="16">
        <v>67.09</v>
      </c>
      <c r="K79" s="26">
        <f t="shared" si="4"/>
        <v>9.0202429149797467E-2</v>
      </c>
      <c r="L79" s="26">
        <f t="shared" si="5"/>
        <v>1.2469635627530415E-2</v>
      </c>
      <c r="M79" s="26">
        <f t="shared" si="6"/>
        <v>8.6477732793522319E-2</v>
      </c>
      <c r="N79" s="27" t="str">
        <f t="shared" si="7"/>
        <v>NO</v>
      </c>
    </row>
    <row r="80" spans="1:15" ht="15" customHeight="1" x14ac:dyDescent="0.25">
      <c r="A80" s="12">
        <v>46163</v>
      </c>
      <c r="B80" s="13" t="s">
        <v>114</v>
      </c>
      <c r="C80" s="13" t="s">
        <v>113</v>
      </c>
      <c r="D80" s="13" t="s">
        <v>97</v>
      </c>
      <c r="E80" s="14">
        <v>0.42</v>
      </c>
      <c r="F80" s="13" t="s">
        <v>56</v>
      </c>
      <c r="G80" s="15">
        <v>286.92500000000001</v>
      </c>
      <c r="H80" s="16">
        <v>236.99</v>
      </c>
      <c r="I80" s="16">
        <v>201.01</v>
      </c>
      <c r="J80" s="16">
        <v>224.43</v>
      </c>
      <c r="K80" s="26">
        <f t="shared" si="4"/>
        <v>-0.1740350265748889</v>
      </c>
      <c r="L80" s="26">
        <f t="shared" si="5"/>
        <v>-0.29943364990851273</v>
      </c>
      <c r="M80" s="26">
        <f t="shared" si="6"/>
        <v>-0.21780953210769366</v>
      </c>
      <c r="N80" s="27" t="str">
        <f t="shared" si="7"/>
        <v>NO</v>
      </c>
    </row>
    <row r="81" spans="1:14" ht="15" customHeight="1" x14ac:dyDescent="0.25">
      <c r="A81" s="12">
        <v>46163</v>
      </c>
      <c r="B81" s="13" t="s">
        <v>116</v>
      </c>
      <c r="C81" s="13" t="s">
        <v>113</v>
      </c>
      <c r="D81" s="13" t="s">
        <v>97</v>
      </c>
      <c r="E81" s="14">
        <v>0.42</v>
      </c>
      <c r="F81" s="13" t="s">
        <v>57</v>
      </c>
      <c r="G81" s="15">
        <v>18.440000000000001</v>
      </c>
      <c r="H81" s="16">
        <v>17.93</v>
      </c>
      <c r="I81" s="16">
        <v>17.059999999999999</v>
      </c>
      <c r="J81" s="16">
        <v>16.77</v>
      </c>
      <c r="K81" s="26">
        <f t="shared" si="4"/>
        <v>-2.7657266811279908E-2</v>
      </c>
      <c r="L81" s="26">
        <f t="shared" si="5"/>
        <v>-7.4837310195227894E-2</v>
      </c>
      <c r="M81" s="26">
        <f t="shared" si="6"/>
        <v>-9.0563991323210496E-2</v>
      </c>
      <c r="N81" s="27" t="str">
        <f t="shared" si="7"/>
        <v>YES</v>
      </c>
    </row>
    <row r="82" spans="1:14" ht="15" customHeight="1" x14ac:dyDescent="0.25">
      <c r="A82" s="12">
        <v>46163</v>
      </c>
      <c r="B82" s="13" t="s">
        <v>104</v>
      </c>
      <c r="C82" s="13" t="s">
        <v>96</v>
      </c>
      <c r="D82" s="13" t="s">
        <v>97</v>
      </c>
      <c r="E82" s="14">
        <v>0.45</v>
      </c>
      <c r="F82" s="13" t="s">
        <v>56</v>
      </c>
      <c r="G82" s="15">
        <v>36.22</v>
      </c>
      <c r="H82" s="16">
        <v>33.75</v>
      </c>
      <c r="I82" s="16">
        <v>33.97</v>
      </c>
      <c r="J82" s="16">
        <v>30.79</v>
      </c>
      <c r="K82" s="26">
        <f t="shared" si="4"/>
        <v>-6.8194367752622831E-2</v>
      </c>
      <c r="L82" s="26">
        <f t="shared" si="5"/>
        <v>-6.2120375483158477E-2</v>
      </c>
      <c r="M82" s="26">
        <f t="shared" si="6"/>
        <v>-0.14991717283268913</v>
      </c>
      <c r="N82" s="27" t="str">
        <f t="shared" si="7"/>
        <v>NO</v>
      </c>
    </row>
    <row r="83" spans="1:14" ht="15" customHeight="1" x14ac:dyDescent="0.25">
      <c r="A83" s="12">
        <v>46163</v>
      </c>
      <c r="B83" s="13" t="s">
        <v>111</v>
      </c>
      <c r="C83" s="13" t="s">
        <v>113</v>
      </c>
      <c r="D83" s="13" t="s">
        <v>97</v>
      </c>
      <c r="E83" s="14">
        <v>0.55000000000000004</v>
      </c>
      <c r="F83" s="13" t="s">
        <v>56</v>
      </c>
      <c r="G83" s="15">
        <v>72.680000000000007</v>
      </c>
      <c r="H83" s="16">
        <v>68.42</v>
      </c>
      <c r="I83" s="16">
        <v>66.819999999999993</v>
      </c>
      <c r="J83" s="16">
        <v>67.39</v>
      </c>
      <c r="K83" s="26">
        <f t="shared" si="4"/>
        <v>-5.8613098514034186E-2</v>
      </c>
      <c r="L83" s="26">
        <f t="shared" si="5"/>
        <v>-8.0627407815079988E-2</v>
      </c>
      <c r="M83" s="26">
        <f t="shared" si="6"/>
        <v>-7.2784810126582361E-2</v>
      </c>
      <c r="N83" s="27" t="str">
        <f t="shared" si="7"/>
        <v>NO</v>
      </c>
    </row>
    <row r="84" spans="1:14" ht="15" customHeight="1" x14ac:dyDescent="0.25">
      <c r="A84" s="12">
        <v>46163</v>
      </c>
      <c r="B84" s="13" t="s">
        <v>107</v>
      </c>
      <c r="C84" s="13" t="s">
        <v>96</v>
      </c>
      <c r="D84" s="13" t="s">
        <v>97</v>
      </c>
      <c r="E84" s="14">
        <v>0.52</v>
      </c>
      <c r="F84" s="13" t="s">
        <v>56</v>
      </c>
      <c r="G84" s="15">
        <v>76.2</v>
      </c>
      <c r="H84" s="16">
        <v>83.24</v>
      </c>
      <c r="I84" s="16">
        <v>82.11</v>
      </c>
      <c r="J84" s="16">
        <v>80.430000000000007</v>
      </c>
      <c r="K84" s="26">
        <f t="shared" si="4"/>
        <v>9.2388451443569442E-2</v>
      </c>
      <c r="L84" s="26">
        <f t="shared" si="5"/>
        <v>7.755905511811019E-2</v>
      </c>
      <c r="M84" s="26">
        <f t="shared" si="6"/>
        <v>5.5511811023622099E-2</v>
      </c>
      <c r="N84" s="27" t="str">
        <f t="shared" si="7"/>
        <v>NO</v>
      </c>
    </row>
    <row r="85" spans="1:14" ht="15" customHeight="1" x14ac:dyDescent="0.25">
      <c r="A85" s="12">
        <v>46163</v>
      </c>
      <c r="B85" s="13" t="s">
        <v>106</v>
      </c>
      <c r="C85" s="13" t="s">
        <v>99</v>
      </c>
      <c r="D85" s="13" t="s">
        <v>97</v>
      </c>
      <c r="E85" s="14">
        <v>0.55000000000000004</v>
      </c>
      <c r="F85" s="13" t="s">
        <v>55</v>
      </c>
      <c r="G85" s="15">
        <v>302.77249999999998</v>
      </c>
      <c r="H85" s="16">
        <v>299.31</v>
      </c>
      <c r="I85" s="16">
        <v>312.37</v>
      </c>
      <c r="J85" s="16">
        <v>331.48</v>
      </c>
      <c r="K85" s="26">
        <f t="shared" si="4"/>
        <v>-1.1435979159269674E-2</v>
      </c>
      <c r="L85" s="26">
        <f t="shared" si="5"/>
        <v>3.1698717684069809E-2</v>
      </c>
      <c r="M85" s="26">
        <f t="shared" si="6"/>
        <v>9.4815414213642396E-2</v>
      </c>
      <c r="N85" s="27" t="str">
        <f t="shared" si="7"/>
        <v>YES</v>
      </c>
    </row>
    <row r="86" spans="1:14" ht="15" customHeight="1" x14ac:dyDescent="0.25">
      <c r="A86" s="12">
        <v>46163</v>
      </c>
      <c r="B86" s="13" t="s">
        <v>100</v>
      </c>
      <c r="C86" s="13" t="s">
        <v>96</v>
      </c>
      <c r="D86" s="13" t="s">
        <v>97</v>
      </c>
      <c r="E86" s="14">
        <v>0.55000000000000004</v>
      </c>
      <c r="F86" s="13" t="s">
        <v>55</v>
      </c>
      <c r="G86" s="15">
        <v>416.745</v>
      </c>
      <c r="H86" s="16">
        <v>450.24</v>
      </c>
      <c r="I86" s="16">
        <v>416.67</v>
      </c>
      <c r="J86" s="16">
        <v>367.34</v>
      </c>
      <c r="K86" s="26">
        <f t="shared" si="4"/>
        <v>8.0372889896699426E-2</v>
      </c>
      <c r="L86" s="26">
        <f t="shared" si="5"/>
        <v>-1.7996616636069691E-4</v>
      </c>
      <c r="M86" s="26">
        <f t="shared" si="6"/>
        <v>-0.11854971265402112</v>
      </c>
      <c r="N86" s="27" t="str">
        <f t="shared" si="7"/>
        <v>NO</v>
      </c>
    </row>
    <row r="87" spans="1:14" ht="15" customHeight="1" x14ac:dyDescent="0.25">
      <c r="A87" s="12">
        <v>46163</v>
      </c>
      <c r="B87" s="13" t="s">
        <v>101</v>
      </c>
      <c r="C87" s="13" t="s">
        <v>99</v>
      </c>
      <c r="D87" s="13" t="s">
        <v>97</v>
      </c>
      <c r="E87" s="14">
        <v>0.45</v>
      </c>
      <c r="F87" s="13" t="s">
        <v>56</v>
      </c>
      <c r="G87" s="15">
        <v>43.854999999999997</v>
      </c>
      <c r="H87" s="16">
        <v>46.23</v>
      </c>
      <c r="I87" s="16">
        <v>42.98</v>
      </c>
      <c r="J87" s="16">
        <v>43.19</v>
      </c>
      <c r="K87" s="26">
        <f t="shared" si="4"/>
        <v>5.4155740508493908E-2</v>
      </c>
      <c r="L87" s="26">
        <f t="shared" si="5"/>
        <v>-1.9952114924181964E-2</v>
      </c>
      <c r="M87" s="26">
        <f t="shared" si="6"/>
        <v>-1.5163607342378274E-2</v>
      </c>
      <c r="N87" s="27" t="str">
        <f t="shared" si="7"/>
        <v>NO</v>
      </c>
    </row>
    <row r="88" spans="1:14" ht="15" customHeight="1" x14ac:dyDescent="0.25">
      <c r="A88" s="12">
        <v>46163</v>
      </c>
      <c r="B88" s="13" t="s">
        <v>98</v>
      </c>
      <c r="C88" s="13" t="s">
        <v>96</v>
      </c>
      <c r="D88" s="13" t="s">
        <v>97</v>
      </c>
      <c r="E88" s="14">
        <v>0.52</v>
      </c>
      <c r="F88" s="13" t="s">
        <v>56</v>
      </c>
      <c r="G88" s="15">
        <v>70.314999999999998</v>
      </c>
      <c r="H88" s="16">
        <v>68.55</v>
      </c>
      <c r="I88" s="16">
        <v>67.2</v>
      </c>
      <c r="J88" s="16">
        <v>62.25</v>
      </c>
      <c r="K88" s="26">
        <f t="shared" si="4"/>
        <v>-2.510132973049848E-2</v>
      </c>
      <c r="L88" s="26">
        <f t="shared" si="5"/>
        <v>-4.4300647088103461E-2</v>
      </c>
      <c r="M88" s="26">
        <f t="shared" si="6"/>
        <v>-0.11469814406598873</v>
      </c>
      <c r="N88" s="27" t="str">
        <f t="shared" si="7"/>
        <v>YES</v>
      </c>
    </row>
    <row r="89" spans="1:14" ht="15" customHeight="1" x14ac:dyDescent="0.25">
      <c r="A89" s="12">
        <v>46163</v>
      </c>
      <c r="B89" s="13" t="s">
        <v>110</v>
      </c>
      <c r="C89" s="13" t="s">
        <v>99</v>
      </c>
      <c r="D89" s="13" t="s">
        <v>97</v>
      </c>
      <c r="E89" s="14">
        <v>0.62</v>
      </c>
      <c r="F89" s="13" t="s">
        <v>55</v>
      </c>
      <c r="G89" s="15">
        <v>189.68989999999999</v>
      </c>
      <c r="H89" s="16">
        <v>177.38</v>
      </c>
      <c r="I89" s="16">
        <v>178.29</v>
      </c>
      <c r="J89" s="16">
        <v>173.17</v>
      </c>
      <c r="K89" s="26">
        <f t="shared" si="4"/>
        <v>-6.4894862615247309E-2</v>
      </c>
      <c r="L89" s="26">
        <f t="shared" si="5"/>
        <v>-6.0097559226927749E-2</v>
      </c>
      <c r="M89" s="26">
        <f t="shared" si="6"/>
        <v>-8.7088980488681828E-2</v>
      </c>
      <c r="N89" s="27" t="str">
        <f t="shared" si="7"/>
        <v>NO</v>
      </c>
    </row>
    <row r="90" spans="1:14" ht="15" customHeight="1" x14ac:dyDescent="0.25">
      <c r="A90" s="12">
        <v>46163</v>
      </c>
      <c r="B90" s="13" t="s">
        <v>108</v>
      </c>
      <c r="C90" s="13" t="s">
        <v>99</v>
      </c>
      <c r="D90" s="13" t="s">
        <v>97</v>
      </c>
      <c r="E90" s="14">
        <v>0.62</v>
      </c>
      <c r="F90" s="13" t="s">
        <v>55</v>
      </c>
      <c r="G90" s="15">
        <v>708.9425</v>
      </c>
      <c r="H90" s="16">
        <v>711.73</v>
      </c>
      <c r="I90" s="16">
        <v>695.11</v>
      </c>
      <c r="J90" s="16">
        <v>740.14</v>
      </c>
      <c r="K90" s="26">
        <f t="shared" si="4"/>
        <v>3.9319126727485271E-3</v>
      </c>
      <c r="L90" s="26">
        <f t="shared" si="5"/>
        <v>-1.9511455442437126E-2</v>
      </c>
      <c r="M90" s="26">
        <f t="shared" si="6"/>
        <v>4.4005684523074851E-2</v>
      </c>
      <c r="N90" s="27" t="str">
        <f t="shared" si="7"/>
        <v>YES</v>
      </c>
    </row>
    <row r="91" spans="1:14" ht="15" customHeight="1" x14ac:dyDescent="0.25">
      <c r="A91" s="12">
        <v>46163</v>
      </c>
      <c r="B91" s="13" t="s">
        <v>115</v>
      </c>
      <c r="C91" s="13" t="s">
        <v>113</v>
      </c>
      <c r="D91" s="13" t="s">
        <v>97</v>
      </c>
      <c r="E91" s="14">
        <v>0.45</v>
      </c>
      <c r="F91" s="13" t="s">
        <v>56</v>
      </c>
      <c r="G91" s="15">
        <v>175.2</v>
      </c>
      <c r="H91" s="16">
        <v>179.66</v>
      </c>
      <c r="I91" s="16">
        <v>180.99</v>
      </c>
      <c r="J91" s="16">
        <v>181.83</v>
      </c>
      <c r="K91" s="26">
        <f t="shared" si="4"/>
        <v>2.5456621004566256E-2</v>
      </c>
      <c r="L91" s="26">
        <f t="shared" si="5"/>
        <v>3.3047945205479573E-2</v>
      </c>
      <c r="M91" s="26">
        <f t="shared" si="6"/>
        <v>3.7842465753424794E-2</v>
      </c>
      <c r="N91" s="27" t="str">
        <f t="shared" si="7"/>
        <v>YES</v>
      </c>
    </row>
    <row r="92" spans="1:14" ht="15" customHeight="1" x14ac:dyDescent="0.25">
      <c r="A92" s="12">
        <v>46163</v>
      </c>
      <c r="B92" s="13" t="s">
        <v>102</v>
      </c>
      <c r="C92" s="13" t="s">
        <v>99</v>
      </c>
      <c r="D92" s="13" t="s">
        <v>124</v>
      </c>
      <c r="E92" s="14">
        <v>0.68</v>
      </c>
      <c r="F92" s="13" t="s">
        <v>55</v>
      </c>
      <c r="G92" s="15">
        <v>32.109000000000002</v>
      </c>
      <c r="H92" s="16">
        <v>32.5</v>
      </c>
      <c r="I92" s="16">
        <v>32.299999999999997</v>
      </c>
      <c r="J92" s="16">
        <v>31.89</v>
      </c>
      <c r="K92" s="26">
        <f t="shared" si="4"/>
        <v>1.2177271170076869E-2</v>
      </c>
      <c r="L92" s="26">
        <f t="shared" si="5"/>
        <v>5.9484879628763088E-3</v>
      </c>
      <c r="M92" s="26">
        <f t="shared" si="6"/>
        <v>-6.8205176118845551E-3</v>
      </c>
      <c r="N92" s="27" t="str">
        <f t="shared" si="7"/>
        <v>YES</v>
      </c>
    </row>
    <row r="93" spans="1:14" ht="15" customHeight="1" x14ac:dyDescent="0.25">
      <c r="A93" s="12">
        <v>46163</v>
      </c>
      <c r="B93" s="13" t="s">
        <v>117</v>
      </c>
      <c r="C93" s="13" t="s">
        <v>113</v>
      </c>
      <c r="D93" s="13" t="s">
        <v>97</v>
      </c>
      <c r="E93" s="14">
        <v>0.42</v>
      </c>
      <c r="F93" s="13" t="s">
        <v>56</v>
      </c>
      <c r="G93" s="15">
        <v>4.8650000000000002</v>
      </c>
      <c r="H93" s="16">
        <v>4.29</v>
      </c>
      <c r="I93" s="16">
        <v>5.45</v>
      </c>
      <c r="J93" s="16">
        <v>4.6500000000000004</v>
      </c>
      <c r="K93" s="26">
        <f t="shared" si="4"/>
        <v>-0.11819116135662901</v>
      </c>
      <c r="L93" s="26">
        <f t="shared" si="5"/>
        <v>0.12024665981500512</v>
      </c>
      <c r="M93" s="26">
        <f t="shared" si="6"/>
        <v>-4.4193216855087328E-2</v>
      </c>
      <c r="N93" s="27" t="str">
        <f t="shared" si="7"/>
        <v>NO</v>
      </c>
    </row>
    <row r="94" spans="1:14" ht="15" customHeight="1" x14ac:dyDescent="0.25">
      <c r="A94" s="12">
        <v>46163</v>
      </c>
      <c r="B94" s="13" t="s">
        <v>95</v>
      </c>
      <c r="C94" s="13" t="s">
        <v>96</v>
      </c>
      <c r="D94" s="13" t="s">
        <v>97</v>
      </c>
      <c r="E94" s="14">
        <v>0.48</v>
      </c>
      <c r="F94" s="13" t="s">
        <v>55</v>
      </c>
      <c r="G94" s="15">
        <v>121.97499999999999</v>
      </c>
      <c r="H94" s="16">
        <v>115.75</v>
      </c>
      <c r="I94" s="16">
        <v>118.88</v>
      </c>
      <c r="J94" s="16">
        <v>117.18</v>
      </c>
      <c r="K94" s="26">
        <f t="shared" si="4"/>
        <v>-5.1035048165607659E-2</v>
      </c>
      <c r="L94" s="26">
        <f t="shared" si="5"/>
        <v>-2.5374052059848322E-2</v>
      </c>
      <c r="M94" s="26">
        <f t="shared" si="6"/>
        <v>-3.9311334289813385E-2</v>
      </c>
      <c r="N94" s="27" t="str">
        <f t="shared" si="7"/>
        <v>NO</v>
      </c>
    </row>
    <row r="95" spans="1:14" ht="15" customHeight="1" x14ac:dyDescent="0.25">
      <c r="A95" s="12">
        <v>46163</v>
      </c>
      <c r="B95" s="13" t="s">
        <v>109</v>
      </c>
      <c r="C95" s="13" t="s">
        <v>99</v>
      </c>
      <c r="D95" s="13" t="s">
        <v>97</v>
      </c>
      <c r="E95" s="14">
        <v>0.52</v>
      </c>
      <c r="F95" s="13" t="s">
        <v>56</v>
      </c>
      <c r="G95" s="15">
        <v>44.875</v>
      </c>
      <c r="H95" s="16">
        <v>44.42</v>
      </c>
      <c r="I95" s="16">
        <v>44.35</v>
      </c>
      <c r="J95" s="16">
        <v>44.72</v>
      </c>
      <c r="K95" s="26">
        <f t="shared" si="4"/>
        <v>-1.0139275766016675E-2</v>
      </c>
      <c r="L95" s="26">
        <f t="shared" si="5"/>
        <v>-1.1699164345403868E-2</v>
      </c>
      <c r="M95" s="26">
        <f t="shared" si="6"/>
        <v>-3.4540389972145102E-3</v>
      </c>
      <c r="N95" s="27" t="str">
        <f t="shared" si="7"/>
        <v>YES</v>
      </c>
    </row>
    <row r="96" spans="1:14" ht="15" customHeight="1" x14ac:dyDescent="0.25">
      <c r="A96" s="12">
        <v>46163</v>
      </c>
      <c r="B96" s="13" t="s">
        <v>118</v>
      </c>
      <c r="C96" s="13" t="s">
        <v>119</v>
      </c>
      <c r="D96" s="13" t="s">
        <v>97</v>
      </c>
      <c r="E96" s="14">
        <v>0.52</v>
      </c>
      <c r="F96" s="13" t="s">
        <v>55</v>
      </c>
      <c r="G96" s="15">
        <v>738.82</v>
      </c>
      <c r="H96" s="16">
        <v>756.48</v>
      </c>
      <c r="I96" s="16">
        <v>737.55</v>
      </c>
      <c r="J96" s="16">
        <v>744.39</v>
      </c>
      <c r="K96" s="26">
        <f t="shared" si="4"/>
        <v>2.3902980428250408E-2</v>
      </c>
      <c r="L96" s="26">
        <f t="shared" si="5"/>
        <v>-1.7189572561653655E-3</v>
      </c>
      <c r="M96" s="26">
        <f t="shared" si="6"/>
        <v>7.539048753417525E-3</v>
      </c>
      <c r="N96" s="27" t="str">
        <f t="shared" si="7"/>
        <v>YES</v>
      </c>
    </row>
    <row r="97" spans="1:14" ht="15" customHeight="1" x14ac:dyDescent="0.25">
      <c r="A97" s="12">
        <v>46163</v>
      </c>
      <c r="B97" s="13" t="s">
        <v>120</v>
      </c>
      <c r="C97" s="13" t="s">
        <v>119</v>
      </c>
      <c r="D97" s="13" t="s">
        <v>97</v>
      </c>
      <c r="E97" s="14">
        <v>0.48</v>
      </c>
      <c r="F97" s="13" t="s">
        <v>56</v>
      </c>
      <c r="G97" s="15">
        <v>709.03989999999999</v>
      </c>
      <c r="H97" s="16">
        <v>738.31</v>
      </c>
      <c r="I97" s="16">
        <v>705.06</v>
      </c>
      <c r="J97" s="16">
        <v>737.95</v>
      </c>
      <c r="K97" s="26">
        <f t="shared" si="4"/>
        <v>4.1281315762342792E-2</v>
      </c>
      <c r="L97" s="26">
        <f t="shared" si="5"/>
        <v>-5.6130832693619126E-3</v>
      </c>
      <c r="M97" s="26">
        <f t="shared" si="6"/>
        <v>4.0773586930721466E-2</v>
      </c>
      <c r="N97" s="27" t="str">
        <f t="shared" si="7"/>
        <v>NO</v>
      </c>
    </row>
    <row r="98" spans="1:14" ht="15" customHeight="1" x14ac:dyDescent="0.25">
      <c r="A98" s="12">
        <v>46163</v>
      </c>
      <c r="B98" s="13" t="s">
        <v>121</v>
      </c>
      <c r="C98" s="13" t="s">
        <v>119</v>
      </c>
      <c r="D98" s="13" t="s">
        <v>97</v>
      </c>
      <c r="E98" s="14">
        <v>0.52</v>
      </c>
      <c r="F98" s="13" t="s">
        <v>56</v>
      </c>
      <c r="G98" s="15">
        <v>363.07499999999999</v>
      </c>
      <c r="H98" s="16">
        <v>372.54</v>
      </c>
      <c r="I98" s="16">
        <v>363.38</v>
      </c>
      <c r="J98" s="16">
        <v>368.81</v>
      </c>
      <c r="K98" s="26">
        <f t="shared" si="4"/>
        <v>2.6068994009502258E-2</v>
      </c>
      <c r="L98" s="26">
        <f t="shared" si="5"/>
        <v>8.4004682228191649E-4</v>
      </c>
      <c r="M98" s="26">
        <f t="shared" si="6"/>
        <v>1.5795634510776049E-2</v>
      </c>
      <c r="N98" s="27" t="str">
        <f t="shared" si="7"/>
        <v>YES</v>
      </c>
    </row>
    <row r="99" spans="1:14" ht="15" customHeight="1" x14ac:dyDescent="0.25">
      <c r="A99" s="12">
        <v>46163</v>
      </c>
      <c r="B99" s="13" t="s">
        <v>122</v>
      </c>
      <c r="C99" s="13" t="s">
        <v>119</v>
      </c>
      <c r="D99" s="13" t="s">
        <v>97</v>
      </c>
      <c r="E99" s="14">
        <v>0.52</v>
      </c>
      <c r="F99" s="13" t="s">
        <v>55</v>
      </c>
      <c r="G99" s="15">
        <v>219.035</v>
      </c>
      <c r="H99" s="16">
        <v>211.14</v>
      </c>
      <c r="I99" s="16">
        <v>205.1</v>
      </c>
      <c r="J99" s="16">
        <v>208.65</v>
      </c>
      <c r="K99" s="26">
        <f t="shared" si="4"/>
        <v>-3.6044467779122104E-2</v>
      </c>
      <c r="L99" s="26">
        <f t="shared" si="5"/>
        <v>-6.3619969411281313E-2</v>
      </c>
      <c r="M99" s="26">
        <f t="shared" si="6"/>
        <v>-4.7412513981783692E-2</v>
      </c>
      <c r="N99" s="27" t="str">
        <f t="shared" si="7"/>
        <v>NO</v>
      </c>
    </row>
    <row r="100" spans="1:14" ht="15" customHeight="1" x14ac:dyDescent="0.25">
      <c r="A100" s="12">
        <v>46163</v>
      </c>
      <c r="B100" s="13" t="s">
        <v>123</v>
      </c>
      <c r="C100" s="13" t="s">
        <v>119</v>
      </c>
      <c r="D100" s="13" t="s">
        <v>97</v>
      </c>
      <c r="E100" s="14">
        <v>0.48</v>
      </c>
      <c r="F100" s="13" t="s">
        <v>56</v>
      </c>
      <c r="G100" s="15">
        <v>413.84070000000003</v>
      </c>
      <c r="H100" s="16">
        <v>417.12</v>
      </c>
      <c r="I100" s="16">
        <v>396.24</v>
      </c>
      <c r="J100" s="16">
        <v>384.59</v>
      </c>
      <c r="K100" s="26">
        <f t="shared" si="4"/>
        <v>7.9240635345918797E-3</v>
      </c>
      <c r="L100" s="26">
        <f t="shared" si="5"/>
        <v>-4.2530132971454998E-2</v>
      </c>
      <c r="M100" s="26">
        <f t="shared" si="6"/>
        <v>-7.0681061577558824E-2</v>
      </c>
      <c r="N100" s="27" t="str">
        <f t="shared" si="7"/>
        <v>YES</v>
      </c>
    </row>
    <row r="101" spans="1:14" ht="15" customHeight="1" x14ac:dyDescent="0.25">
      <c r="A101" s="12">
        <v>46164</v>
      </c>
      <c r="B101" s="13" t="s">
        <v>103</v>
      </c>
      <c r="C101" s="13" t="s">
        <v>99</v>
      </c>
      <c r="D101" s="13" t="s">
        <v>97</v>
      </c>
      <c r="E101" s="14">
        <v>0.55000000000000004</v>
      </c>
      <c r="F101" s="13" t="s">
        <v>56</v>
      </c>
      <c r="G101" s="15">
        <v>309.24</v>
      </c>
      <c r="H101" s="16">
        <v>306.31</v>
      </c>
      <c r="I101" s="16">
        <v>301.54000000000002</v>
      </c>
      <c r="J101" s="16">
        <v>294.3</v>
      </c>
      <c r="K101" s="26">
        <f t="shared" si="4"/>
        <v>-9.4748415470185185E-3</v>
      </c>
      <c r="L101" s="26">
        <f t="shared" si="5"/>
        <v>-2.4899754236191916E-2</v>
      </c>
      <c r="M101" s="26">
        <f t="shared" si="6"/>
        <v>-4.8311990686845163E-2</v>
      </c>
      <c r="N101" s="27" t="str">
        <f t="shared" si="7"/>
        <v>YES</v>
      </c>
    </row>
    <row r="102" spans="1:14" ht="15" customHeight="1" x14ac:dyDescent="0.25">
      <c r="A102" s="12">
        <v>46164</v>
      </c>
      <c r="B102" s="13" t="s">
        <v>112</v>
      </c>
      <c r="C102" s="13" t="s">
        <v>113</v>
      </c>
      <c r="D102" s="13" t="s">
        <v>97</v>
      </c>
      <c r="E102" s="14">
        <v>0.48</v>
      </c>
      <c r="F102" s="13" t="s">
        <v>56</v>
      </c>
      <c r="G102" s="15">
        <v>19.204999999999998</v>
      </c>
      <c r="H102" s="16">
        <v>20.83</v>
      </c>
      <c r="I102" s="16">
        <v>17.170000000000002</v>
      </c>
      <c r="J102" s="16">
        <v>16.5</v>
      </c>
      <c r="K102" s="26">
        <f t="shared" si="4"/>
        <v>8.4613381931788606E-2</v>
      </c>
      <c r="L102" s="26">
        <f t="shared" si="5"/>
        <v>-0.1059619890653474</v>
      </c>
      <c r="M102" s="26">
        <f t="shared" si="6"/>
        <v>-0.14084873730799263</v>
      </c>
      <c r="N102" s="27" t="str">
        <f t="shared" si="7"/>
        <v>NO</v>
      </c>
    </row>
    <row r="103" spans="1:14" ht="15" customHeight="1" x14ac:dyDescent="0.25">
      <c r="A103" s="12">
        <v>46164</v>
      </c>
      <c r="B103" s="13" t="s">
        <v>105</v>
      </c>
      <c r="C103" s="13" t="s">
        <v>96</v>
      </c>
      <c r="D103" s="13" t="s">
        <v>97</v>
      </c>
      <c r="E103" s="14">
        <v>0.57999999999999996</v>
      </c>
      <c r="F103" s="13" t="s">
        <v>56</v>
      </c>
      <c r="G103" s="15">
        <v>62.96</v>
      </c>
      <c r="H103" s="16">
        <v>69.44</v>
      </c>
      <c r="I103" s="16">
        <v>64.44</v>
      </c>
      <c r="J103" s="16">
        <v>63.35</v>
      </c>
      <c r="K103" s="26">
        <f t="shared" si="4"/>
        <v>0.10292249047013972</v>
      </c>
      <c r="L103" s="26">
        <f t="shared" si="5"/>
        <v>2.3506988564167674E-2</v>
      </c>
      <c r="M103" s="26">
        <f t="shared" si="6"/>
        <v>6.1944091486658285E-3</v>
      </c>
      <c r="N103" s="27" t="str">
        <f t="shared" si="7"/>
        <v>NO</v>
      </c>
    </row>
    <row r="104" spans="1:14" ht="15" customHeight="1" x14ac:dyDescent="0.25">
      <c r="A104" s="12">
        <v>46164</v>
      </c>
      <c r="B104" s="13" t="s">
        <v>114</v>
      </c>
      <c r="C104" s="13" t="s">
        <v>113</v>
      </c>
      <c r="D104" s="13" t="s">
        <v>97</v>
      </c>
      <c r="E104" s="14">
        <v>0.42</v>
      </c>
      <c r="F104" s="13" t="s">
        <v>57</v>
      </c>
      <c r="G104" s="15">
        <v>259.06</v>
      </c>
      <c r="H104" s="16">
        <v>213.28</v>
      </c>
      <c r="I104" s="16">
        <v>237.83</v>
      </c>
      <c r="J104" s="16">
        <v>226.72</v>
      </c>
      <c r="K104" s="26">
        <f t="shared" si="4"/>
        <v>-0.17671581872925191</v>
      </c>
      <c r="L104" s="26">
        <f t="shared" si="5"/>
        <v>-8.1950127383617649E-2</v>
      </c>
      <c r="M104" s="26">
        <f t="shared" si="6"/>
        <v>-0.12483594534084769</v>
      </c>
      <c r="N104" s="27" t="str">
        <f t="shared" si="7"/>
        <v>NO</v>
      </c>
    </row>
    <row r="105" spans="1:14" ht="15" customHeight="1" x14ac:dyDescent="0.25">
      <c r="A105" s="12">
        <v>46164</v>
      </c>
      <c r="B105" s="13" t="s">
        <v>116</v>
      </c>
      <c r="C105" s="13" t="s">
        <v>113</v>
      </c>
      <c r="D105" s="13" t="s">
        <v>97</v>
      </c>
      <c r="E105" s="14">
        <v>0.45</v>
      </c>
      <c r="F105" s="13" t="s">
        <v>56</v>
      </c>
      <c r="G105" s="15">
        <v>18.45</v>
      </c>
      <c r="H105" s="16">
        <v>17.899999999999999</v>
      </c>
      <c r="I105" s="16">
        <v>17.02</v>
      </c>
      <c r="J105" s="16">
        <v>16.739999999999998</v>
      </c>
      <c r="K105" s="26">
        <f t="shared" si="4"/>
        <v>-2.9810298102981071E-2</v>
      </c>
      <c r="L105" s="26">
        <f t="shared" si="5"/>
        <v>-7.7506775067750666E-2</v>
      </c>
      <c r="M105" s="26">
        <f t="shared" si="6"/>
        <v>-9.2682926829268347E-2</v>
      </c>
      <c r="N105" s="27" t="str">
        <f t="shared" si="7"/>
        <v>YES</v>
      </c>
    </row>
    <row r="106" spans="1:14" ht="15" customHeight="1" x14ac:dyDescent="0.25">
      <c r="A106" s="12">
        <v>46164</v>
      </c>
      <c r="B106" s="13" t="s">
        <v>104</v>
      </c>
      <c r="C106" s="13" t="s">
        <v>96</v>
      </c>
      <c r="D106" s="13" t="s">
        <v>97</v>
      </c>
      <c r="E106" s="14">
        <v>0.45</v>
      </c>
      <c r="F106" s="13" t="s">
        <v>56</v>
      </c>
      <c r="G106" s="15">
        <v>35.869999999999997</v>
      </c>
      <c r="H106" s="16">
        <v>34.69</v>
      </c>
      <c r="I106" s="16">
        <v>34.200000000000003</v>
      </c>
      <c r="J106" s="16">
        <v>30.33</v>
      </c>
      <c r="K106" s="26">
        <f t="shared" si="4"/>
        <v>-3.2896570950655138E-2</v>
      </c>
      <c r="L106" s="26">
        <f t="shared" si="5"/>
        <v>-4.6557011430164337E-2</v>
      </c>
      <c r="M106" s="26">
        <f t="shared" si="6"/>
        <v>-0.15444661276833008</v>
      </c>
      <c r="N106" s="27" t="str">
        <f t="shared" si="7"/>
        <v>NO</v>
      </c>
    </row>
    <row r="107" spans="1:14" ht="15" customHeight="1" x14ac:dyDescent="0.25">
      <c r="A107" s="12">
        <v>46164</v>
      </c>
      <c r="B107" s="13" t="s">
        <v>111</v>
      </c>
      <c r="C107" s="13" t="s">
        <v>113</v>
      </c>
      <c r="D107" s="13" t="s">
        <v>97</v>
      </c>
      <c r="E107" s="14">
        <v>0.57999999999999996</v>
      </c>
      <c r="F107" s="13" t="s">
        <v>56</v>
      </c>
      <c r="G107" s="15">
        <v>70.510000000000005</v>
      </c>
      <c r="H107" s="16">
        <v>68.430000000000007</v>
      </c>
      <c r="I107" s="16">
        <v>68.75</v>
      </c>
      <c r="J107" s="16">
        <v>66.14</v>
      </c>
      <c r="K107" s="26">
        <f t="shared" si="4"/>
        <v>-2.9499361792653497E-2</v>
      </c>
      <c r="L107" s="26">
        <f t="shared" si="5"/>
        <v>-2.4960998439937668E-2</v>
      </c>
      <c r="M107" s="26">
        <f t="shared" si="6"/>
        <v>-6.1977024535526934E-2</v>
      </c>
      <c r="N107" s="27" t="str">
        <f t="shared" si="7"/>
        <v>YES</v>
      </c>
    </row>
    <row r="108" spans="1:14" ht="15" customHeight="1" x14ac:dyDescent="0.25">
      <c r="A108" s="12">
        <v>46164</v>
      </c>
      <c r="B108" s="13" t="s">
        <v>107</v>
      </c>
      <c r="C108" s="13" t="s">
        <v>96</v>
      </c>
      <c r="D108" s="13" t="s">
        <v>97</v>
      </c>
      <c r="E108" s="14">
        <v>0.52</v>
      </c>
      <c r="F108" s="13" t="s">
        <v>56</v>
      </c>
      <c r="G108" s="15">
        <v>79.319999999999993</v>
      </c>
      <c r="H108" s="16">
        <v>82.68</v>
      </c>
      <c r="I108" s="16">
        <v>83.77</v>
      </c>
      <c r="J108" s="16">
        <v>78.95</v>
      </c>
      <c r="K108" s="26">
        <f t="shared" si="4"/>
        <v>4.2360060514372341E-2</v>
      </c>
      <c r="L108" s="26">
        <f t="shared" si="5"/>
        <v>5.6101865859808413E-2</v>
      </c>
      <c r="M108" s="26">
        <f t="shared" si="6"/>
        <v>-4.6646495209277652E-3</v>
      </c>
      <c r="N108" s="27" t="str">
        <f t="shared" si="7"/>
        <v>NO</v>
      </c>
    </row>
    <row r="109" spans="1:14" ht="15" customHeight="1" x14ac:dyDescent="0.25">
      <c r="A109" s="12">
        <v>46164</v>
      </c>
      <c r="B109" s="13" t="s">
        <v>106</v>
      </c>
      <c r="C109" s="13" t="s">
        <v>99</v>
      </c>
      <c r="D109" s="13" t="s">
        <v>97</v>
      </c>
      <c r="E109" s="14">
        <v>0.57999999999999996</v>
      </c>
      <c r="F109" s="13" t="s">
        <v>55</v>
      </c>
      <c r="G109" s="15">
        <v>304.88</v>
      </c>
      <c r="H109" s="16">
        <v>296.58</v>
      </c>
      <c r="I109" s="16">
        <v>311.11</v>
      </c>
      <c r="J109" s="16">
        <v>334.14</v>
      </c>
      <c r="K109" s="26">
        <f t="shared" si="4"/>
        <v>-2.7223825767515124E-2</v>
      </c>
      <c r="L109" s="26">
        <f t="shared" si="5"/>
        <v>2.0434269220677048E-2</v>
      </c>
      <c r="M109" s="26">
        <f t="shared" si="6"/>
        <v>9.597218577801099E-2</v>
      </c>
      <c r="N109" s="27" t="str">
        <f t="shared" si="7"/>
        <v>YES</v>
      </c>
    </row>
    <row r="110" spans="1:14" ht="15" customHeight="1" x14ac:dyDescent="0.25">
      <c r="A110" s="12">
        <v>46164</v>
      </c>
      <c r="B110" s="13" t="s">
        <v>100</v>
      </c>
      <c r="C110" s="13" t="s">
        <v>96</v>
      </c>
      <c r="D110" s="13" t="s">
        <v>97</v>
      </c>
      <c r="E110" s="14">
        <v>0.55000000000000004</v>
      </c>
      <c r="F110" s="13" t="s">
        <v>55</v>
      </c>
      <c r="G110" s="15">
        <v>417.22989999999999</v>
      </c>
      <c r="H110" s="16">
        <v>460.52</v>
      </c>
      <c r="I110" s="16">
        <v>411.74</v>
      </c>
      <c r="J110" s="16">
        <v>373.94</v>
      </c>
      <c r="K110" s="26">
        <f t="shared" si="4"/>
        <v>0.1037559868072734</v>
      </c>
      <c r="L110" s="26">
        <f t="shared" si="5"/>
        <v>-1.315797357763664E-2</v>
      </c>
      <c r="M110" s="26">
        <f t="shared" si="6"/>
        <v>-0.10375550745524227</v>
      </c>
      <c r="N110" s="27" t="str">
        <f t="shared" si="7"/>
        <v>NO</v>
      </c>
    </row>
    <row r="111" spans="1:14" ht="15" customHeight="1" x14ac:dyDescent="0.25">
      <c r="A111" s="12">
        <v>46164</v>
      </c>
      <c r="B111" s="13" t="s">
        <v>101</v>
      </c>
      <c r="C111" s="13" t="s">
        <v>99</v>
      </c>
      <c r="D111" s="13" t="s">
        <v>97</v>
      </c>
      <c r="E111" s="14">
        <v>0.52</v>
      </c>
      <c r="F111" s="13" t="s">
        <v>55</v>
      </c>
      <c r="G111" s="15">
        <v>44.475000000000001</v>
      </c>
      <c r="H111" s="16">
        <v>45.93</v>
      </c>
      <c r="I111" s="16">
        <v>43.23</v>
      </c>
      <c r="J111" s="16">
        <v>42.38</v>
      </c>
      <c r="K111" s="26">
        <f t="shared" si="4"/>
        <v>3.2715008431703163E-2</v>
      </c>
      <c r="L111" s="26">
        <f t="shared" si="5"/>
        <v>-2.7993254637436862E-2</v>
      </c>
      <c r="M111" s="26">
        <f t="shared" si="6"/>
        <v>-4.7105115233277095E-2</v>
      </c>
      <c r="N111" s="27" t="str">
        <f t="shared" si="7"/>
        <v>NO</v>
      </c>
    </row>
    <row r="112" spans="1:14" ht="15" customHeight="1" x14ac:dyDescent="0.25">
      <c r="A112" s="12">
        <v>46164</v>
      </c>
      <c r="B112" s="13" t="s">
        <v>98</v>
      </c>
      <c r="C112" s="13" t="s">
        <v>96</v>
      </c>
      <c r="D112" s="13" t="s">
        <v>97</v>
      </c>
      <c r="E112" s="14">
        <v>0.52</v>
      </c>
      <c r="F112" s="13" t="s">
        <v>56</v>
      </c>
      <c r="G112" s="15">
        <v>69.849999999999994</v>
      </c>
      <c r="H112" s="16">
        <v>69.569999999999993</v>
      </c>
      <c r="I112" s="16">
        <v>67.28</v>
      </c>
      <c r="J112" s="16">
        <v>61.54</v>
      </c>
      <c r="K112" s="26">
        <f t="shared" si="4"/>
        <v>-4.0085898353615056E-3</v>
      </c>
      <c r="L112" s="26">
        <f t="shared" si="5"/>
        <v>-3.6793128131710713E-2</v>
      </c>
      <c r="M112" s="26">
        <f t="shared" si="6"/>
        <v>-0.11896921975662127</v>
      </c>
      <c r="N112" s="27" t="str">
        <f t="shared" si="7"/>
        <v>YES</v>
      </c>
    </row>
    <row r="113" spans="1:14" ht="15" customHeight="1" x14ac:dyDescent="0.25">
      <c r="A113" s="12">
        <v>46164</v>
      </c>
      <c r="B113" s="13" t="s">
        <v>110</v>
      </c>
      <c r="C113" s="13" t="s">
        <v>99</v>
      </c>
      <c r="D113" s="13" t="s">
        <v>97</v>
      </c>
      <c r="E113" s="14">
        <v>0.62</v>
      </c>
      <c r="F113" s="13" t="s">
        <v>55</v>
      </c>
      <c r="G113" s="15">
        <v>189.90010000000001</v>
      </c>
      <c r="H113" s="16">
        <v>172.66</v>
      </c>
      <c r="I113" s="16">
        <v>176.06</v>
      </c>
      <c r="J113" s="16">
        <v>178.69</v>
      </c>
      <c r="K113" s="26">
        <f t="shared" si="4"/>
        <v>-9.0785102272194759E-2</v>
      </c>
      <c r="L113" s="26">
        <f t="shared" si="5"/>
        <v>-7.288095161613925E-2</v>
      </c>
      <c r="M113" s="26">
        <f t="shared" si="6"/>
        <v>-5.9031564491014016E-2</v>
      </c>
      <c r="N113" s="27" t="str">
        <f t="shared" si="7"/>
        <v>NO</v>
      </c>
    </row>
    <row r="114" spans="1:14" ht="15" customHeight="1" x14ac:dyDescent="0.25">
      <c r="A114" s="12">
        <v>46164</v>
      </c>
      <c r="B114" s="13" t="s">
        <v>108</v>
      </c>
      <c r="C114" s="13" t="s">
        <v>99</v>
      </c>
      <c r="D114" s="13" t="s">
        <v>97</v>
      </c>
      <c r="E114" s="14">
        <v>0.62</v>
      </c>
      <c r="F114" s="13" t="s">
        <v>55</v>
      </c>
      <c r="G114" s="15">
        <v>724.2</v>
      </c>
      <c r="H114" s="16">
        <v>687.48</v>
      </c>
      <c r="I114" s="16">
        <v>693.81</v>
      </c>
      <c r="J114" s="16">
        <v>702.29</v>
      </c>
      <c r="K114" s="26">
        <f t="shared" si="4"/>
        <v>-5.0704225352112713E-2</v>
      </c>
      <c r="L114" s="26">
        <f t="shared" si="5"/>
        <v>-4.1963545981773126E-2</v>
      </c>
      <c r="M114" s="26">
        <f t="shared" si="6"/>
        <v>-3.0254073460370175E-2</v>
      </c>
      <c r="N114" s="27" t="str">
        <f t="shared" si="7"/>
        <v>NO</v>
      </c>
    </row>
    <row r="115" spans="1:14" ht="15" customHeight="1" x14ac:dyDescent="0.25">
      <c r="A115" s="12">
        <v>46164</v>
      </c>
      <c r="B115" s="13" t="s">
        <v>115</v>
      </c>
      <c r="C115" s="13" t="s">
        <v>113</v>
      </c>
      <c r="D115" s="13" t="s">
        <v>97</v>
      </c>
      <c r="E115" s="14">
        <v>0.48</v>
      </c>
      <c r="F115" s="13" t="s">
        <v>56</v>
      </c>
      <c r="G115" s="15">
        <v>175.77</v>
      </c>
      <c r="H115" s="16">
        <v>174.41</v>
      </c>
      <c r="I115" s="16">
        <v>178.66</v>
      </c>
      <c r="J115" s="16">
        <v>186.39</v>
      </c>
      <c r="K115" s="26">
        <f t="shared" si="4"/>
        <v>-7.7373840814701804E-3</v>
      </c>
      <c r="L115" s="26">
        <f t="shared" si="5"/>
        <v>1.6441941173123892E-2</v>
      </c>
      <c r="M115" s="26">
        <f t="shared" si="6"/>
        <v>6.0419866871479634E-2</v>
      </c>
      <c r="N115" s="27" t="str">
        <f t="shared" si="7"/>
        <v>YES</v>
      </c>
    </row>
    <row r="116" spans="1:14" ht="15" customHeight="1" x14ac:dyDescent="0.25">
      <c r="A116" s="12">
        <v>46164</v>
      </c>
      <c r="B116" s="13" t="s">
        <v>102</v>
      </c>
      <c r="C116" s="13" t="s">
        <v>99</v>
      </c>
      <c r="D116" s="13" t="s">
        <v>97</v>
      </c>
      <c r="E116" s="14">
        <v>0.65</v>
      </c>
      <c r="F116" s="13" t="s">
        <v>55</v>
      </c>
      <c r="G116" s="15">
        <v>32.76</v>
      </c>
      <c r="H116" s="16">
        <v>32.18</v>
      </c>
      <c r="I116" s="16">
        <v>32.29</v>
      </c>
      <c r="J116" s="16">
        <v>32.020000000000003</v>
      </c>
      <c r="K116" s="26">
        <f t="shared" si="4"/>
        <v>-1.7704517704517652E-2</v>
      </c>
      <c r="L116" s="26">
        <f t="shared" si="5"/>
        <v>-1.4346764346764313E-2</v>
      </c>
      <c r="M116" s="26">
        <f t="shared" si="6"/>
        <v>-2.2588522588522435E-2</v>
      </c>
      <c r="N116" s="27" t="str">
        <f t="shared" si="7"/>
        <v>YES</v>
      </c>
    </row>
    <row r="117" spans="1:14" ht="15" customHeight="1" x14ac:dyDescent="0.25">
      <c r="A117" s="12">
        <v>46164</v>
      </c>
      <c r="B117" s="13" t="s">
        <v>117</v>
      </c>
      <c r="C117" s="13" t="s">
        <v>113</v>
      </c>
      <c r="D117" s="13" t="s">
        <v>97</v>
      </c>
      <c r="E117" s="14">
        <v>0.42</v>
      </c>
      <c r="F117" s="13" t="s">
        <v>56</v>
      </c>
      <c r="G117" s="15">
        <v>4.9951999999999996</v>
      </c>
      <c r="H117" s="16">
        <v>4.7699999999999996</v>
      </c>
      <c r="I117" s="16">
        <v>5.82</v>
      </c>
      <c r="J117" s="16">
        <v>4.74</v>
      </c>
      <c r="K117" s="26">
        <f t="shared" si="4"/>
        <v>-4.5083279948750818E-2</v>
      </c>
      <c r="L117" s="26">
        <f t="shared" si="5"/>
        <v>0.16511851377322243</v>
      </c>
      <c r="M117" s="26">
        <f t="shared" si="6"/>
        <v>-5.1089045483664206E-2</v>
      </c>
      <c r="N117" s="27" t="str">
        <f t="shared" si="7"/>
        <v>NO</v>
      </c>
    </row>
    <row r="118" spans="1:14" ht="15" customHeight="1" x14ac:dyDescent="0.25">
      <c r="A118" s="12">
        <v>46164</v>
      </c>
      <c r="B118" s="13" t="s">
        <v>95</v>
      </c>
      <c r="C118" s="13" t="s">
        <v>96</v>
      </c>
      <c r="D118" s="13" t="s">
        <v>97</v>
      </c>
      <c r="E118" s="14">
        <v>0.45</v>
      </c>
      <c r="F118" s="13" t="s">
        <v>55</v>
      </c>
      <c r="G118" s="15">
        <v>119.83499999999999</v>
      </c>
      <c r="H118" s="16">
        <v>114.6</v>
      </c>
      <c r="I118" s="16">
        <v>119.83</v>
      </c>
      <c r="J118" s="16">
        <v>119.42</v>
      </c>
      <c r="K118" s="26">
        <f t="shared" si="4"/>
        <v>-4.368506696707973E-2</v>
      </c>
      <c r="L118" s="26">
        <f t="shared" si="5"/>
        <v>-4.172403721780325E-5</v>
      </c>
      <c r="M118" s="26">
        <f t="shared" si="6"/>
        <v>-3.4630950890807534E-3</v>
      </c>
      <c r="N118" s="27" t="str">
        <f t="shared" si="7"/>
        <v>NO</v>
      </c>
    </row>
    <row r="119" spans="1:14" ht="15" customHeight="1" x14ac:dyDescent="0.25">
      <c r="A119" s="12">
        <v>46164</v>
      </c>
      <c r="B119" s="13" t="s">
        <v>109</v>
      </c>
      <c r="C119" s="13" t="s">
        <v>99</v>
      </c>
      <c r="D119" s="13" t="s">
        <v>97</v>
      </c>
      <c r="E119" s="14">
        <v>0.52</v>
      </c>
      <c r="F119" s="13" t="s">
        <v>56</v>
      </c>
      <c r="G119" s="15">
        <v>45.115000000000002</v>
      </c>
      <c r="H119" s="16">
        <v>43.1</v>
      </c>
      <c r="I119" s="16">
        <v>43.52</v>
      </c>
      <c r="J119" s="16">
        <v>45.07</v>
      </c>
      <c r="K119" s="26">
        <f t="shared" si="4"/>
        <v>-4.4663637371162593E-2</v>
      </c>
      <c r="L119" s="26">
        <f t="shared" si="5"/>
        <v>-3.5354095090324701E-2</v>
      </c>
      <c r="M119" s="26">
        <f t="shared" si="6"/>
        <v>-9.9745095866123697E-4</v>
      </c>
      <c r="N119" s="27" t="str">
        <f t="shared" si="7"/>
        <v>NO</v>
      </c>
    </row>
    <row r="120" spans="1:14" ht="15" customHeight="1" x14ac:dyDescent="0.25">
      <c r="A120" s="12">
        <v>46164</v>
      </c>
      <c r="B120" s="13" t="s">
        <v>118</v>
      </c>
      <c r="C120" s="13" t="s">
        <v>119</v>
      </c>
      <c r="D120" s="13" t="s">
        <v>97</v>
      </c>
      <c r="E120" s="14">
        <v>0.52</v>
      </c>
      <c r="F120" s="13" t="s">
        <v>56</v>
      </c>
      <c r="G120" s="15">
        <v>746.11</v>
      </c>
      <c r="H120" s="16">
        <v>758.54</v>
      </c>
      <c r="I120" s="16">
        <v>739.22</v>
      </c>
      <c r="J120" s="16">
        <v>733.58</v>
      </c>
      <c r="K120" s="26">
        <f t="shared" si="4"/>
        <v>1.6659741861119608E-2</v>
      </c>
      <c r="L120" s="26">
        <f t="shared" si="5"/>
        <v>-9.234563268150791E-3</v>
      </c>
      <c r="M120" s="26">
        <f t="shared" si="6"/>
        <v>-1.679377035557756E-2</v>
      </c>
      <c r="N120" s="27" t="str">
        <f t="shared" si="7"/>
        <v>YES</v>
      </c>
    </row>
    <row r="121" spans="1:14" ht="15" customHeight="1" x14ac:dyDescent="0.25">
      <c r="A121" s="12">
        <v>46164</v>
      </c>
      <c r="B121" s="13" t="s">
        <v>120</v>
      </c>
      <c r="C121" s="13" t="s">
        <v>119</v>
      </c>
      <c r="D121" s="13" t="s">
        <v>97</v>
      </c>
      <c r="E121" s="14">
        <v>0.52</v>
      </c>
      <c r="F121" s="13" t="s">
        <v>56</v>
      </c>
      <c r="G121" s="15">
        <v>718.44</v>
      </c>
      <c r="H121" s="16">
        <v>742.74</v>
      </c>
      <c r="I121" s="16">
        <v>716.07</v>
      </c>
      <c r="J121" s="16">
        <v>713.65</v>
      </c>
      <c r="K121" s="26">
        <f t="shared" si="4"/>
        <v>3.3823283781526575E-2</v>
      </c>
      <c r="L121" s="26">
        <f t="shared" si="5"/>
        <v>-3.298814097210629E-3</v>
      </c>
      <c r="M121" s="26">
        <f t="shared" si="6"/>
        <v>-6.667223428539721E-3</v>
      </c>
      <c r="N121" s="27" t="str">
        <f t="shared" si="7"/>
        <v>NO</v>
      </c>
    </row>
    <row r="122" spans="1:14" ht="15" customHeight="1" x14ac:dyDescent="0.25">
      <c r="A122" s="12">
        <v>46164</v>
      </c>
      <c r="B122" s="13" t="s">
        <v>121</v>
      </c>
      <c r="C122" s="13" t="s">
        <v>119</v>
      </c>
      <c r="D122" s="13" t="s">
        <v>97</v>
      </c>
      <c r="E122" s="14">
        <v>0.52</v>
      </c>
      <c r="F122" s="13" t="s">
        <v>56</v>
      </c>
      <c r="G122" s="15">
        <v>366.85</v>
      </c>
      <c r="H122" s="16">
        <v>373.4</v>
      </c>
      <c r="I122" s="16">
        <v>364.47</v>
      </c>
      <c r="J122" s="16">
        <v>363.7</v>
      </c>
      <c r="K122" s="26">
        <f t="shared" si="4"/>
        <v>1.7854709009131671E-2</v>
      </c>
      <c r="L122" s="26">
        <f t="shared" si="5"/>
        <v>-6.4876652582799383E-3</v>
      </c>
      <c r="M122" s="26">
        <f t="shared" si="6"/>
        <v>-8.5866157830176738E-3</v>
      </c>
      <c r="N122" s="27" t="str">
        <f t="shared" si="7"/>
        <v>YES</v>
      </c>
    </row>
    <row r="123" spans="1:14" ht="15" customHeight="1" x14ac:dyDescent="0.25">
      <c r="A123" s="12">
        <v>46164</v>
      </c>
      <c r="B123" s="13" t="s">
        <v>122</v>
      </c>
      <c r="C123" s="13" t="s">
        <v>119</v>
      </c>
      <c r="D123" s="13" t="s">
        <v>124</v>
      </c>
      <c r="E123" s="14">
        <v>0.62</v>
      </c>
      <c r="F123" s="13" t="s">
        <v>56</v>
      </c>
      <c r="G123" s="15">
        <v>216.76499999999999</v>
      </c>
      <c r="H123" s="16">
        <v>224.36</v>
      </c>
      <c r="I123" s="16">
        <v>208.64</v>
      </c>
      <c r="J123" s="16">
        <v>200.04</v>
      </c>
      <c r="K123" s="26">
        <f t="shared" si="4"/>
        <v>3.5037944317579076E-2</v>
      </c>
      <c r="L123" s="26">
        <f t="shared" si="5"/>
        <v>-3.7482988489839227E-2</v>
      </c>
      <c r="M123" s="26">
        <f t="shared" si="6"/>
        <v>-7.7157290152930574E-2</v>
      </c>
      <c r="N123" s="27" t="str">
        <f t="shared" si="7"/>
        <v>YES</v>
      </c>
    </row>
    <row r="124" spans="1:14" ht="15" customHeight="1" x14ac:dyDescent="0.25">
      <c r="A124" s="12">
        <v>46164</v>
      </c>
      <c r="B124" s="13" t="s">
        <v>123</v>
      </c>
      <c r="C124" s="13" t="s">
        <v>119</v>
      </c>
      <c r="D124" s="13" t="s">
        <v>97</v>
      </c>
      <c r="E124" s="14">
        <v>0.45</v>
      </c>
      <c r="F124" s="13" t="s">
        <v>56</v>
      </c>
      <c r="G124" s="15">
        <v>413.07</v>
      </c>
      <c r="H124" s="16">
        <v>411.26</v>
      </c>
      <c r="I124" s="16">
        <v>397.27</v>
      </c>
      <c r="J124" s="16">
        <v>377.32</v>
      </c>
      <c r="K124" s="26">
        <f t="shared" si="4"/>
        <v>-4.3818239039388057E-3</v>
      </c>
      <c r="L124" s="26">
        <f t="shared" si="5"/>
        <v>-3.8250175515045906E-2</v>
      </c>
      <c r="M124" s="26">
        <f t="shared" si="6"/>
        <v>-8.6547074345752539E-2</v>
      </c>
      <c r="N124" s="27" t="str">
        <f t="shared" si="7"/>
        <v>YES</v>
      </c>
    </row>
    <row r="125" spans="1:14" ht="15" customHeight="1" x14ac:dyDescent="0.25">
      <c r="A125" s="12">
        <v>46168</v>
      </c>
      <c r="B125" s="13" t="s">
        <v>103</v>
      </c>
      <c r="C125" s="13" t="s">
        <v>99</v>
      </c>
      <c r="D125" s="13" t="s">
        <v>97</v>
      </c>
      <c r="E125" s="14">
        <v>0.55000000000000004</v>
      </c>
      <c r="F125" s="13" t="s">
        <v>56</v>
      </c>
      <c r="G125" s="15">
        <v>311.185</v>
      </c>
      <c r="H125" s="16">
        <v>315.2</v>
      </c>
      <c r="I125" s="16">
        <v>290.55</v>
      </c>
      <c r="J125" s="16">
        <v>293.08</v>
      </c>
      <c r="K125" s="26">
        <f t="shared" si="4"/>
        <v>1.2902292848305626E-2</v>
      </c>
      <c r="L125" s="26">
        <f t="shared" si="5"/>
        <v>-6.6311036843035465E-2</v>
      </c>
      <c r="M125" s="26">
        <f t="shared" si="6"/>
        <v>-5.8180824911226496E-2</v>
      </c>
      <c r="N125" s="27" t="str">
        <f t="shared" si="7"/>
        <v>YES</v>
      </c>
    </row>
    <row r="126" spans="1:14" ht="15" customHeight="1" x14ac:dyDescent="0.25">
      <c r="A126" s="12">
        <v>46168</v>
      </c>
      <c r="B126" s="13" t="s">
        <v>112</v>
      </c>
      <c r="C126" s="13" t="s">
        <v>113</v>
      </c>
      <c r="D126" s="13" t="s">
        <v>97</v>
      </c>
      <c r="E126" s="14">
        <v>0.45</v>
      </c>
      <c r="F126" s="13" t="s">
        <v>56</v>
      </c>
      <c r="G126" s="15">
        <v>19.840299999999999</v>
      </c>
      <c r="H126" s="16">
        <v>20.99</v>
      </c>
      <c r="I126" s="16">
        <v>16.54</v>
      </c>
      <c r="J126" s="16">
        <v>16.059999999999999</v>
      </c>
      <c r="K126" s="26">
        <f t="shared" si="4"/>
        <v>5.7947712484186197E-2</v>
      </c>
      <c r="L126" s="26">
        <f t="shared" si="5"/>
        <v>-0.16634325085810195</v>
      </c>
      <c r="M126" s="26">
        <f t="shared" si="6"/>
        <v>-0.19053643342086565</v>
      </c>
      <c r="N126" s="27" t="str">
        <f t="shared" si="7"/>
        <v>NO</v>
      </c>
    </row>
    <row r="127" spans="1:14" ht="15" customHeight="1" x14ac:dyDescent="0.25">
      <c r="A127" s="12">
        <v>46168</v>
      </c>
      <c r="B127" s="13" t="s">
        <v>105</v>
      </c>
      <c r="C127" s="13" t="s">
        <v>96</v>
      </c>
      <c r="D127" s="13" t="s">
        <v>97</v>
      </c>
      <c r="E127" s="14">
        <v>0.55000000000000004</v>
      </c>
      <c r="F127" s="13" t="s">
        <v>56</v>
      </c>
      <c r="G127" s="15">
        <v>65.05</v>
      </c>
      <c r="H127" s="16">
        <v>70.14</v>
      </c>
      <c r="I127" s="16">
        <v>63.16</v>
      </c>
      <c r="J127" s="16">
        <v>63.39</v>
      </c>
      <c r="K127" s="26">
        <f t="shared" si="4"/>
        <v>7.8247501921598822E-2</v>
      </c>
      <c r="L127" s="26">
        <f t="shared" si="5"/>
        <v>-2.9054573405073031E-2</v>
      </c>
      <c r="M127" s="26">
        <f t="shared" si="6"/>
        <v>-2.5518831667947682E-2</v>
      </c>
      <c r="N127" s="27" t="str">
        <f t="shared" si="7"/>
        <v>NO</v>
      </c>
    </row>
    <row r="128" spans="1:14" ht="15" customHeight="1" x14ac:dyDescent="0.25">
      <c r="A128" s="12">
        <v>46168</v>
      </c>
      <c r="B128" s="13" t="s">
        <v>114</v>
      </c>
      <c r="C128" s="13" t="s">
        <v>113</v>
      </c>
      <c r="D128" s="13" t="s">
        <v>97</v>
      </c>
      <c r="E128" s="14">
        <v>0.42</v>
      </c>
      <c r="F128" s="13" t="s">
        <v>56</v>
      </c>
      <c r="G128" s="15">
        <v>240.27</v>
      </c>
      <c r="H128" s="16">
        <v>236.52</v>
      </c>
      <c r="I128" s="16">
        <v>226.81</v>
      </c>
      <c r="J128" s="16">
        <v>182.26</v>
      </c>
      <c r="K128" s="26">
        <f t="shared" si="4"/>
        <v>-1.560744162816831E-2</v>
      </c>
      <c r="L128" s="26">
        <f t="shared" si="5"/>
        <v>-5.602031048403882E-2</v>
      </c>
      <c r="M128" s="26">
        <f t="shared" si="6"/>
        <v>-0.24143671702667838</v>
      </c>
      <c r="N128" s="27" t="str">
        <f t="shared" si="7"/>
        <v>YES</v>
      </c>
    </row>
    <row r="129" spans="1:14" ht="15" customHeight="1" x14ac:dyDescent="0.25">
      <c r="A129" s="12">
        <v>46168</v>
      </c>
      <c r="B129" s="13" t="s">
        <v>116</v>
      </c>
      <c r="C129" s="13" t="s">
        <v>113</v>
      </c>
      <c r="D129" s="13" t="s">
        <v>97</v>
      </c>
      <c r="E129" s="14">
        <v>0.45</v>
      </c>
      <c r="F129" s="13" t="s">
        <v>56</v>
      </c>
      <c r="G129" s="15">
        <v>18.21</v>
      </c>
      <c r="H129" s="16">
        <v>17.71</v>
      </c>
      <c r="I129" s="16">
        <v>17.04</v>
      </c>
      <c r="J129" s="16">
        <v>16.62</v>
      </c>
      <c r="K129" s="26">
        <f t="shared" si="4"/>
        <v>-2.745744096650192E-2</v>
      </c>
      <c r="L129" s="26">
        <f t="shared" si="5"/>
        <v>-6.4250411861614593E-2</v>
      </c>
      <c r="M129" s="26">
        <f t="shared" si="6"/>
        <v>-8.7314662273476104E-2</v>
      </c>
      <c r="N129" s="27" t="str">
        <f t="shared" si="7"/>
        <v>YES</v>
      </c>
    </row>
    <row r="130" spans="1:14" ht="15" customHeight="1" x14ac:dyDescent="0.25">
      <c r="A130" s="12">
        <v>46168</v>
      </c>
      <c r="B130" s="13" t="s">
        <v>104</v>
      </c>
      <c r="C130" s="13" t="s">
        <v>96</v>
      </c>
      <c r="D130" s="13" t="s">
        <v>97</v>
      </c>
      <c r="E130" s="14">
        <v>0.42</v>
      </c>
      <c r="F130" s="13" t="s">
        <v>56</v>
      </c>
      <c r="G130" s="15">
        <v>35.43</v>
      </c>
      <c r="H130" s="16">
        <v>34.72</v>
      </c>
      <c r="I130" s="16">
        <v>33.22</v>
      </c>
      <c r="J130" s="16">
        <v>29.38</v>
      </c>
      <c r="K130" s="26">
        <f t="shared" si="4"/>
        <v>-2.0039514535704229E-2</v>
      </c>
      <c r="L130" s="26">
        <f t="shared" si="5"/>
        <v>-6.2376517075924384E-2</v>
      </c>
      <c r="M130" s="26">
        <f t="shared" si="6"/>
        <v>-0.17075924357888797</v>
      </c>
      <c r="N130" s="27" t="str">
        <f t="shared" si="7"/>
        <v>YES</v>
      </c>
    </row>
    <row r="131" spans="1:14" ht="15" customHeight="1" x14ac:dyDescent="0.25">
      <c r="A131" s="12">
        <v>46168</v>
      </c>
      <c r="B131" s="13" t="s">
        <v>111</v>
      </c>
      <c r="C131" s="13" t="s">
        <v>113</v>
      </c>
      <c r="D131" s="13" t="s">
        <v>97</v>
      </c>
      <c r="E131" s="14">
        <v>0.55000000000000004</v>
      </c>
      <c r="F131" s="13" t="s">
        <v>56</v>
      </c>
      <c r="G131" s="15">
        <v>71.709999999999994</v>
      </c>
      <c r="H131" s="16">
        <v>69.45</v>
      </c>
      <c r="I131" s="16">
        <v>68.39</v>
      </c>
      <c r="J131" s="16">
        <v>64.290000000000006</v>
      </c>
      <c r="K131" s="26">
        <f t="shared" si="4"/>
        <v>-3.1515827639101816E-2</v>
      </c>
      <c r="L131" s="26">
        <f t="shared" si="5"/>
        <v>-4.6297587505229304E-2</v>
      </c>
      <c r="M131" s="26">
        <f t="shared" si="6"/>
        <v>-0.10347231906289205</v>
      </c>
      <c r="N131" s="27" t="str">
        <f t="shared" si="7"/>
        <v>NO</v>
      </c>
    </row>
    <row r="132" spans="1:14" ht="15" customHeight="1" x14ac:dyDescent="0.25">
      <c r="A132" s="12">
        <v>46168</v>
      </c>
      <c r="B132" s="13" t="s">
        <v>107</v>
      </c>
      <c r="C132" s="13" t="s">
        <v>96</v>
      </c>
      <c r="D132" s="13" t="s">
        <v>97</v>
      </c>
      <c r="E132" s="14">
        <v>0.52</v>
      </c>
      <c r="F132" s="13" t="s">
        <v>55</v>
      </c>
      <c r="G132" s="15">
        <v>79.665000000000006</v>
      </c>
      <c r="H132" s="16">
        <v>81.73</v>
      </c>
      <c r="I132" s="16">
        <v>83.76</v>
      </c>
      <c r="J132" s="16">
        <v>78.95</v>
      </c>
      <c r="K132" s="26">
        <f t="shared" si="4"/>
        <v>2.5921044373313218E-2</v>
      </c>
      <c r="L132" s="26">
        <f t="shared" si="5"/>
        <v>5.1402749011485581E-2</v>
      </c>
      <c r="M132" s="26">
        <f t="shared" si="6"/>
        <v>-8.9750831607356227E-3</v>
      </c>
      <c r="N132" s="27" t="str">
        <f t="shared" si="7"/>
        <v>YES</v>
      </c>
    </row>
    <row r="133" spans="1:14" ht="15" customHeight="1" x14ac:dyDescent="0.25">
      <c r="A133" s="12">
        <v>46168</v>
      </c>
      <c r="B133" s="13" t="s">
        <v>106</v>
      </c>
      <c r="C133" s="13" t="s">
        <v>99</v>
      </c>
      <c r="D133" s="13" t="s">
        <v>97</v>
      </c>
      <c r="E133" s="14">
        <v>0.55000000000000004</v>
      </c>
      <c r="F133" s="13" t="s">
        <v>55</v>
      </c>
      <c r="G133" s="15">
        <v>308.05500000000001</v>
      </c>
      <c r="H133" s="16">
        <v>300.95999999999998</v>
      </c>
      <c r="I133" s="16">
        <v>312.7</v>
      </c>
      <c r="J133" s="16">
        <v>333.45</v>
      </c>
      <c r="K133" s="26">
        <f t="shared" ref="K133:K196" si="8">IF(H133="","",(H133-G133)/G133)</f>
        <v>-2.3031601499732279E-2</v>
      </c>
      <c r="L133" s="26">
        <f t="shared" ref="L133:L196" si="9">IF(I133="","",(I133-G133)/G133)</f>
        <v>1.5078476246124821E-2</v>
      </c>
      <c r="M133" s="26">
        <f t="shared" ref="M133:M196" si="10">IF(J133="","",(J133-G133)/G133)</f>
        <v>8.243657788381939E-2</v>
      </c>
      <c r="N133" s="27" t="str">
        <f t="shared" ref="N133:N196" si="11">IF(H133="","",IF(D133="HOLD",IF(ABS(K133)&lt;0.03,"YES","NO"),IF(D133="BUY",IF(K133&gt;0,"YES","NO"),IF(D133="SELL",IF(K133&lt;0,"YES","NO"),""))))</f>
        <v>YES</v>
      </c>
    </row>
    <row r="134" spans="1:14" ht="15" customHeight="1" x14ac:dyDescent="0.25">
      <c r="A134" s="12">
        <v>46168</v>
      </c>
      <c r="B134" s="13" t="s">
        <v>100</v>
      </c>
      <c r="C134" s="13" t="s">
        <v>96</v>
      </c>
      <c r="D134" s="13" t="s">
        <v>97</v>
      </c>
      <c r="E134" s="14">
        <v>0.52</v>
      </c>
      <c r="F134" s="13" t="s">
        <v>56</v>
      </c>
      <c r="G134" s="15">
        <v>417.41</v>
      </c>
      <c r="H134" s="16">
        <v>441.31</v>
      </c>
      <c r="I134" s="16">
        <v>403.41</v>
      </c>
      <c r="J134" s="16">
        <v>365.46</v>
      </c>
      <c r="K134" s="26">
        <f t="shared" si="8"/>
        <v>5.7257851992046131E-2</v>
      </c>
      <c r="L134" s="26">
        <f t="shared" si="9"/>
        <v>-3.3540164346805297E-2</v>
      </c>
      <c r="M134" s="26">
        <f t="shared" si="10"/>
        <v>-0.12445796698689549</v>
      </c>
      <c r="N134" s="27" t="str">
        <f t="shared" si="11"/>
        <v>NO</v>
      </c>
    </row>
    <row r="135" spans="1:14" ht="15" customHeight="1" x14ac:dyDescent="0.25">
      <c r="A135" s="12">
        <v>46168</v>
      </c>
      <c r="B135" s="13" t="s">
        <v>101</v>
      </c>
      <c r="C135" s="13" t="s">
        <v>99</v>
      </c>
      <c r="D135" s="13" t="s">
        <v>97</v>
      </c>
      <c r="E135" s="14">
        <v>0.42</v>
      </c>
      <c r="F135" s="13" t="s">
        <v>55</v>
      </c>
      <c r="G135" s="15">
        <v>44.759300000000003</v>
      </c>
      <c r="H135" s="16">
        <v>43.73</v>
      </c>
      <c r="I135" s="16">
        <v>44.65</v>
      </c>
      <c r="J135" s="16">
        <v>41.82</v>
      </c>
      <c r="K135" s="26">
        <f t="shared" si="8"/>
        <v>-2.2996338191169349E-2</v>
      </c>
      <c r="L135" s="26">
        <f t="shared" si="9"/>
        <v>-2.4419506113814247E-3</v>
      </c>
      <c r="M135" s="26">
        <f t="shared" si="10"/>
        <v>-6.5669034144859348E-2</v>
      </c>
      <c r="N135" s="27" t="str">
        <f t="shared" si="11"/>
        <v>YES</v>
      </c>
    </row>
    <row r="136" spans="1:14" ht="15" customHeight="1" x14ac:dyDescent="0.25">
      <c r="A136" s="12">
        <v>46168</v>
      </c>
      <c r="B136" s="13" t="s">
        <v>98</v>
      </c>
      <c r="C136" s="13" t="s">
        <v>96</v>
      </c>
      <c r="D136" s="13" t="s">
        <v>97</v>
      </c>
      <c r="E136" s="14">
        <v>0.52</v>
      </c>
      <c r="F136" s="13" t="s">
        <v>56</v>
      </c>
      <c r="G136" s="15">
        <v>70.040000000000006</v>
      </c>
      <c r="H136" s="16">
        <v>68.5</v>
      </c>
      <c r="I136" s="16">
        <v>66.349999999999994</v>
      </c>
      <c r="J136" s="16">
        <v>60.37</v>
      </c>
      <c r="K136" s="26">
        <f t="shared" si="8"/>
        <v>-2.1987435750999516E-2</v>
      </c>
      <c r="L136" s="26">
        <f t="shared" si="9"/>
        <v>-5.268418046830399E-2</v>
      </c>
      <c r="M136" s="26">
        <f t="shared" si="10"/>
        <v>-0.13806396344945757</v>
      </c>
      <c r="N136" s="27" t="str">
        <f t="shared" si="11"/>
        <v>YES</v>
      </c>
    </row>
    <row r="137" spans="1:14" ht="15" customHeight="1" x14ac:dyDescent="0.25">
      <c r="A137" s="12">
        <v>46168</v>
      </c>
      <c r="B137" s="13" t="s">
        <v>110</v>
      </c>
      <c r="C137" s="13" t="s">
        <v>99</v>
      </c>
      <c r="D137" s="13" t="s">
        <v>97</v>
      </c>
      <c r="E137" s="14">
        <v>0.62</v>
      </c>
      <c r="F137" s="13" t="s">
        <v>55</v>
      </c>
      <c r="G137" s="15">
        <v>184.03649999999999</v>
      </c>
      <c r="H137" s="16">
        <v>173.66</v>
      </c>
      <c r="I137" s="16">
        <v>178.49</v>
      </c>
      <c r="J137" s="16">
        <v>178.78</v>
      </c>
      <c r="K137" s="26">
        <f t="shared" si="8"/>
        <v>-5.6382837100249099E-2</v>
      </c>
      <c r="L137" s="26">
        <f t="shared" si="9"/>
        <v>-3.0138043268590636E-2</v>
      </c>
      <c r="M137" s="26">
        <f t="shared" si="10"/>
        <v>-2.8562268897745765E-2</v>
      </c>
      <c r="N137" s="27" t="str">
        <f t="shared" si="11"/>
        <v>NO</v>
      </c>
    </row>
    <row r="138" spans="1:14" ht="15" customHeight="1" x14ac:dyDescent="0.25">
      <c r="A138" s="12">
        <v>46168</v>
      </c>
      <c r="B138" s="13" t="s">
        <v>108</v>
      </c>
      <c r="C138" s="13" t="s">
        <v>99</v>
      </c>
      <c r="D138" s="13" t="s">
        <v>97</v>
      </c>
      <c r="E138" s="14">
        <v>0.62</v>
      </c>
      <c r="F138" s="13" t="s">
        <v>55</v>
      </c>
      <c r="G138" s="15">
        <v>748.17</v>
      </c>
      <c r="H138" s="16">
        <v>706.06</v>
      </c>
      <c r="I138" s="16">
        <v>691.95</v>
      </c>
      <c r="J138" s="16">
        <v>701.88</v>
      </c>
      <c r="K138" s="26">
        <f t="shared" si="8"/>
        <v>-5.6283999625753527E-2</v>
      </c>
      <c r="L138" s="26">
        <f t="shared" si="9"/>
        <v>-7.5143349773447096E-2</v>
      </c>
      <c r="M138" s="26">
        <f t="shared" si="10"/>
        <v>-6.18709651549781E-2</v>
      </c>
      <c r="N138" s="27" t="str">
        <f t="shared" si="11"/>
        <v>NO</v>
      </c>
    </row>
    <row r="139" spans="1:14" ht="15" customHeight="1" x14ac:dyDescent="0.25">
      <c r="A139" s="12">
        <v>46168</v>
      </c>
      <c r="B139" s="13" t="s">
        <v>115</v>
      </c>
      <c r="C139" s="13" t="s">
        <v>113</v>
      </c>
      <c r="D139" s="13" t="s">
        <v>97</v>
      </c>
      <c r="E139" s="14">
        <v>0.55000000000000004</v>
      </c>
      <c r="F139" s="13" t="s">
        <v>56</v>
      </c>
      <c r="G139" s="15">
        <v>177.56</v>
      </c>
      <c r="H139" s="16">
        <v>174.26</v>
      </c>
      <c r="I139" s="16">
        <v>181.56</v>
      </c>
      <c r="J139" s="16">
        <v>185.06</v>
      </c>
      <c r="K139" s="26">
        <f t="shared" si="8"/>
        <v>-1.8585266952016285E-2</v>
      </c>
      <c r="L139" s="26">
        <f t="shared" si="9"/>
        <v>2.2527596305474205E-2</v>
      </c>
      <c r="M139" s="26">
        <f t="shared" si="10"/>
        <v>4.2239243072764138E-2</v>
      </c>
      <c r="N139" s="27" t="str">
        <f t="shared" si="11"/>
        <v>YES</v>
      </c>
    </row>
    <row r="140" spans="1:14" ht="15" customHeight="1" x14ac:dyDescent="0.25">
      <c r="A140" s="12">
        <v>46168</v>
      </c>
      <c r="B140" s="13" t="s">
        <v>102</v>
      </c>
      <c r="C140" s="13" t="s">
        <v>99</v>
      </c>
      <c r="D140" s="13" t="s">
        <v>97</v>
      </c>
      <c r="E140" s="14">
        <v>0.65</v>
      </c>
      <c r="F140" s="13" t="s">
        <v>55</v>
      </c>
      <c r="G140" s="15">
        <v>32.725000000000001</v>
      </c>
      <c r="H140" s="16">
        <v>32.369999999999997</v>
      </c>
      <c r="I140" s="16">
        <v>32.39</v>
      </c>
      <c r="J140" s="16">
        <v>31.72</v>
      </c>
      <c r="K140" s="26">
        <f t="shared" si="8"/>
        <v>-1.0847975553858028E-2</v>
      </c>
      <c r="L140" s="26">
        <f t="shared" si="9"/>
        <v>-1.0236822001527909E-2</v>
      </c>
      <c r="M140" s="26">
        <f t="shared" si="10"/>
        <v>-3.0710466004583728E-2</v>
      </c>
      <c r="N140" s="27" t="str">
        <f t="shared" si="11"/>
        <v>YES</v>
      </c>
    </row>
    <row r="141" spans="1:14" ht="15" customHeight="1" x14ac:dyDescent="0.25">
      <c r="A141" s="12">
        <v>46168</v>
      </c>
      <c r="B141" s="13" t="s">
        <v>117</v>
      </c>
      <c r="C141" s="13" t="s">
        <v>113</v>
      </c>
      <c r="D141" s="13" t="s">
        <v>97</v>
      </c>
      <c r="E141" s="14">
        <v>0.42</v>
      </c>
      <c r="F141" s="13" t="s">
        <v>56</v>
      </c>
      <c r="G141" s="15">
        <v>4.93</v>
      </c>
      <c r="H141" s="16">
        <v>4.91</v>
      </c>
      <c r="I141" s="16">
        <v>5.36</v>
      </c>
      <c r="J141" s="16">
        <v>4.6500000000000004</v>
      </c>
      <c r="K141" s="26">
        <f t="shared" si="8"/>
        <v>-4.0567951318457559E-3</v>
      </c>
      <c r="L141" s="26">
        <f t="shared" si="9"/>
        <v>8.7221095334685722E-2</v>
      </c>
      <c r="M141" s="26">
        <f t="shared" si="10"/>
        <v>-5.6795131845841659E-2</v>
      </c>
      <c r="N141" s="27" t="str">
        <f t="shared" si="11"/>
        <v>YES</v>
      </c>
    </row>
    <row r="142" spans="1:14" ht="15" customHeight="1" x14ac:dyDescent="0.25">
      <c r="A142" s="12">
        <v>46168</v>
      </c>
      <c r="B142" s="13" t="s">
        <v>95</v>
      </c>
      <c r="C142" s="13" t="s">
        <v>96</v>
      </c>
      <c r="D142" s="13" t="s">
        <v>97</v>
      </c>
      <c r="E142" s="14">
        <v>0.52</v>
      </c>
      <c r="F142" s="13" t="s">
        <v>55</v>
      </c>
      <c r="G142" s="15">
        <v>118.87</v>
      </c>
      <c r="H142" s="16">
        <v>113.06</v>
      </c>
      <c r="I142" s="16">
        <v>118.88</v>
      </c>
      <c r="J142" s="16">
        <v>119</v>
      </c>
      <c r="K142" s="26">
        <f t="shared" si="8"/>
        <v>-4.8876924371161791E-2</v>
      </c>
      <c r="L142" s="26">
        <f t="shared" si="9"/>
        <v>8.4125515268704506E-5</v>
      </c>
      <c r="M142" s="26">
        <f t="shared" si="10"/>
        <v>1.0936316984941151E-3</v>
      </c>
      <c r="N142" s="27" t="str">
        <f t="shared" si="11"/>
        <v>NO</v>
      </c>
    </row>
    <row r="143" spans="1:14" ht="15" customHeight="1" x14ac:dyDescent="0.25">
      <c r="A143" s="12">
        <v>46168</v>
      </c>
      <c r="B143" s="13" t="s">
        <v>109</v>
      </c>
      <c r="C143" s="13" t="s">
        <v>99</v>
      </c>
      <c r="D143" s="13" t="s">
        <v>97</v>
      </c>
      <c r="E143" s="14">
        <v>0.57999999999999996</v>
      </c>
      <c r="F143" s="13" t="s">
        <v>56</v>
      </c>
      <c r="G143" s="15">
        <v>45.51</v>
      </c>
      <c r="H143" s="16">
        <v>43.9</v>
      </c>
      <c r="I143" s="16">
        <v>43.98</v>
      </c>
      <c r="J143" s="16">
        <v>45.54</v>
      </c>
      <c r="K143" s="26">
        <f t="shared" si="8"/>
        <v>-3.5376840254889026E-2</v>
      </c>
      <c r="L143" s="26">
        <f t="shared" si="9"/>
        <v>-3.3618984838497061E-2</v>
      </c>
      <c r="M143" s="26">
        <f t="shared" si="10"/>
        <v>6.5919578114702565E-4</v>
      </c>
      <c r="N143" s="27" t="str">
        <f t="shared" si="11"/>
        <v>NO</v>
      </c>
    </row>
    <row r="144" spans="1:14" ht="15" customHeight="1" x14ac:dyDescent="0.25">
      <c r="A144" s="12">
        <v>46168</v>
      </c>
      <c r="B144" s="13" t="s">
        <v>118</v>
      </c>
      <c r="C144" s="13" t="s">
        <v>119</v>
      </c>
      <c r="D144" s="13" t="s">
        <v>97</v>
      </c>
      <c r="E144" s="14">
        <v>0.52</v>
      </c>
      <c r="F144" s="13" t="s">
        <v>56</v>
      </c>
      <c r="G144" s="15">
        <v>751.95</v>
      </c>
      <c r="H144" s="16">
        <v>759.57</v>
      </c>
      <c r="I144" s="16">
        <v>737.05</v>
      </c>
      <c r="J144" s="16">
        <v>733.24</v>
      </c>
      <c r="K144" s="26">
        <f t="shared" si="8"/>
        <v>1.0133652503490929E-2</v>
      </c>
      <c r="L144" s="26">
        <f t="shared" si="9"/>
        <v>-1.9815147283729091E-2</v>
      </c>
      <c r="M144" s="26">
        <f t="shared" si="10"/>
        <v>-2.4881973535474479E-2</v>
      </c>
      <c r="N144" s="27" t="str">
        <f t="shared" si="11"/>
        <v>YES</v>
      </c>
    </row>
    <row r="145" spans="1:14" ht="15" customHeight="1" x14ac:dyDescent="0.25">
      <c r="A145" s="12">
        <v>46168</v>
      </c>
      <c r="B145" s="13" t="s">
        <v>120</v>
      </c>
      <c r="C145" s="13" t="s">
        <v>119</v>
      </c>
      <c r="D145" s="13" t="s">
        <v>97</v>
      </c>
      <c r="E145" s="14">
        <v>0.52</v>
      </c>
      <c r="F145" s="13" t="s">
        <v>56</v>
      </c>
      <c r="G145" s="15">
        <v>730.68</v>
      </c>
      <c r="H145" s="16">
        <v>746.16</v>
      </c>
      <c r="I145" s="16">
        <v>707.83</v>
      </c>
      <c r="J145" s="16">
        <v>710.62</v>
      </c>
      <c r="K145" s="26">
        <f t="shared" si="8"/>
        <v>2.1185744785679118E-2</v>
      </c>
      <c r="L145" s="26">
        <f t="shared" si="9"/>
        <v>-3.127223955767218E-2</v>
      </c>
      <c r="M145" s="26">
        <f t="shared" si="10"/>
        <v>-2.7453878578857976E-2</v>
      </c>
      <c r="N145" s="27" t="str">
        <f t="shared" si="11"/>
        <v>YES</v>
      </c>
    </row>
    <row r="146" spans="1:14" ht="15" customHeight="1" x14ac:dyDescent="0.25">
      <c r="A146" s="12">
        <v>46168</v>
      </c>
      <c r="B146" s="13" t="s">
        <v>121</v>
      </c>
      <c r="C146" s="13" t="s">
        <v>119</v>
      </c>
      <c r="D146" s="13" t="s">
        <v>124</v>
      </c>
      <c r="E146" s="14">
        <v>0.68</v>
      </c>
      <c r="F146" s="13" t="s">
        <v>55</v>
      </c>
      <c r="G146" s="15">
        <v>370.15</v>
      </c>
      <c r="H146" s="16">
        <v>374.36</v>
      </c>
      <c r="I146" s="16">
        <v>363.67</v>
      </c>
      <c r="J146" s="16">
        <v>363.65</v>
      </c>
      <c r="K146" s="26">
        <f t="shared" si="8"/>
        <v>1.1373767391598099E-2</v>
      </c>
      <c r="L146" s="26">
        <f t="shared" si="9"/>
        <v>-1.7506416317708932E-2</v>
      </c>
      <c r="M146" s="26">
        <f t="shared" si="10"/>
        <v>-1.7560448466837769E-2</v>
      </c>
      <c r="N146" s="27" t="str">
        <f t="shared" si="11"/>
        <v>YES</v>
      </c>
    </row>
    <row r="147" spans="1:14" ht="15" customHeight="1" x14ac:dyDescent="0.25">
      <c r="A147" s="12">
        <v>46168</v>
      </c>
      <c r="B147" s="13" t="s">
        <v>122</v>
      </c>
      <c r="C147" s="13" t="s">
        <v>119</v>
      </c>
      <c r="D147" s="13" t="s">
        <v>97</v>
      </c>
      <c r="E147" s="14">
        <v>0.52</v>
      </c>
      <c r="F147" s="13" t="s">
        <v>56</v>
      </c>
      <c r="G147" s="15">
        <v>217.05</v>
      </c>
      <c r="H147" s="16">
        <v>222.82</v>
      </c>
      <c r="I147" s="16">
        <v>208.19</v>
      </c>
      <c r="J147" s="16">
        <v>199</v>
      </c>
      <c r="K147" s="26">
        <f t="shared" si="8"/>
        <v>2.658373646625193E-2</v>
      </c>
      <c r="L147" s="26">
        <f t="shared" si="9"/>
        <v>-4.0820087537433832E-2</v>
      </c>
      <c r="M147" s="26">
        <f t="shared" si="10"/>
        <v>-8.3160562082469525E-2</v>
      </c>
      <c r="N147" s="27" t="str">
        <f t="shared" si="11"/>
        <v>YES</v>
      </c>
    </row>
    <row r="148" spans="1:14" ht="15" customHeight="1" x14ac:dyDescent="0.25">
      <c r="A148" s="12">
        <v>46168</v>
      </c>
      <c r="B148" s="13" t="s">
        <v>123</v>
      </c>
      <c r="C148" s="13" t="s">
        <v>119</v>
      </c>
      <c r="D148" s="13" t="s">
        <v>97</v>
      </c>
      <c r="E148" s="14">
        <v>0.52</v>
      </c>
      <c r="F148" s="13" t="s">
        <v>55</v>
      </c>
      <c r="G148" s="15">
        <v>414.98</v>
      </c>
      <c r="H148" s="16">
        <v>411.95</v>
      </c>
      <c r="I148" s="16">
        <v>390.78</v>
      </c>
      <c r="J148" s="16">
        <v>365.92</v>
      </c>
      <c r="K148" s="26">
        <f t="shared" si="8"/>
        <v>-7.3015567015278556E-3</v>
      </c>
      <c r="L148" s="26">
        <f t="shared" si="9"/>
        <v>-5.8316063424743471E-2</v>
      </c>
      <c r="M148" s="26">
        <f t="shared" si="10"/>
        <v>-0.11822256494288881</v>
      </c>
      <c r="N148" s="27" t="str">
        <f t="shared" si="11"/>
        <v>YES</v>
      </c>
    </row>
    <row r="149" spans="1:14" ht="15" customHeight="1" x14ac:dyDescent="0.25">
      <c r="A149" s="12">
        <v>46169</v>
      </c>
      <c r="B149" s="13" t="s">
        <v>103</v>
      </c>
      <c r="C149" s="13" t="s">
        <v>99</v>
      </c>
      <c r="D149" s="13" t="s">
        <v>97</v>
      </c>
      <c r="E149" s="14">
        <v>0.52</v>
      </c>
      <c r="F149" s="13" t="s">
        <v>56</v>
      </c>
      <c r="G149" s="15">
        <v>312.32</v>
      </c>
      <c r="H149" s="16">
        <v>310.26</v>
      </c>
      <c r="I149" s="16">
        <v>291.58</v>
      </c>
      <c r="J149" s="16">
        <v>275.14999999999998</v>
      </c>
      <c r="K149" s="26">
        <f t="shared" si="8"/>
        <v>-6.5957991803278762E-3</v>
      </c>
      <c r="L149" s="26">
        <f t="shared" si="9"/>
        <v>-6.6406250000000028E-2</v>
      </c>
      <c r="M149" s="26">
        <f t="shared" si="10"/>
        <v>-0.11901255122950825</v>
      </c>
      <c r="N149" s="27" t="str">
        <f t="shared" si="11"/>
        <v>YES</v>
      </c>
    </row>
    <row r="150" spans="1:14" ht="15" customHeight="1" x14ac:dyDescent="0.25">
      <c r="A150" s="12">
        <v>46169</v>
      </c>
      <c r="B150" s="13" t="s">
        <v>112</v>
      </c>
      <c r="C150" s="13" t="s">
        <v>113</v>
      </c>
      <c r="D150" s="13" t="s">
        <v>97</v>
      </c>
      <c r="E150" s="14">
        <v>0.42</v>
      </c>
      <c r="F150" s="13" t="s">
        <v>56</v>
      </c>
      <c r="G150" s="15">
        <v>19.7499</v>
      </c>
      <c r="H150" s="16">
        <v>19.77</v>
      </c>
      <c r="I150" s="16">
        <v>15.71</v>
      </c>
      <c r="J150" s="16">
        <v>16.5</v>
      </c>
      <c r="K150" s="26">
        <f t="shared" si="8"/>
        <v>1.017726672033749E-3</v>
      </c>
      <c r="L150" s="26">
        <f t="shared" si="9"/>
        <v>-0.20455293444523767</v>
      </c>
      <c r="M150" s="26">
        <f t="shared" si="10"/>
        <v>-0.16455273191256667</v>
      </c>
      <c r="N150" s="27" t="str">
        <f t="shared" si="11"/>
        <v>YES</v>
      </c>
    </row>
    <row r="151" spans="1:14" ht="15" customHeight="1" x14ac:dyDescent="0.25">
      <c r="A151" s="12">
        <v>46169</v>
      </c>
      <c r="B151" s="13" t="s">
        <v>105</v>
      </c>
      <c r="C151" s="13" t="s">
        <v>96</v>
      </c>
      <c r="D151" s="13" t="s">
        <v>97</v>
      </c>
      <c r="E151" s="14">
        <v>0.62</v>
      </c>
      <c r="F151" s="13" t="s">
        <v>55</v>
      </c>
      <c r="G151" s="15">
        <v>64.98</v>
      </c>
      <c r="H151" s="16">
        <v>69.16</v>
      </c>
      <c r="I151" s="16">
        <v>61.36</v>
      </c>
      <c r="J151" s="16">
        <v>64.180000000000007</v>
      </c>
      <c r="K151" s="26">
        <f t="shared" si="8"/>
        <v>6.4327485380116844E-2</v>
      </c>
      <c r="L151" s="26">
        <f t="shared" si="9"/>
        <v>-5.570944906124968E-2</v>
      </c>
      <c r="M151" s="26">
        <f t="shared" si="10"/>
        <v>-1.2311480455524732E-2</v>
      </c>
      <c r="N151" s="27" t="str">
        <f t="shared" si="11"/>
        <v>NO</v>
      </c>
    </row>
    <row r="152" spans="1:14" ht="15" customHeight="1" x14ac:dyDescent="0.25">
      <c r="A152" s="12">
        <v>46169</v>
      </c>
      <c r="B152" s="13" t="s">
        <v>114</v>
      </c>
      <c r="C152" s="13" t="s">
        <v>113</v>
      </c>
      <c r="D152" s="13" t="s">
        <v>97</v>
      </c>
      <c r="E152" s="14">
        <v>0.42</v>
      </c>
      <c r="F152" s="13" t="s">
        <v>57</v>
      </c>
      <c r="G152" s="15">
        <v>258.39999999999998</v>
      </c>
      <c r="H152" s="16">
        <v>214.94</v>
      </c>
      <c r="I152" s="16">
        <v>237.33</v>
      </c>
      <c r="J152" s="16">
        <v>168.52</v>
      </c>
      <c r="K152" s="26">
        <f t="shared" si="8"/>
        <v>-0.16818885448916401</v>
      </c>
      <c r="L152" s="26">
        <f t="shared" si="9"/>
        <v>-8.1540247678018443E-2</v>
      </c>
      <c r="M152" s="26">
        <f t="shared" si="10"/>
        <v>-0.34783281733746119</v>
      </c>
      <c r="N152" s="27" t="str">
        <f t="shared" si="11"/>
        <v>NO</v>
      </c>
    </row>
    <row r="153" spans="1:14" ht="15" customHeight="1" x14ac:dyDescent="0.25">
      <c r="A153" s="12">
        <v>46169</v>
      </c>
      <c r="B153" s="13" t="s">
        <v>116</v>
      </c>
      <c r="C153" s="13" t="s">
        <v>113</v>
      </c>
      <c r="D153" s="13" t="s">
        <v>97</v>
      </c>
      <c r="E153" s="14">
        <v>0.45</v>
      </c>
      <c r="F153" s="13" t="s">
        <v>56</v>
      </c>
      <c r="G153" s="15">
        <v>18.155000000000001</v>
      </c>
      <c r="H153" s="16">
        <v>17.47</v>
      </c>
      <c r="I153" s="16">
        <v>17.07</v>
      </c>
      <c r="J153" s="16">
        <v>16.95</v>
      </c>
      <c r="K153" s="26">
        <f t="shared" si="8"/>
        <v>-3.7730652712751431E-2</v>
      </c>
      <c r="L153" s="26">
        <f t="shared" si="9"/>
        <v>-5.9763150647204673E-2</v>
      </c>
      <c r="M153" s="26">
        <f t="shared" si="10"/>
        <v>-6.6372900027540718E-2</v>
      </c>
      <c r="N153" s="27" t="str">
        <f t="shared" si="11"/>
        <v>NO</v>
      </c>
    </row>
    <row r="154" spans="1:14" ht="15" customHeight="1" x14ac:dyDescent="0.25">
      <c r="A154" s="12">
        <v>46169</v>
      </c>
      <c r="B154" s="13" t="s">
        <v>104</v>
      </c>
      <c r="C154" s="13" t="s">
        <v>96</v>
      </c>
      <c r="D154" s="13" t="s">
        <v>97</v>
      </c>
      <c r="E154" s="14">
        <v>0.42</v>
      </c>
      <c r="F154" s="13" t="s">
        <v>56</v>
      </c>
      <c r="G154" s="15">
        <v>34.640099999999997</v>
      </c>
      <c r="H154" s="16">
        <v>35.4</v>
      </c>
      <c r="I154" s="16">
        <v>34.24</v>
      </c>
      <c r="J154" s="16">
        <v>29.31</v>
      </c>
      <c r="K154" s="26">
        <f t="shared" si="8"/>
        <v>2.1937003646063432E-2</v>
      </c>
      <c r="L154" s="26">
        <f t="shared" si="9"/>
        <v>-1.1550197603355499E-2</v>
      </c>
      <c r="M154" s="26">
        <f t="shared" si="10"/>
        <v>-0.15387080291338648</v>
      </c>
      <c r="N154" s="27" t="str">
        <f t="shared" si="11"/>
        <v>YES</v>
      </c>
    </row>
    <row r="155" spans="1:14" ht="15" customHeight="1" x14ac:dyDescent="0.25">
      <c r="A155" s="12">
        <v>46169</v>
      </c>
      <c r="B155" s="13" t="s">
        <v>111</v>
      </c>
      <c r="C155" s="13" t="s">
        <v>113</v>
      </c>
      <c r="D155" s="13" t="s">
        <v>97</v>
      </c>
      <c r="E155" s="14">
        <v>0.52</v>
      </c>
      <c r="F155" s="13" t="s">
        <v>56</v>
      </c>
      <c r="G155" s="15">
        <v>66.099999999999994</v>
      </c>
      <c r="H155" s="16">
        <v>67.94</v>
      </c>
      <c r="I155" s="16">
        <v>69.95</v>
      </c>
      <c r="J155" s="16">
        <v>67.03</v>
      </c>
      <c r="K155" s="26">
        <f t="shared" si="8"/>
        <v>2.7836611195158904E-2</v>
      </c>
      <c r="L155" s="26">
        <f t="shared" si="9"/>
        <v>5.8245083207261857E-2</v>
      </c>
      <c r="M155" s="26">
        <f t="shared" si="10"/>
        <v>1.4069591527988002E-2</v>
      </c>
      <c r="N155" s="27" t="str">
        <f t="shared" si="11"/>
        <v>YES</v>
      </c>
    </row>
    <row r="156" spans="1:14" ht="15" customHeight="1" x14ac:dyDescent="0.25">
      <c r="A156" s="12">
        <v>46169</v>
      </c>
      <c r="B156" s="13" t="s">
        <v>107</v>
      </c>
      <c r="C156" s="13" t="s">
        <v>96</v>
      </c>
      <c r="D156" s="13" t="s">
        <v>97</v>
      </c>
      <c r="E156" s="14">
        <v>0.62</v>
      </c>
      <c r="F156" s="13" t="s">
        <v>55</v>
      </c>
      <c r="G156" s="15">
        <v>83.55</v>
      </c>
      <c r="H156" s="16">
        <v>81.7</v>
      </c>
      <c r="I156" s="16">
        <v>79.400000000000006</v>
      </c>
      <c r="J156" s="16">
        <v>78.53</v>
      </c>
      <c r="K156" s="26">
        <f t="shared" si="8"/>
        <v>-2.214242968282459E-2</v>
      </c>
      <c r="L156" s="26">
        <f t="shared" si="9"/>
        <v>-4.9670855774984937E-2</v>
      </c>
      <c r="M156" s="26">
        <f t="shared" si="10"/>
        <v>-6.0083782166367401E-2</v>
      </c>
      <c r="N156" s="27" t="str">
        <f t="shared" si="11"/>
        <v>YES</v>
      </c>
    </row>
    <row r="157" spans="1:14" ht="15" customHeight="1" x14ac:dyDescent="0.25">
      <c r="A157" s="12">
        <v>46169</v>
      </c>
      <c r="B157" s="13" t="s">
        <v>106</v>
      </c>
      <c r="C157" s="13" t="s">
        <v>99</v>
      </c>
      <c r="D157" s="13" t="s">
        <v>97</v>
      </c>
      <c r="E157" s="14">
        <v>0.55000000000000004</v>
      </c>
      <c r="F157" s="13" t="s">
        <v>55</v>
      </c>
      <c r="G157" s="15">
        <v>302.38499999999999</v>
      </c>
      <c r="H157" s="16">
        <v>300.85000000000002</v>
      </c>
      <c r="I157" s="16">
        <v>309.14</v>
      </c>
      <c r="J157" s="16">
        <v>335.12</v>
      </c>
      <c r="K157" s="26">
        <f t="shared" si="8"/>
        <v>-5.0763100021494721E-3</v>
      </c>
      <c r="L157" s="26">
        <f t="shared" si="9"/>
        <v>2.2339071051804806E-2</v>
      </c>
      <c r="M157" s="26">
        <f t="shared" si="10"/>
        <v>0.10825603121847981</v>
      </c>
      <c r="N157" s="27" t="str">
        <f t="shared" si="11"/>
        <v>YES</v>
      </c>
    </row>
    <row r="158" spans="1:14" ht="15" customHeight="1" x14ac:dyDescent="0.25">
      <c r="A158" s="12">
        <v>46169</v>
      </c>
      <c r="B158" s="13" t="s">
        <v>100</v>
      </c>
      <c r="C158" s="13" t="s">
        <v>96</v>
      </c>
      <c r="D158" s="13" t="s">
        <v>97</v>
      </c>
      <c r="E158" s="14">
        <v>0.55000000000000004</v>
      </c>
      <c r="F158" s="13" t="s">
        <v>56</v>
      </c>
      <c r="G158" s="15">
        <v>414.33</v>
      </c>
      <c r="H158" s="16">
        <v>427.34</v>
      </c>
      <c r="I158" s="16">
        <v>397.36</v>
      </c>
      <c r="J158" s="16">
        <v>352.83</v>
      </c>
      <c r="K158" s="26">
        <f t="shared" si="8"/>
        <v>3.1400091714333965E-2</v>
      </c>
      <c r="L158" s="26">
        <f t="shared" si="9"/>
        <v>-4.0957690729611591E-2</v>
      </c>
      <c r="M158" s="26">
        <f t="shared" si="10"/>
        <v>-0.14843240894938817</v>
      </c>
      <c r="N158" s="27" t="str">
        <f t="shared" si="11"/>
        <v>NO</v>
      </c>
    </row>
    <row r="159" spans="1:14" ht="15" customHeight="1" x14ac:dyDescent="0.25">
      <c r="A159" s="12">
        <v>46169</v>
      </c>
      <c r="B159" s="13" t="s">
        <v>101</v>
      </c>
      <c r="C159" s="13" t="s">
        <v>99</v>
      </c>
      <c r="D159" s="13" t="s">
        <v>97</v>
      </c>
      <c r="E159" s="14">
        <v>0.52</v>
      </c>
      <c r="F159" s="13" t="s">
        <v>56</v>
      </c>
      <c r="G159" s="15">
        <v>46.13</v>
      </c>
      <c r="H159" s="16">
        <v>43.81</v>
      </c>
      <c r="I159" s="16">
        <v>43.96</v>
      </c>
      <c r="J159" s="16">
        <v>40.9</v>
      </c>
      <c r="K159" s="26">
        <f t="shared" si="8"/>
        <v>-5.0292651203121617E-2</v>
      </c>
      <c r="L159" s="26">
        <f t="shared" si="9"/>
        <v>-4.7040971168437057E-2</v>
      </c>
      <c r="M159" s="26">
        <f t="shared" si="10"/>
        <v>-0.11337524387600269</v>
      </c>
      <c r="N159" s="27" t="str">
        <f t="shared" si="11"/>
        <v>NO</v>
      </c>
    </row>
    <row r="160" spans="1:14" ht="15" customHeight="1" x14ac:dyDescent="0.25">
      <c r="A160" s="12">
        <v>46169</v>
      </c>
      <c r="B160" s="13" t="s">
        <v>98</v>
      </c>
      <c r="C160" s="13" t="s">
        <v>96</v>
      </c>
      <c r="D160" s="13" t="s">
        <v>97</v>
      </c>
      <c r="E160" s="14">
        <v>0.52</v>
      </c>
      <c r="F160" s="13" t="s">
        <v>56</v>
      </c>
      <c r="G160" s="15">
        <v>68.724999999999994</v>
      </c>
      <c r="H160" s="16">
        <v>68.81</v>
      </c>
      <c r="I160" s="16">
        <v>65.03</v>
      </c>
      <c r="J160" s="16">
        <v>60.96</v>
      </c>
      <c r="K160" s="26">
        <f t="shared" si="8"/>
        <v>1.2368133866861835E-3</v>
      </c>
      <c r="L160" s="26">
        <f t="shared" si="9"/>
        <v>-5.3765005456529555E-2</v>
      </c>
      <c r="M160" s="26">
        <f t="shared" si="10"/>
        <v>-0.11298654056020363</v>
      </c>
      <c r="N160" s="27" t="str">
        <f t="shared" si="11"/>
        <v>YES</v>
      </c>
    </row>
    <row r="161" spans="1:14" ht="15" customHeight="1" x14ac:dyDescent="0.25">
      <c r="A161" s="12">
        <v>46169</v>
      </c>
      <c r="B161" s="13" t="s">
        <v>110</v>
      </c>
      <c r="C161" s="13" t="s">
        <v>99</v>
      </c>
      <c r="D161" s="13" t="s">
        <v>97</v>
      </c>
      <c r="E161" s="14">
        <v>0.62</v>
      </c>
      <c r="F161" s="13" t="s">
        <v>56</v>
      </c>
      <c r="G161" s="15">
        <v>181.32</v>
      </c>
      <c r="H161" s="16">
        <v>175.94</v>
      </c>
      <c r="I161" s="16">
        <v>182.95</v>
      </c>
      <c r="J161" s="16">
        <v>178.93</v>
      </c>
      <c r="K161" s="26">
        <f t="shared" si="8"/>
        <v>-2.9671299360247053E-2</v>
      </c>
      <c r="L161" s="26">
        <f t="shared" si="9"/>
        <v>8.9896315905581038E-3</v>
      </c>
      <c r="M161" s="26">
        <f t="shared" si="10"/>
        <v>-1.3181116258548347E-2</v>
      </c>
      <c r="N161" s="27" t="str">
        <f t="shared" si="11"/>
        <v>YES</v>
      </c>
    </row>
    <row r="162" spans="1:14" ht="15" customHeight="1" x14ac:dyDescent="0.25">
      <c r="A162" s="12">
        <v>46169</v>
      </c>
      <c r="B162" s="13" t="s">
        <v>108</v>
      </c>
      <c r="C162" s="13" t="s">
        <v>99</v>
      </c>
      <c r="D162" s="13" t="s">
        <v>97</v>
      </c>
      <c r="E162" s="14">
        <v>0.55000000000000004</v>
      </c>
      <c r="F162" s="13" t="s">
        <v>56</v>
      </c>
      <c r="G162" s="15">
        <v>731.89</v>
      </c>
      <c r="H162" s="16">
        <v>715.67</v>
      </c>
      <c r="I162" s="16">
        <v>650.91999999999996</v>
      </c>
      <c r="J162" s="16">
        <v>718.59</v>
      </c>
      <c r="K162" s="26">
        <f t="shared" si="8"/>
        <v>-2.2161800270532495E-2</v>
      </c>
      <c r="L162" s="26">
        <f t="shared" si="9"/>
        <v>-0.11063137903236829</v>
      </c>
      <c r="M162" s="26">
        <f t="shared" si="10"/>
        <v>-1.8172129691620263E-2</v>
      </c>
      <c r="N162" s="27" t="str">
        <f t="shared" si="11"/>
        <v>YES</v>
      </c>
    </row>
    <row r="163" spans="1:14" ht="15" customHeight="1" x14ac:dyDescent="0.25">
      <c r="A163" s="12">
        <v>46169</v>
      </c>
      <c r="B163" s="13" t="s">
        <v>115</v>
      </c>
      <c r="C163" s="13" t="s">
        <v>113</v>
      </c>
      <c r="D163" s="13" t="s">
        <v>97</v>
      </c>
      <c r="E163" s="14">
        <v>0.52</v>
      </c>
      <c r="F163" s="13" t="s">
        <v>56</v>
      </c>
      <c r="G163" s="15">
        <v>175.91</v>
      </c>
      <c r="H163" s="16">
        <v>172.55</v>
      </c>
      <c r="I163" s="16">
        <v>177.41</v>
      </c>
      <c r="J163" s="16">
        <v>186.59</v>
      </c>
      <c r="K163" s="26">
        <f t="shared" si="8"/>
        <v>-1.9100676482291998E-2</v>
      </c>
      <c r="L163" s="26">
        <f t="shared" si="9"/>
        <v>8.5270877153089657E-3</v>
      </c>
      <c r="M163" s="26">
        <f t="shared" si="10"/>
        <v>6.0712864532999872E-2</v>
      </c>
      <c r="N163" s="27" t="str">
        <f t="shared" si="11"/>
        <v>YES</v>
      </c>
    </row>
    <row r="164" spans="1:14" ht="15" customHeight="1" x14ac:dyDescent="0.25">
      <c r="A164" s="12">
        <v>46169</v>
      </c>
      <c r="B164" s="13" t="s">
        <v>102</v>
      </c>
      <c r="C164" s="13" t="s">
        <v>99</v>
      </c>
      <c r="D164" s="13" t="s">
        <v>97</v>
      </c>
      <c r="E164" s="14">
        <v>0.65</v>
      </c>
      <c r="F164" s="13" t="s">
        <v>55</v>
      </c>
      <c r="G164" s="15">
        <v>32.604999999999997</v>
      </c>
      <c r="H164" s="16">
        <v>32.369999999999997</v>
      </c>
      <c r="I164" s="16">
        <v>32.26</v>
      </c>
      <c r="J164" s="16">
        <v>31.96</v>
      </c>
      <c r="K164" s="26">
        <f t="shared" si="8"/>
        <v>-7.207483514798327E-3</v>
      </c>
      <c r="L164" s="26">
        <f t="shared" si="9"/>
        <v>-1.0581199202576257E-2</v>
      </c>
      <c r="M164" s="26">
        <f t="shared" si="10"/>
        <v>-1.978224198742512E-2</v>
      </c>
      <c r="N164" s="27" t="str">
        <f t="shared" si="11"/>
        <v>YES</v>
      </c>
    </row>
    <row r="165" spans="1:14" ht="15" customHeight="1" x14ac:dyDescent="0.25">
      <c r="A165" s="12">
        <v>46169</v>
      </c>
      <c r="B165" s="13" t="s">
        <v>117</v>
      </c>
      <c r="C165" s="13" t="s">
        <v>113</v>
      </c>
      <c r="D165" s="13" t="s">
        <v>97</v>
      </c>
      <c r="E165" s="14">
        <v>0.42</v>
      </c>
      <c r="F165" s="13" t="s">
        <v>56</v>
      </c>
      <c r="G165" s="15">
        <v>4.97</v>
      </c>
      <c r="H165" s="16">
        <v>5.0999999999999996</v>
      </c>
      <c r="I165" s="16">
        <v>5.31</v>
      </c>
      <c r="J165" s="16">
        <v>4.7</v>
      </c>
      <c r="K165" s="26">
        <f t="shared" si="8"/>
        <v>2.6156941649899377E-2</v>
      </c>
      <c r="L165" s="26">
        <f t="shared" si="9"/>
        <v>6.8410462776659936E-2</v>
      </c>
      <c r="M165" s="26">
        <f t="shared" si="10"/>
        <v>-5.4325955734406357E-2</v>
      </c>
      <c r="N165" s="27" t="str">
        <f t="shared" si="11"/>
        <v>YES</v>
      </c>
    </row>
    <row r="166" spans="1:14" ht="15" customHeight="1" x14ac:dyDescent="0.25">
      <c r="A166" s="12">
        <v>46169</v>
      </c>
      <c r="B166" s="13" t="s">
        <v>95</v>
      </c>
      <c r="C166" s="13" t="s">
        <v>96</v>
      </c>
      <c r="D166" s="13" t="s">
        <v>97</v>
      </c>
      <c r="E166" s="14">
        <v>0.55000000000000004</v>
      </c>
      <c r="F166" s="13" t="s">
        <v>55</v>
      </c>
      <c r="G166" s="15">
        <v>118.24</v>
      </c>
      <c r="H166" s="16">
        <v>116.89</v>
      </c>
      <c r="I166" s="16">
        <v>120.59</v>
      </c>
      <c r="J166" s="16">
        <v>115.78</v>
      </c>
      <c r="K166" s="26">
        <f t="shared" si="8"/>
        <v>-1.1417456021650832E-2</v>
      </c>
      <c r="L166" s="26">
        <f t="shared" si="9"/>
        <v>1.9874830852503456E-2</v>
      </c>
      <c r="M166" s="26">
        <f t="shared" si="10"/>
        <v>-2.0805142083897107E-2</v>
      </c>
      <c r="N166" s="27" t="str">
        <f t="shared" si="11"/>
        <v>YES</v>
      </c>
    </row>
    <row r="167" spans="1:14" ht="15" customHeight="1" x14ac:dyDescent="0.25">
      <c r="A167" s="12">
        <v>46169</v>
      </c>
      <c r="B167" s="13" t="s">
        <v>109</v>
      </c>
      <c r="C167" s="13" t="s">
        <v>99</v>
      </c>
      <c r="D167" s="13" t="s">
        <v>97</v>
      </c>
      <c r="E167" s="14">
        <v>0.55000000000000004</v>
      </c>
      <c r="F167" s="13" t="s">
        <v>56</v>
      </c>
      <c r="G167" s="15">
        <v>45.034999999999997</v>
      </c>
      <c r="H167" s="16">
        <v>43.71</v>
      </c>
      <c r="I167" s="16">
        <v>44</v>
      </c>
      <c r="J167" s="16">
        <v>45.85</v>
      </c>
      <c r="K167" s="26">
        <f t="shared" si="8"/>
        <v>-2.9421561008104714E-2</v>
      </c>
      <c r="L167" s="26">
        <f t="shared" si="9"/>
        <v>-2.2982125013878019E-2</v>
      </c>
      <c r="M167" s="26">
        <f t="shared" si="10"/>
        <v>1.8097035638947594E-2</v>
      </c>
      <c r="N167" s="27" t="str">
        <f t="shared" si="11"/>
        <v>YES</v>
      </c>
    </row>
    <row r="168" spans="1:14" ht="15" customHeight="1" x14ac:dyDescent="0.25">
      <c r="A168" s="12">
        <v>46169</v>
      </c>
      <c r="B168" s="13" t="s">
        <v>118</v>
      </c>
      <c r="C168" s="13" t="s">
        <v>119</v>
      </c>
      <c r="D168" s="13" t="s">
        <v>97</v>
      </c>
      <c r="E168" s="14">
        <v>0.52</v>
      </c>
      <c r="F168" s="13" t="s">
        <v>55</v>
      </c>
      <c r="G168" s="15">
        <v>750.16</v>
      </c>
      <c r="H168" s="16">
        <v>754.24</v>
      </c>
      <c r="I168" s="16">
        <v>725.43</v>
      </c>
      <c r="J168" s="16">
        <v>734.3</v>
      </c>
      <c r="K168" s="26">
        <f t="shared" si="8"/>
        <v>5.4388397141943599E-3</v>
      </c>
      <c r="L168" s="26">
        <f t="shared" si="9"/>
        <v>-3.2966300522555211E-2</v>
      </c>
      <c r="M168" s="26">
        <f t="shared" si="10"/>
        <v>-2.1142156339980823E-2</v>
      </c>
      <c r="N168" s="27" t="str">
        <f t="shared" si="11"/>
        <v>YES</v>
      </c>
    </row>
    <row r="169" spans="1:14" ht="15" customHeight="1" x14ac:dyDescent="0.25">
      <c r="A169" s="12">
        <v>46169</v>
      </c>
      <c r="B169" s="13" t="s">
        <v>120</v>
      </c>
      <c r="C169" s="13" t="s">
        <v>119</v>
      </c>
      <c r="D169" s="13" t="s">
        <v>97</v>
      </c>
      <c r="E169" s="14">
        <v>0.52</v>
      </c>
      <c r="F169" s="13" t="s">
        <v>55</v>
      </c>
      <c r="G169" s="15">
        <v>728.2</v>
      </c>
      <c r="H169" s="16">
        <v>744.21</v>
      </c>
      <c r="I169" s="16">
        <v>693.69</v>
      </c>
      <c r="J169" s="16">
        <v>716.38</v>
      </c>
      <c r="K169" s="26">
        <f t="shared" si="8"/>
        <v>2.1985718209283151E-2</v>
      </c>
      <c r="L169" s="26">
        <f t="shared" si="9"/>
        <v>-4.7390826695962632E-2</v>
      </c>
      <c r="M169" s="26">
        <f t="shared" si="10"/>
        <v>-1.6231804449327175E-2</v>
      </c>
      <c r="N169" s="27" t="str">
        <f t="shared" si="11"/>
        <v>YES</v>
      </c>
    </row>
    <row r="170" spans="1:14" ht="15" customHeight="1" x14ac:dyDescent="0.25">
      <c r="A170" s="12">
        <v>46169</v>
      </c>
      <c r="B170" s="13" t="s">
        <v>121</v>
      </c>
      <c r="C170" s="13" t="s">
        <v>119</v>
      </c>
      <c r="D170" s="13" t="s">
        <v>97</v>
      </c>
      <c r="E170" s="14">
        <v>0.52</v>
      </c>
      <c r="F170" s="13" t="s">
        <v>55</v>
      </c>
      <c r="G170" s="15">
        <v>369.375</v>
      </c>
      <c r="H170" s="16">
        <v>371.65</v>
      </c>
      <c r="I170" s="16">
        <v>358.04</v>
      </c>
      <c r="J170" s="16">
        <v>363.98</v>
      </c>
      <c r="K170" s="26">
        <f t="shared" si="8"/>
        <v>6.1590524534686358E-3</v>
      </c>
      <c r="L170" s="26">
        <f t="shared" si="9"/>
        <v>-3.0686971235194531E-2</v>
      </c>
      <c r="M170" s="26">
        <f t="shared" si="10"/>
        <v>-1.460575296108286E-2</v>
      </c>
      <c r="N170" s="27" t="str">
        <f t="shared" si="11"/>
        <v>YES</v>
      </c>
    </row>
    <row r="171" spans="1:14" ht="15" customHeight="1" x14ac:dyDescent="0.25">
      <c r="A171" s="12">
        <v>46169</v>
      </c>
      <c r="B171" s="13" t="s">
        <v>122</v>
      </c>
      <c r="C171" s="13" t="s">
        <v>119</v>
      </c>
      <c r="D171" s="13" t="s">
        <v>124</v>
      </c>
      <c r="E171" s="14">
        <v>0.63</v>
      </c>
      <c r="F171" s="13" t="s">
        <v>56</v>
      </c>
      <c r="G171" s="15">
        <v>209.84</v>
      </c>
      <c r="H171" s="16">
        <v>214.75</v>
      </c>
      <c r="I171" s="16">
        <v>200.42</v>
      </c>
      <c r="J171" s="16">
        <v>195.74</v>
      </c>
      <c r="K171" s="26">
        <f t="shared" si="8"/>
        <v>2.3398780022874554E-2</v>
      </c>
      <c r="L171" s="26">
        <f t="shared" si="9"/>
        <v>-4.4891345787266564E-2</v>
      </c>
      <c r="M171" s="26">
        <f t="shared" si="10"/>
        <v>-6.7194052611513511E-2</v>
      </c>
      <c r="N171" s="27" t="str">
        <f t="shared" si="11"/>
        <v>YES</v>
      </c>
    </row>
    <row r="172" spans="1:14" ht="15" customHeight="1" x14ac:dyDescent="0.25">
      <c r="A172" s="12">
        <v>46169</v>
      </c>
      <c r="B172" s="13" t="s">
        <v>123</v>
      </c>
      <c r="C172" s="13" t="s">
        <v>119</v>
      </c>
      <c r="D172" s="13" t="s">
        <v>97</v>
      </c>
      <c r="E172" s="14">
        <v>0.48</v>
      </c>
      <c r="F172" s="13" t="s">
        <v>56</v>
      </c>
      <c r="G172" s="15">
        <v>407.14</v>
      </c>
      <c r="H172" s="16">
        <v>407.87</v>
      </c>
      <c r="I172" s="16">
        <v>374.58</v>
      </c>
      <c r="J172" s="16">
        <v>368.46</v>
      </c>
      <c r="K172" s="26">
        <f t="shared" si="8"/>
        <v>1.7929950385617188E-3</v>
      </c>
      <c r="L172" s="26">
        <f t="shared" si="9"/>
        <v>-7.9972491035024809E-2</v>
      </c>
      <c r="M172" s="26">
        <f t="shared" si="10"/>
        <v>-9.5004175467898036E-2</v>
      </c>
      <c r="N172" s="27" t="str">
        <f t="shared" si="11"/>
        <v>YES</v>
      </c>
    </row>
    <row r="173" spans="1:14" ht="15" customHeight="1" x14ac:dyDescent="0.25">
      <c r="A173" s="12">
        <v>46170</v>
      </c>
      <c r="B173" s="13" t="s">
        <v>103</v>
      </c>
      <c r="C173" s="13" t="s">
        <v>99</v>
      </c>
      <c r="D173" s="13" t="s">
        <v>97</v>
      </c>
      <c r="E173" s="14">
        <v>0.57999999999999996</v>
      </c>
      <c r="F173" s="13" t="s">
        <v>55</v>
      </c>
      <c r="G173" s="15">
        <v>311.27</v>
      </c>
      <c r="H173" s="16">
        <v>311.23</v>
      </c>
      <c r="I173" s="16">
        <v>295.63</v>
      </c>
      <c r="J173" s="16">
        <v>283.77999999999997</v>
      </c>
      <c r="K173" s="26">
        <f t="shared" si="8"/>
        <v>-1.2850579882405508E-4</v>
      </c>
      <c r="L173" s="26">
        <f t="shared" si="9"/>
        <v>-5.0245767340251185E-2</v>
      </c>
      <c r="M173" s="26">
        <f t="shared" si="10"/>
        <v>-8.8315610241912201E-2</v>
      </c>
      <c r="N173" s="27" t="str">
        <f t="shared" si="11"/>
        <v>YES</v>
      </c>
    </row>
    <row r="174" spans="1:14" ht="15" customHeight="1" x14ac:dyDescent="0.25">
      <c r="A174" s="12">
        <v>46170</v>
      </c>
      <c r="B174" s="13" t="s">
        <v>112</v>
      </c>
      <c r="C174" s="13" t="s">
        <v>113</v>
      </c>
      <c r="D174" s="13" t="s">
        <v>97</v>
      </c>
      <c r="E174" s="14">
        <v>0.42</v>
      </c>
      <c r="F174" s="13" t="s">
        <v>56</v>
      </c>
      <c r="G174" s="15">
        <v>19.95</v>
      </c>
      <c r="H174" s="16">
        <v>19.77</v>
      </c>
      <c r="I174" s="16">
        <v>16.920000000000002</v>
      </c>
      <c r="J174" s="16">
        <v>19.89</v>
      </c>
      <c r="K174" s="26">
        <f t="shared" si="8"/>
        <v>-9.0225563909774303E-3</v>
      </c>
      <c r="L174" s="26">
        <f t="shared" si="9"/>
        <v>-0.1518796992481202</v>
      </c>
      <c r="M174" s="26">
        <f t="shared" si="10"/>
        <v>-3.0075187969924172E-3</v>
      </c>
      <c r="N174" s="27" t="str">
        <f t="shared" si="11"/>
        <v>YES</v>
      </c>
    </row>
    <row r="175" spans="1:14" ht="15" customHeight="1" x14ac:dyDescent="0.25">
      <c r="A175" s="12">
        <v>46170</v>
      </c>
      <c r="B175" s="13" t="s">
        <v>105</v>
      </c>
      <c r="C175" s="13" t="s">
        <v>96</v>
      </c>
      <c r="D175" s="13" t="s">
        <v>97</v>
      </c>
      <c r="E175" s="14">
        <v>0.55000000000000004</v>
      </c>
      <c r="F175" s="13" t="s">
        <v>56</v>
      </c>
      <c r="G175" s="15">
        <v>65.599999999999994</v>
      </c>
      <c r="H175" s="16">
        <v>68.069999999999993</v>
      </c>
      <c r="I175" s="16">
        <v>63.95</v>
      </c>
      <c r="J175" s="16">
        <v>63.15</v>
      </c>
      <c r="K175" s="26">
        <f t="shared" si="8"/>
        <v>3.7652439024390229E-2</v>
      </c>
      <c r="L175" s="26">
        <f t="shared" si="9"/>
        <v>-2.5152439024390117E-2</v>
      </c>
      <c r="M175" s="26">
        <f t="shared" si="10"/>
        <v>-3.7347560975609692E-2</v>
      </c>
      <c r="N175" s="27" t="str">
        <f t="shared" si="11"/>
        <v>NO</v>
      </c>
    </row>
    <row r="176" spans="1:14" ht="15" customHeight="1" x14ac:dyDescent="0.25">
      <c r="A176" s="12">
        <v>46170</v>
      </c>
      <c r="B176" s="13" t="s">
        <v>114</v>
      </c>
      <c r="C176" s="13" t="s">
        <v>113</v>
      </c>
      <c r="D176" s="13" t="s">
        <v>97</v>
      </c>
      <c r="E176" s="14">
        <v>0.42</v>
      </c>
      <c r="F176" s="13" t="s">
        <v>56</v>
      </c>
      <c r="G176" s="15">
        <v>260.42500000000001</v>
      </c>
      <c r="H176" s="16">
        <v>215.4</v>
      </c>
      <c r="I176" s="16">
        <v>226.55</v>
      </c>
      <c r="J176" s="16">
        <v>181.59</v>
      </c>
      <c r="K176" s="26">
        <f t="shared" si="8"/>
        <v>-0.17289046750503986</v>
      </c>
      <c r="L176" s="26">
        <f t="shared" si="9"/>
        <v>-0.13007583757319766</v>
      </c>
      <c r="M176" s="26">
        <f t="shared" si="10"/>
        <v>-0.30271671306518194</v>
      </c>
      <c r="N176" s="27" t="str">
        <f t="shared" si="11"/>
        <v>NO</v>
      </c>
    </row>
    <row r="177" spans="1:14" ht="15" customHeight="1" x14ac:dyDescent="0.25">
      <c r="A177" s="12">
        <v>46170</v>
      </c>
      <c r="B177" s="13" t="s">
        <v>116</v>
      </c>
      <c r="C177" s="13" t="s">
        <v>113</v>
      </c>
      <c r="D177" s="13" t="s">
        <v>97</v>
      </c>
      <c r="E177" s="14">
        <v>0.45</v>
      </c>
      <c r="F177" s="13" t="s">
        <v>56</v>
      </c>
      <c r="G177" s="15">
        <v>18.099900000000002</v>
      </c>
      <c r="H177" s="16">
        <v>17.23</v>
      </c>
      <c r="I177" s="16">
        <v>16.72</v>
      </c>
      <c r="J177" s="16">
        <v>16.86</v>
      </c>
      <c r="K177" s="26">
        <f t="shared" si="8"/>
        <v>-4.8061039011265322E-2</v>
      </c>
      <c r="L177" s="26">
        <f t="shared" si="9"/>
        <v>-7.6237990265139735E-2</v>
      </c>
      <c r="M177" s="26">
        <f t="shared" si="10"/>
        <v>-6.8503140901331069E-2</v>
      </c>
      <c r="N177" s="27" t="str">
        <f t="shared" si="11"/>
        <v>NO</v>
      </c>
    </row>
    <row r="178" spans="1:14" ht="15" customHeight="1" x14ac:dyDescent="0.25">
      <c r="A178" s="12">
        <v>46170</v>
      </c>
      <c r="B178" s="13" t="s">
        <v>104</v>
      </c>
      <c r="C178" s="13" t="s">
        <v>96</v>
      </c>
      <c r="D178" s="13" t="s">
        <v>97</v>
      </c>
      <c r="E178" s="14">
        <v>0.42</v>
      </c>
      <c r="F178" s="13" t="s">
        <v>55</v>
      </c>
      <c r="G178" s="15">
        <v>34.82</v>
      </c>
      <c r="H178" s="16">
        <v>34.79</v>
      </c>
      <c r="I178" s="16">
        <v>33.630000000000003</v>
      </c>
      <c r="J178" s="16">
        <v>29.04</v>
      </c>
      <c r="K178" s="26">
        <f t="shared" si="8"/>
        <v>-8.615738081562647E-4</v>
      </c>
      <c r="L178" s="26">
        <f t="shared" si="9"/>
        <v>-3.4175761056863804E-2</v>
      </c>
      <c r="M178" s="26">
        <f t="shared" si="10"/>
        <v>-0.1659965537047674</v>
      </c>
      <c r="N178" s="27" t="str">
        <f t="shared" si="11"/>
        <v>YES</v>
      </c>
    </row>
    <row r="179" spans="1:14" ht="15" customHeight="1" x14ac:dyDescent="0.25">
      <c r="A179" s="12">
        <v>46170</v>
      </c>
      <c r="B179" s="13" t="s">
        <v>111</v>
      </c>
      <c r="C179" s="13" t="s">
        <v>113</v>
      </c>
      <c r="D179" s="13" t="s">
        <v>97</v>
      </c>
      <c r="E179" s="14">
        <v>0.52</v>
      </c>
      <c r="F179" s="13" t="s">
        <v>56</v>
      </c>
      <c r="G179" s="15">
        <v>67.27</v>
      </c>
      <c r="H179" s="16">
        <v>69.010000000000005</v>
      </c>
      <c r="I179" s="16">
        <v>70.599999999999994</v>
      </c>
      <c r="J179" s="16">
        <v>64.44</v>
      </c>
      <c r="K179" s="26">
        <f t="shared" si="8"/>
        <v>2.5865913482979175E-2</v>
      </c>
      <c r="L179" s="26">
        <f t="shared" si="9"/>
        <v>4.9502006838115037E-2</v>
      </c>
      <c r="M179" s="26">
        <f t="shared" si="10"/>
        <v>-4.2069273078638302E-2</v>
      </c>
      <c r="N179" s="27" t="str">
        <f t="shared" si="11"/>
        <v>YES</v>
      </c>
    </row>
    <row r="180" spans="1:14" ht="15" customHeight="1" x14ac:dyDescent="0.25">
      <c r="A180" s="12">
        <v>46170</v>
      </c>
      <c r="B180" s="13" t="s">
        <v>107</v>
      </c>
      <c r="C180" s="13" t="s">
        <v>96</v>
      </c>
      <c r="D180" s="13" t="s">
        <v>97</v>
      </c>
      <c r="E180" s="14">
        <v>0.57999999999999996</v>
      </c>
      <c r="F180" s="13" t="s">
        <v>56</v>
      </c>
      <c r="G180" s="15">
        <v>84.74</v>
      </c>
      <c r="H180" s="16">
        <v>83.22</v>
      </c>
      <c r="I180" s="16">
        <v>80.849999999999994</v>
      </c>
      <c r="J180" s="16">
        <v>78.099999999999994</v>
      </c>
      <c r="K180" s="26">
        <f t="shared" si="8"/>
        <v>-1.7937219730941659E-2</v>
      </c>
      <c r="L180" s="26">
        <f t="shared" si="9"/>
        <v>-4.5905121548265294E-2</v>
      </c>
      <c r="M180" s="26">
        <f t="shared" si="10"/>
        <v>-7.83573282983243E-2</v>
      </c>
      <c r="N180" s="27" t="str">
        <f t="shared" si="11"/>
        <v>YES</v>
      </c>
    </row>
    <row r="181" spans="1:14" ht="15" customHeight="1" x14ac:dyDescent="0.25">
      <c r="A181" s="12">
        <v>46170</v>
      </c>
      <c r="B181" s="13" t="s">
        <v>106</v>
      </c>
      <c r="C181" s="13" t="s">
        <v>99</v>
      </c>
      <c r="D181" s="13" t="s">
        <v>97</v>
      </c>
      <c r="E181" s="14">
        <v>0.55000000000000004</v>
      </c>
      <c r="F181" s="13" t="s">
        <v>55</v>
      </c>
      <c r="G181" s="15">
        <v>297.36500000000001</v>
      </c>
      <c r="H181" s="16">
        <v>310.89</v>
      </c>
      <c r="I181" s="16">
        <v>313.49</v>
      </c>
      <c r="J181" s="16">
        <v>329.05</v>
      </c>
      <c r="K181" s="26">
        <f t="shared" si="8"/>
        <v>4.5482824138684701E-2</v>
      </c>
      <c r="L181" s="26">
        <f t="shared" si="9"/>
        <v>5.4226287559060414E-2</v>
      </c>
      <c r="M181" s="26">
        <f t="shared" si="10"/>
        <v>0.10655255325946228</v>
      </c>
      <c r="N181" s="27" t="str">
        <f t="shared" si="11"/>
        <v>NO</v>
      </c>
    </row>
    <row r="182" spans="1:14" ht="15" customHeight="1" x14ac:dyDescent="0.25">
      <c r="A182" s="12">
        <v>46170</v>
      </c>
      <c r="B182" s="13" t="s">
        <v>100</v>
      </c>
      <c r="C182" s="13" t="s">
        <v>96</v>
      </c>
      <c r="D182" s="13" t="s">
        <v>97</v>
      </c>
      <c r="E182" s="14">
        <v>0.55000000000000004</v>
      </c>
      <c r="F182" s="13" t="s">
        <v>56</v>
      </c>
      <c r="G182" s="15">
        <v>423.79</v>
      </c>
      <c r="H182" s="16">
        <v>428.05</v>
      </c>
      <c r="I182" s="16">
        <v>390.34</v>
      </c>
      <c r="J182" s="16">
        <v>372.97</v>
      </c>
      <c r="K182" s="26">
        <f t="shared" si="8"/>
        <v>1.0052148469760944E-2</v>
      </c>
      <c r="L182" s="26">
        <f t="shared" si="9"/>
        <v>-7.8930602421010507E-2</v>
      </c>
      <c r="M182" s="26">
        <f t="shared" si="10"/>
        <v>-0.11991788385757095</v>
      </c>
      <c r="N182" s="27" t="str">
        <f t="shared" si="11"/>
        <v>YES</v>
      </c>
    </row>
    <row r="183" spans="1:14" ht="15" customHeight="1" x14ac:dyDescent="0.25">
      <c r="A183" s="12">
        <v>46170</v>
      </c>
      <c r="B183" s="13" t="s">
        <v>101</v>
      </c>
      <c r="C183" s="13" t="s">
        <v>99</v>
      </c>
      <c r="D183" s="13" t="s">
        <v>97</v>
      </c>
      <c r="E183" s="14">
        <v>0.52</v>
      </c>
      <c r="F183" s="13" t="s">
        <v>55</v>
      </c>
      <c r="G183" s="15">
        <v>46.87</v>
      </c>
      <c r="H183" s="16">
        <v>43.62</v>
      </c>
      <c r="I183" s="16">
        <v>45.96</v>
      </c>
      <c r="J183" s="16">
        <v>40.75</v>
      </c>
      <c r="K183" s="26">
        <f t="shared" si="8"/>
        <v>-6.9340729677832308E-2</v>
      </c>
      <c r="L183" s="26">
        <f t="shared" si="9"/>
        <v>-1.9415404309792973E-2</v>
      </c>
      <c r="M183" s="26">
        <f t="shared" si="10"/>
        <v>-0.13057392788564109</v>
      </c>
      <c r="N183" s="27" t="str">
        <f t="shared" si="11"/>
        <v>NO</v>
      </c>
    </row>
    <row r="184" spans="1:14" ht="15" customHeight="1" x14ac:dyDescent="0.25">
      <c r="A184" s="12">
        <v>46170</v>
      </c>
      <c r="B184" s="13" t="s">
        <v>98</v>
      </c>
      <c r="C184" s="13" t="s">
        <v>96</v>
      </c>
      <c r="D184" s="13" t="s">
        <v>97</v>
      </c>
      <c r="E184" s="14">
        <v>0.52</v>
      </c>
      <c r="F184" s="13" t="s">
        <v>56</v>
      </c>
      <c r="G184" s="15">
        <v>69.42</v>
      </c>
      <c r="H184" s="16">
        <v>69</v>
      </c>
      <c r="I184" s="16">
        <v>65.56</v>
      </c>
      <c r="J184" s="16">
        <v>60.98</v>
      </c>
      <c r="K184" s="26">
        <f t="shared" si="8"/>
        <v>-6.0501296456352879E-3</v>
      </c>
      <c r="L184" s="26">
        <f t="shared" si="9"/>
        <v>-5.5603572457505031E-2</v>
      </c>
      <c r="M184" s="26">
        <f t="shared" si="10"/>
        <v>-0.12157879573609917</v>
      </c>
      <c r="N184" s="27" t="str">
        <f t="shared" si="11"/>
        <v>YES</v>
      </c>
    </row>
    <row r="185" spans="1:14" ht="15" customHeight="1" x14ac:dyDescent="0.25">
      <c r="A185" s="12">
        <v>46170</v>
      </c>
      <c r="B185" s="13" t="s">
        <v>110</v>
      </c>
      <c r="C185" s="13" t="s">
        <v>99</v>
      </c>
      <c r="D185" s="13" t="s">
        <v>97</v>
      </c>
      <c r="E185" s="14">
        <v>0.62</v>
      </c>
      <c r="F185" s="13" t="s">
        <v>56</v>
      </c>
      <c r="G185" s="15">
        <v>181.46</v>
      </c>
      <c r="H185" s="16">
        <v>174.99</v>
      </c>
      <c r="I185" s="16">
        <v>180.77</v>
      </c>
      <c r="J185" s="16">
        <v>180.77</v>
      </c>
      <c r="K185" s="26">
        <f t="shared" si="8"/>
        <v>-3.565524082442411E-2</v>
      </c>
      <c r="L185" s="26">
        <f t="shared" si="9"/>
        <v>-3.8024909070869485E-3</v>
      </c>
      <c r="M185" s="26">
        <f t="shared" si="10"/>
        <v>-3.8024909070869485E-3</v>
      </c>
      <c r="N185" s="27" t="str">
        <f t="shared" si="11"/>
        <v>NO</v>
      </c>
    </row>
    <row r="186" spans="1:14" ht="15" customHeight="1" x14ac:dyDescent="0.25">
      <c r="A186" s="12">
        <v>46170</v>
      </c>
      <c r="B186" s="13" t="s">
        <v>108</v>
      </c>
      <c r="C186" s="13" t="s">
        <v>99</v>
      </c>
      <c r="D186" s="13" t="s">
        <v>97</v>
      </c>
      <c r="E186" s="14">
        <v>0.57999999999999996</v>
      </c>
      <c r="F186" s="13" t="s">
        <v>56</v>
      </c>
      <c r="G186" s="15">
        <v>725.47</v>
      </c>
      <c r="H186" s="16">
        <v>719.17</v>
      </c>
      <c r="I186" s="16">
        <v>683.29</v>
      </c>
      <c r="J186" s="16">
        <v>687.87</v>
      </c>
      <c r="K186" s="26">
        <f t="shared" si="8"/>
        <v>-8.6840255282783132E-3</v>
      </c>
      <c r="L186" s="26">
        <f t="shared" si="9"/>
        <v>-5.8141618536948547E-2</v>
      </c>
      <c r="M186" s="26">
        <f t="shared" si="10"/>
        <v>-5.1828469819565279E-2</v>
      </c>
      <c r="N186" s="27" t="str">
        <f t="shared" si="11"/>
        <v>YES</v>
      </c>
    </row>
    <row r="187" spans="1:14" ht="15" customHeight="1" x14ac:dyDescent="0.25">
      <c r="A187" s="12">
        <v>46170</v>
      </c>
      <c r="B187" s="13" t="s">
        <v>115</v>
      </c>
      <c r="C187" s="13" t="s">
        <v>113</v>
      </c>
      <c r="D187" s="13" t="s">
        <v>97</v>
      </c>
      <c r="E187" s="14">
        <v>0.55000000000000004</v>
      </c>
      <c r="F187" s="13" t="s">
        <v>56</v>
      </c>
      <c r="G187" s="15">
        <v>180.82</v>
      </c>
      <c r="H187" s="16">
        <v>179.41</v>
      </c>
      <c r="I187" s="16">
        <v>184.21</v>
      </c>
      <c r="J187" s="16">
        <v>187.99</v>
      </c>
      <c r="K187" s="26">
        <f t="shared" si="8"/>
        <v>-7.7978099767724626E-3</v>
      </c>
      <c r="L187" s="26">
        <f t="shared" si="9"/>
        <v>1.8747926114367961E-2</v>
      </c>
      <c r="M187" s="26">
        <f t="shared" si="10"/>
        <v>3.9652693286141003E-2</v>
      </c>
      <c r="N187" s="27" t="str">
        <f t="shared" si="11"/>
        <v>YES</v>
      </c>
    </row>
    <row r="188" spans="1:14" ht="15" customHeight="1" x14ac:dyDescent="0.25">
      <c r="A188" s="12">
        <v>46170</v>
      </c>
      <c r="B188" s="13" t="s">
        <v>102</v>
      </c>
      <c r="C188" s="13" t="s">
        <v>99</v>
      </c>
      <c r="D188" s="13" t="s">
        <v>97</v>
      </c>
      <c r="E188" s="14">
        <v>0.68</v>
      </c>
      <c r="F188" s="13" t="s">
        <v>55</v>
      </c>
      <c r="G188" s="15">
        <v>32.695</v>
      </c>
      <c r="H188" s="16">
        <v>32.590000000000003</v>
      </c>
      <c r="I188" s="16">
        <v>32.53</v>
      </c>
      <c r="J188" s="16">
        <v>32.090000000000003</v>
      </c>
      <c r="K188" s="26">
        <f t="shared" si="8"/>
        <v>-3.2115002293927777E-3</v>
      </c>
      <c r="L188" s="26">
        <f t="shared" si="9"/>
        <v>-5.0466432176173468E-3</v>
      </c>
      <c r="M188" s="26">
        <f t="shared" si="10"/>
        <v>-1.8504358464596936E-2</v>
      </c>
      <c r="N188" s="27" t="str">
        <f t="shared" si="11"/>
        <v>YES</v>
      </c>
    </row>
    <row r="189" spans="1:14" ht="15" customHeight="1" x14ac:dyDescent="0.25">
      <c r="A189" s="12">
        <v>46170</v>
      </c>
      <c r="B189" s="13" t="s">
        <v>117</v>
      </c>
      <c r="C189" s="13" t="s">
        <v>113</v>
      </c>
      <c r="D189" s="13" t="s">
        <v>97</v>
      </c>
      <c r="E189" s="14">
        <v>0.42</v>
      </c>
      <c r="F189" s="13" t="s">
        <v>56</v>
      </c>
      <c r="G189" s="15">
        <v>4.7793000000000001</v>
      </c>
      <c r="H189" s="16">
        <v>5.71</v>
      </c>
      <c r="I189" s="16">
        <v>5.19</v>
      </c>
      <c r="J189" s="16">
        <v>5.0199999999999996</v>
      </c>
      <c r="K189" s="26">
        <f t="shared" si="8"/>
        <v>0.19473563074090344</v>
      </c>
      <c r="L189" s="26">
        <f t="shared" si="9"/>
        <v>8.5933086435252076E-2</v>
      </c>
      <c r="M189" s="26">
        <f t="shared" si="10"/>
        <v>5.0363023873788937E-2</v>
      </c>
      <c r="N189" s="27" t="str">
        <f t="shared" si="11"/>
        <v>NO</v>
      </c>
    </row>
    <row r="190" spans="1:14" ht="15" customHeight="1" x14ac:dyDescent="0.25">
      <c r="A190" s="12">
        <v>46170</v>
      </c>
      <c r="B190" s="13" t="s">
        <v>95</v>
      </c>
      <c r="C190" s="13" t="s">
        <v>96</v>
      </c>
      <c r="D190" s="13" t="s">
        <v>97</v>
      </c>
      <c r="E190" s="14">
        <v>0.55000000000000004</v>
      </c>
      <c r="F190" s="13" t="s">
        <v>55</v>
      </c>
      <c r="G190" s="15">
        <v>118.47</v>
      </c>
      <c r="H190" s="16">
        <v>117.74</v>
      </c>
      <c r="I190" s="16">
        <v>120.5</v>
      </c>
      <c r="J190" s="16">
        <v>115.69</v>
      </c>
      <c r="K190" s="26">
        <f t="shared" si="8"/>
        <v>-6.1618975268000675E-3</v>
      </c>
      <c r="L190" s="26">
        <f t="shared" si="9"/>
        <v>1.7135139697813804E-2</v>
      </c>
      <c r="M190" s="26">
        <f t="shared" si="10"/>
        <v>-2.3465856334937123E-2</v>
      </c>
      <c r="N190" s="27" t="str">
        <f t="shared" si="11"/>
        <v>YES</v>
      </c>
    </row>
    <row r="191" spans="1:14" ht="15" customHeight="1" x14ac:dyDescent="0.25">
      <c r="A191" s="12">
        <v>46170</v>
      </c>
      <c r="B191" s="13" t="s">
        <v>109</v>
      </c>
      <c r="C191" s="13" t="s">
        <v>99</v>
      </c>
      <c r="D191" s="13" t="s">
        <v>97</v>
      </c>
      <c r="E191" s="14">
        <v>0.57999999999999996</v>
      </c>
      <c r="F191" s="13" t="s">
        <v>56</v>
      </c>
      <c r="G191" s="15">
        <v>45.04</v>
      </c>
      <c r="H191" s="16">
        <v>43.94</v>
      </c>
      <c r="I191" s="16">
        <v>44.05</v>
      </c>
      <c r="J191" s="16">
        <v>46.2</v>
      </c>
      <c r="K191" s="26">
        <f t="shared" si="8"/>
        <v>-2.4422735346358825E-2</v>
      </c>
      <c r="L191" s="26">
        <f t="shared" si="9"/>
        <v>-2.1980461811722956E-2</v>
      </c>
      <c r="M191" s="26">
        <f t="shared" si="10"/>
        <v>2.5754884547069354E-2</v>
      </c>
      <c r="N191" s="27" t="str">
        <f t="shared" si="11"/>
        <v>YES</v>
      </c>
    </row>
    <row r="192" spans="1:14" ht="15" customHeight="1" x14ac:dyDescent="0.25">
      <c r="A192" s="12">
        <v>46170</v>
      </c>
      <c r="B192" s="13" t="s">
        <v>118</v>
      </c>
      <c r="C192" s="13" t="s">
        <v>119</v>
      </c>
      <c r="D192" s="13" t="s">
        <v>97</v>
      </c>
      <c r="E192" s="14">
        <v>0.45</v>
      </c>
      <c r="F192" s="13" t="s">
        <v>55</v>
      </c>
      <c r="G192" s="15">
        <v>752.01990000000001</v>
      </c>
      <c r="H192" s="16">
        <v>757.09</v>
      </c>
      <c r="I192" s="16">
        <v>737.76</v>
      </c>
      <c r="J192" s="16">
        <v>728.99</v>
      </c>
      <c r="K192" s="26">
        <f t="shared" si="8"/>
        <v>6.7419758439903315E-3</v>
      </c>
      <c r="L192" s="26">
        <f t="shared" si="9"/>
        <v>-1.8962131188283736E-2</v>
      </c>
      <c r="M192" s="26">
        <f t="shared" si="10"/>
        <v>-3.0624056624033485E-2</v>
      </c>
      <c r="N192" s="27" t="str">
        <f t="shared" si="11"/>
        <v>YES</v>
      </c>
    </row>
    <row r="193" spans="1:14" ht="15" customHeight="1" x14ac:dyDescent="0.25">
      <c r="A193" s="12">
        <v>46170</v>
      </c>
      <c r="B193" s="13" t="s">
        <v>120</v>
      </c>
      <c r="C193" s="13" t="s">
        <v>119</v>
      </c>
      <c r="D193" s="13" t="s">
        <v>97</v>
      </c>
      <c r="E193" s="14">
        <v>0.42</v>
      </c>
      <c r="F193" s="13" t="s">
        <v>56</v>
      </c>
      <c r="G193" s="15">
        <v>731.26</v>
      </c>
      <c r="H193" s="16">
        <v>740.61</v>
      </c>
      <c r="I193" s="16">
        <v>717.12</v>
      </c>
      <c r="J193" s="16">
        <v>706.52</v>
      </c>
      <c r="K193" s="26">
        <f t="shared" si="8"/>
        <v>1.27861499329924E-2</v>
      </c>
      <c r="L193" s="26">
        <f t="shared" si="9"/>
        <v>-1.9336487706151009E-2</v>
      </c>
      <c r="M193" s="26">
        <f t="shared" si="10"/>
        <v>-3.3832015972431156E-2</v>
      </c>
      <c r="N193" s="27" t="str">
        <f t="shared" si="11"/>
        <v>YES</v>
      </c>
    </row>
    <row r="194" spans="1:14" ht="15" customHeight="1" x14ac:dyDescent="0.25">
      <c r="A194" s="12">
        <v>46170</v>
      </c>
      <c r="B194" s="13" t="s">
        <v>121</v>
      </c>
      <c r="C194" s="13" t="s">
        <v>119</v>
      </c>
      <c r="D194" s="13" t="s">
        <v>97</v>
      </c>
      <c r="E194" s="14">
        <v>0.52</v>
      </c>
      <c r="F194" s="13" t="s">
        <v>56</v>
      </c>
      <c r="G194" s="15">
        <v>370.21</v>
      </c>
      <c r="H194" s="16">
        <v>373.38</v>
      </c>
      <c r="I194" s="16">
        <v>364.3</v>
      </c>
      <c r="J194" s="16">
        <v>362.22</v>
      </c>
      <c r="K194" s="26">
        <f t="shared" si="8"/>
        <v>8.5627076524135391E-3</v>
      </c>
      <c r="L194" s="26">
        <f t="shared" si="9"/>
        <v>-1.5963912374057882E-2</v>
      </c>
      <c r="M194" s="26">
        <f t="shared" si="10"/>
        <v>-2.1582345155452182E-2</v>
      </c>
      <c r="N194" s="27" t="str">
        <f t="shared" si="11"/>
        <v>YES</v>
      </c>
    </row>
    <row r="195" spans="1:14" ht="15" customHeight="1" x14ac:dyDescent="0.25">
      <c r="A195" s="12">
        <v>46170</v>
      </c>
      <c r="B195" s="13" t="s">
        <v>122</v>
      </c>
      <c r="C195" s="13" t="s">
        <v>119</v>
      </c>
      <c r="D195" s="13" t="s">
        <v>97</v>
      </c>
      <c r="E195" s="14">
        <v>0.45</v>
      </c>
      <c r="F195" s="13" t="s">
        <v>56</v>
      </c>
      <c r="G195" s="15">
        <v>212.09</v>
      </c>
      <c r="H195" s="16">
        <v>218.66</v>
      </c>
      <c r="I195" s="16">
        <v>204.87</v>
      </c>
      <c r="J195" s="16">
        <v>192.53</v>
      </c>
      <c r="K195" s="26">
        <f t="shared" si="8"/>
        <v>3.0977415248243639E-2</v>
      </c>
      <c r="L195" s="26">
        <f t="shared" si="9"/>
        <v>-3.404215191663916E-2</v>
      </c>
      <c r="M195" s="26">
        <f t="shared" si="10"/>
        <v>-9.2224998821255136E-2</v>
      </c>
      <c r="N195" s="27" t="str">
        <f t="shared" si="11"/>
        <v>NO</v>
      </c>
    </row>
    <row r="196" spans="1:14" ht="15" customHeight="1" x14ac:dyDescent="0.25">
      <c r="A196" s="12">
        <v>46170</v>
      </c>
      <c r="B196" s="13" t="s">
        <v>123</v>
      </c>
      <c r="C196" s="13" t="s">
        <v>119</v>
      </c>
      <c r="D196" s="13" t="s">
        <v>97</v>
      </c>
      <c r="E196" s="14">
        <v>0.42</v>
      </c>
      <c r="F196" s="13" t="s">
        <v>56</v>
      </c>
      <c r="G196" s="15">
        <v>409.31</v>
      </c>
      <c r="H196" s="16">
        <v>411.27</v>
      </c>
      <c r="I196" s="16">
        <v>386.32</v>
      </c>
      <c r="J196" s="16">
        <v>373.63</v>
      </c>
      <c r="K196" s="26">
        <f t="shared" si="8"/>
        <v>4.7885465783879689E-3</v>
      </c>
      <c r="L196" s="26">
        <f t="shared" si="9"/>
        <v>-5.6167696855683978E-2</v>
      </c>
      <c r="M196" s="26">
        <f t="shared" si="10"/>
        <v>-8.7171092814737006E-2</v>
      </c>
      <c r="N196" s="27" t="str">
        <f t="shared" si="11"/>
        <v>YES</v>
      </c>
    </row>
    <row r="197" spans="1:14" ht="15" customHeight="1" x14ac:dyDescent="0.25">
      <c r="A197" s="12">
        <v>46171</v>
      </c>
      <c r="B197" s="13" t="s">
        <v>103</v>
      </c>
      <c r="C197" s="13" t="s">
        <v>99</v>
      </c>
      <c r="D197" s="13" t="s">
        <v>97</v>
      </c>
      <c r="E197" s="14">
        <v>0.55000000000000004</v>
      </c>
      <c r="F197" s="13" t="s">
        <v>56</v>
      </c>
      <c r="G197" s="15">
        <v>313.86</v>
      </c>
      <c r="H197" s="16">
        <v>307.33999999999997</v>
      </c>
      <c r="I197" s="16">
        <v>291.13</v>
      </c>
      <c r="J197" s="16">
        <v>281.74</v>
      </c>
      <c r="K197" s="26">
        <f t="shared" ref="K197:K260" si="12">IF(H197="","",(H197-G197)/G197)</f>
        <v>-2.0773593321863373E-2</v>
      </c>
      <c r="L197" s="26">
        <f t="shared" ref="L197:L260" si="13">IF(I197="","",(I197-G197)/G197)</f>
        <v>-7.2420824571465037E-2</v>
      </c>
      <c r="M197" s="26">
        <f t="shared" ref="M197:M260" si="14">IF(J197="","",(J197-G197)/G197)</f>
        <v>-0.10233862231568217</v>
      </c>
      <c r="N197" s="27" t="str">
        <f t="shared" ref="N197:N260" si="15">IF(H197="","",IF(D197="HOLD",IF(ABS(K197)&lt;0.03,"YES","NO"),IF(D197="BUY",IF(K197&gt;0,"YES","NO"),IF(D197="SELL",IF(K197&lt;0,"YES","NO"),""))))</f>
        <v>YES</v>
      </c>
    </row>
    <row r="198" spans="1:14" ht="15" customHeight="1" x14ac:dyDescent="0.25">
      <c r="A198" s="12">
        <v>46171</v>
      </c>
      <c r="B198" s="13" t="s">
        <v>112</v>
      </c>
      <c r="C198" s="13" t="s">
        <v>113</v>
      </c>
      <c r="D198" s="13" t="s">
        <v>97</v>
      </c>
      <c r="E198" s="14">
        <v>0.42</v>
      </c>
      <c r="F198" s="13" t="s">
        <v>56</v>
      </c>
      <c r="G198" s="15">
        <v>20.285</v>
      </c>
      <c r="H198" s="16">
        <v>16.989999999999998</v>
      </c>
      <c r="I198" s="16">
        <v>17.649999999999999</v>
      </c>
      <c r="J198" s="16">
        <v>16.809999999999999</v>
      </c>
      <c r="K198" s="26">
        <f t="shared" si="12"/>
        <v>-0.1624352970175007</v>
      </c>
      <c r="L198" s="26">
        <f t="shared" si="13"/>
        <v>-0.12989894010352485</v>
      </c>
      <c r="M198" s="26">
        <f t="shared" si="14"/>
        <v>-0.17130884890313047</v>
      </c>
      <c r="N198" s="27" t="str">
        <f t="shared" si="15"/>
        <v>NO</v>
      </c>
    </row>
    <row r="199" spans="1:14" ht="15" customHeight="1" x14ac:dyDescent="0.25">
      <c r="A199" s="12">
        <v>46171</v>
      </c>
      <c r="B199" s="13" t="s">
        <v>105</v>
      </c>
      <c r="C199" s="13" t="s">
        <v>96</v>
      </c>
      <c r="D199" s="13" t="s">
        <v>97</v>
      </c>
      <c r="E199" s="14">
        <v>0.62</v>
      </c>
      <c r="F199" s="13" t="s">
        <v>55</v>
      </c>
      <c r="G199" s="15">
        <v>67.069999999999993</v>
      </c>
      <c r="H199" s="16">
        <v>62.52</v>
      </c>
      <c r="I199" s="16">
        <v>64</v>
      </c>
      <c r="J199" s="16">
        <v>64.22</v>
      </c>
      <c r="K199" s="26">
        <f t="shared" si="12"/>
        <v>-6.7839570597882662E-2</v>
      </c>
      <c r="L199" s="26">
        <f t="shared" si="13"/>
        <v>-4.577307290890105E-2</v>
      </c>
      <c r="M199" s="26">
        <f t="shared" si="14"/>
        <v>-4.2492917847025413E-2</v>
      </c>
      <c r="N199" s="27" t="str">
        <f t="shared" si="15"/>
        <v>NO</v>
      </c>
    </row>
    <row r="200" spans="1:14" ht="15" customHeight="1" x14ac:dyDescent="0.25">
      <c r="A200" s="12">
        <v>46171</v>
      </c>
      <c r="B200" s="13" t="s">
        <v>114</v>
      </c>
      <c r="C200" s="13" t="s">
        <v>113</v>
      </c>
      <c r="D200" s="13" t="s">
        <v>97</v>
      </c>
      <c r="E200" s="14">
        <v>0.42</v>
      </c>
      <c r="F200" s="13" t="s">
        <v>57</v>
      </c>
      <c r="G200" s="15">
        <v>238.14</v>
      </c>
      <c r="H200" s="16">
        <v>201.01</v>
      </c>
      <c r="I200" s="16">
        <v>214</v>
      </c>
      <c r="J200" s="16">
        <v>216.16</v>
      </c>
      <c r="K200" s="26">
        <f t="shared" si="12"/>
        <v>-0.15591668766271941</v>
      </c>
      <c r="L200" s="26">
        <f t="shared" si="13"/>
        <v>-0.10136894263878386</v>
      </c>
      <c r="M200" s="26">
        <f t="shared" si="14"/>
        <v>-9.2298647854203372E-2</v>
      </c>
      <c r="N200" s="27" t="str">
        <f t="shared" si="15"/>
        <v>NO</v>
      </c>
    </row>
    <row r="201" spans="1:14" ht="15" customHeight="1" x14ac:dyDescent="0.25">
      <c r="A201" s="12">
        <v>46171</v>
      </c>
      <c r="B201" s="13" t="s">
        <v>116</v>
      </c>
      <c r="C201" s="13" t="s">
        <v>113</v>
      </c>
      <c r="D201" s="13" t="s">
        <v>97</v>
      </c>
      <c r="E201" s="14">
        <v>0.42</v>
      </c>
      <c r="F201" s="13" t="s">
        <v>56</v>
      </c>
      <c r="G201" s="15">
        <v>18.05</v>
      </c>
      <c r="H201" s="16">
        <v>17.059999999999999</v>
      </c>
      <c r="I201" s="16">
        <v>16.8</v>
      </c>
      <c r="J201" s="16">
        <v>16.46</v>
      </c>
      <c r="K201" s="26">
        <f t="shared" si="12"/>
        <v>-5.484764542936299E-2</v>
      </c>
      <c r="L201" s="26">
        <f t="shared" si="13"/>
        <v>-6.9252077562326861E-2</v>
      </c>
      <c r="M201" s="26">
        <f t="shared" si="14"/>
        <v>-8.8088642659279764E-2</v>
      </c>
      <c r="N201" s="27" t="str">
        <f t="shared" si="15"/>
        <v>NO</v>
      </c>
    </row>
    <row r="202" spans="1:14" ht="15" customHeight="1" x14ac:dyDescent="0.25">
      <c r="A202" s="12">
        <v>46171</v>
      </c>
      <c r="B202" s="13" t="s">
        <v>104</v>
      </c>
      <c r="C202" s="13" t="s">
        <v>96</v>
      </c>
      <c r="D202" s="13" t="s">
        <v>97</v>
      </c>
      <c r="E202" s="14">
        <v>0.42</v>
      </c>
      <c r="F202" s="13" t="s">
        <v>56</v>
      </c>
      <c r="G202" s="15">
        <v>34.119999999999997</v>
      </c>
      <c r="H202" s="16">
        <v>33.97</v>
      </c>
      <c r="I202" s="16">
        <v>33.85</v>
      </c>
      <c r="J202" s="16">
        <v>27.92</v>
      </c>
      <c r="K202" s="26">
        <f t="shared" si="12"/>
        <v>-4.3962485345837802E-3</v>
      </c>
      <c r="L202" s="26">
        <f t="shared" si="13"/>
        <v>-7.9132473622507624E-3</v>
      </c>
      <c r="M202" s="26">
        <f t="shared" si="14"/>
        <v>-0.18171160609613118</v>
      </c>
      <c r="N202" s="27" t="str">
        <f t="shared" si="15"/>
        <v>YES</v>
      </c>
    </row>
    <row r="203" spans="1:14" ht="15" customHeight="1" x14ac:dyDescent="0.25">
      <c r="A203" s="12">
        <v>46171</v>
      </c>
      <c r="B203" s="13" t="s">
        <v>111</v>
      </c>
      <c r="C203" s="13" t="s">
        <v>113</v>
      </c>
      <c r="D203" s="13" t="s">
        <v>97</v>
      </c>
      <c r="E203" s="14">
        <v>0.52</v>
      </c>
      <c r="F203" s="13" t="s">
        <v>56</v>
      </c>
      <c r="G203" s="15">
        <v>67.805000000000007</v>
      </c>
      <c r="H203" s="16">
        <v>66.819999999999993</v>
      </c>
      <c r="I203" s="16">
        <v>70.790000000000006</v>
      </c>
      <c r="J203" s="16">
        <v>65.23</v>
      </c>
      <c r="K203" s="26">
        <f t="shared" si="12"/>
        <v>-1.4526952289654355E-2</v>
      </c>
      <c r="L203" s="26">
        <f t="shared" si="13"/>
        <v>4.4023302116363086E-2</v>
      </c>
      <c r="M203" s="26">
        <f t="shared" si="14"/>
        <v>-3.7976550401887806E-2</v>
      </c>
      <c r="N203" s="27" t="str">
        <f t="shared" si="15"/>
        <v>YES</v>
      </c>
    </row>
    <row r="204" spans="1:14" ht="15" customHeight="1" x14ac:dyDescent="0.25">
      <c r="A204" s="12">
        <v>46171</v>
      </c>
      <c r="B204" s="13" t="s">
        <v>107</v>
      </c>
      <c r="C204" s="13" t="s">
        <v>96</v>
      </c>
      <c r="D204" s="13" t="s">
        <v>97</v>
      </c>
      <c r="E204" s="14">
        <v>0.62</v>
      </c>
      <c r="F204" s="13" t="s">
        <v>55</v>
      </c>
      <c r="G204" s="15">
        <v>83.76</v>
      </c>
      <c r="H204" s="16">
        <v>82.11</v>
      </c>
      <c r="I204" s="16">
        <v>81.5</v>
      </c>
      <c r="J204" s="16">
        <v>77.34</v>
      </c>
      <c r="K204" s="26">
        <f t="shared" si="12"/>
        <v>-1.96991404011462E-2</v>
      </c>
      <c r="L204" s="26">
        <f t="shared" si="13"/>
        <v>-2.6981852913085063E-2</v>
      </c>
      <c r="M204" s="26">
        <f t="shared" si="14"/>
        <v>-7.6647564469914053E-2</v>
      </c>
      <c r="N204" s="27" t="str">
        <f t="shared" si="15"/>
        <v>YES</v>
      </c>
    </row>
    <row r="205" spans="1:14" ht="15" customHeight="1" x14ac:dyDescent="0.25">
      <c r="A205" s="12">
        <v>46171</v>
      </c>
      <c r="B205" s="13" t="s">
        <v>106</v>
      </c>
      <c r="C205" s="13" t="s">
        <v>99</v>
      </c>
      <c r="D205" s="13" t="s">
        <v>97</v>
      </c>
      <c r="E205" s="14">
        <v>0.55000000000000004</v>
      </c>
      <c r="F205" s="13" t="s">
        <v>55</v>
      </c>
      <c r="G205" s="15">
        <v>295.90499999999997</v>
      </c>
      <c r="H205" s="16">
        <v>312.37</v>
      </c>
      <c r="I205" s="16">
        <v>320.72000000000003</v>
      </c>
      <c r="J205" s="16">
        <v>329.39</v>
      </c>
      <c r="K205" s="26">
        <f t="shared" si="12"/>
        <v>5.5642858349808332E-2</v>
      </c>
      <c r="L205" s="26">
        <f t="shared" si="13"/>
        <v>8.3861374427603649E-2</v>
      </c>
      <c r="M205" s="26">
        <f t="shared" si="14"/>
        <v>0.11316131866646395</v>
      </c>
      <c r="N205" s="27" t="str">
        <f t="shared" si="15"/>
        <v>NO</v>
      </c>
    </row>
    <row r="206" spans="1:14" ht="15" customHeight="1" x14ac:dyDescent="0.25">
      <c r="A206" s="12">
        <v>46171</v>
      </c>
      <c r="B206" s="13" t="s">
        <v>100</v>
      </c>
      <c r="C206" s="13" t="s">
        <v>96</v>
      </c>
      <c r="D206" s="13" t="s">
        <v>97</v>
      </c>
      <c r="E206" s="14">
        <v>0.57999999999999996</v>
      </c>
      <c r="F206" s="13" t="s">
        <v>55</v>
      </c>
      <c r="G206" s="15">
        <v>440.78</v>
      </c>
      <c r="H206" s="16">
        <v>416.67</v>
      </c>
      <c r="I206" s="16">
        <v>390.74</v>
      </c>
      <c r="J206" s="16">
        <v>368.57</v>
      </c>
      <c r="K206" s="26">
        <f t="shared" si="12"/>
        <v>-5.4698489042152451E-2</v>
      </c>
      <c r="L206" s="26">
        <f t="shared" si="13"/>
        <v>-0.11352602205181715</v>
      </c>
      <c r="M206" s="26">
        <f t="shared" si="14"/>
        <v>-0.16382322246925901</v>
      </c>
      <c r="N206" s="27" t="str">
        <f t="shared" si="15"/>
        <v>NO</v>
      </c>
    </row>
    <row r="207" spans="1:14" ht="15" customHeight="1" x14ac:dyDescent="0.25">
      <c r="A207" s="12">
        <v>46171</v>
      </c>
      <c r="B207" s="13" t="s">
        <v>101</v>
      </c>
      <c r="C207" s="13" t="s">
        <v>99</v>
      </c>
      <c r="D207" s="13" t="s">
        <v>97</v>
      </c>
      <c r="E207" s="14">
        <v>0.52</v>
      </c>
      <c r="F207" s="13" t="s">
        <v>55</v>
      </c>
      <c r="G207" s="15">
        <v>46.715000000000003</v>
      </c>
      <c r="H207" s="16">
        <v>42.98</v>
      </c>
      <c r="I207" s="16">
        <v>44.93</v>
      </c>
      <c r="J207" s="16">
        <v>41.48</v>
      </c>
      <c r="K207" s="26">
        <f t="shared" si="12"/>
        <v>-7.9952905918869874E-2</v>
      </c>
      <c r="L207" s="26">
        <f t="shared" si="13"/>
        <v>-3.8210424917050276E-2</v>
      </c>
      <c r="M207" s="26">
        <f t="shared" si="14"/>
        <v>-0.1120625066895003</v>
      </c>
      <c r="N207" s="27" t="str">
        <f t="shared" si="15"/>
        <v>NO</v>
      </c>
    </row>
    <row r="208" spans="1:14" ht="15" customHeight="1" x14ac:dyDescent="0.25">
      <c r="A208" s="12">
        <v>46171</v>
      </c>
      <c r="B208" s="13" t="s">
        <v>98</v>
      </c>
      <c r="C208" s="13" t="s">
        <v>96</v>
      </c>
      <c r="D208" s="13" t="s">
        <v>97</v>
      </c>
      <c r="E208" s="14">
        <v>0.52</v>
      </c>
      <c r="F208" s="13" t="s">
        <v>56</v>
      </c>
      <c r="G208" s="15">
        <v>68.974999999999994</v>
      </c>
      <c r="H208" s="16">
        <v>67.2</v>
      </c>
      <c r="I208" s="16">
        <v>67.62</v>
      </c>
      <c r="J208" s="16">
        <v>61.18</v>
      </c>
      <c r="K208" s="26">
        <f t="shared" si="12"/>
        <v>-2.5733961580282589E-2</v>
      </c>
      <c r="L208" s="26">
        <f t="shared" si="13"/>
        <v>-1.9644798840159333E-2</v>
      </c>
      <c r="M208" s="26">
        <f t="shared" si="14"/>
        <v>-0.11301196085538232</v>
      </c>
      <c r="N208" s="27" t="str">
        <f t="shared" si="15"/>
        <v>YES</v>
      </c>
    </row>
    <row r="209" spans="1:15" ht="15" customHeight="1" x14ac:dyDescent="0.25">
      <c r="A209" s="12">
        <v>46171</v>
      </c>
      <c r="B209" s="13" t="s">
        <v>110</v>
      </c>
      <c r="C209" s="13" t="s">
        <v>99</v>
      </c>
      <c r="D209" s="13" t="s">
        <v>97</v>
      </c>
      <c r="E209" s="14">
        <v>0.62</v>
      </c>
      <c r="F209" s="13" t="s">
        <v>55</v>
      </c>
      <c r="G209" s="15">
        <v>177.11</v>
      </c>
      <c r="H209" s="16">
        <v>178.29</v>
      </c>
      <c r="I209" s="16">
        <v>184.3</v>
      </c>
      <c r="J209" s="16">
        <v>182.87</v>
      </c>
      <c r="K209" s="26">
        <f t="shared" si="12"/>
        <v>6.662526113714518E-3</v>
      </c>
      <c r="L209" s="26">
        <f t="shared" si="13"/>
        <v>4.0596239625091735E-2</v>
      </c>
      <c r="M209" s="26">
        <f t="shared" si="14"/>
        <v>3.2522161368640903E-2</v>
      </c>
      <c r="N209" s="27" t="str">
        <f t="shared" si="15"/>
        <v>YES</v>
      </c>
    </row>
    <row r="210" spans="1:15" ht="15" customHeight="1" x14ac:dyDescent="0.25">
      <c r="A210" s="12">
        <v>46171</v>
      </c>
      <c r="B210" s="13" t="s">
        <v>108</v>
      </c>
      <c r="C210" s="13" t="s">
        <v>99</v>
      </c>
      <c r="D210" s="13" t="s">
        <v>97</v>
      </c>
      <c r="E210" s="14">
        <v>0.62</v>
      </c>
      <c r="F210" s="13" t="s">
        <v>55</v>
      </c>
      <c r="G210" s="15">
        <v>708.7</v>
      </c>
      <c r="H210" s="16">
        <v>695.11</v>
      </c>
      <c r="I210" s="16">
        <v>707.74</v>
      </c>
      <c r="J210" s="16">
        <v>714.45</v>
      </c>
      <c r="K210" s="26">
        <f t="shared" si="12"/>
        <v>-1.9175955975730255E-2</v>
      </c>
      <c r="L210" s="26">
        <f t="shared" si="13"/>
        <v>-1.3545929166079247E-3</v>
      </c>
      <c r="M210" s="26">
        <f t="shared" si="14"/>
        <v>8.1134471567659086E-3</v>
      </c>
      <c r="N210" s="27" t="str">
        <f t="shared" si="15"/>
        <v>YES</v>
      </c>
    </row>
    <row r="211" spans="1:15" ht="15" customHeight="1" x14ac:dyDescent="0.25">
      <c r="A211" s="12">
        <v>46171</v>
      </c>
      <c r="B211" s="13" t="s">
        <v>115</v>
      </c>
      <c r="C211" s="13" t="s">
        <v>113</v>
      </c>
      <c r="D211" s="13" t="s">
        <v>97</v>
      </c>
      <c r="E211" s="14">
        <v>0.52</v>
      </c>
      <c r="F211" s="13" t="s">
        <v>56</v>
      </c>
      <c r="G211" s="15">
        <v>176.27</v>
      </c>
      <c r="H211" s="16">
        <v>180.99</v>
      </c>
      <c r="I211" s="16">
        <v>183.53</v>
      </c>
      <c r="J211" s="16">
        <v>187.33</v>
      </c>
      <c r="K211" s="26">
        <f t="shared" si="12"/>
        <v>2.6777103307426098E-2</v>
      </c>
      <c r="L211" s="26">
        <f t="shared" si="13"/>
        <v>4.1186815680490103E-2</v>
      </c>
      <c r="M211" s="26">
        <f t="shared" si="14"/>
        <v>6.2744653089011185E-2</v>
      </c>
      <c r="N211" s="27" t="str">
        <f t="shared" si="15"/>
        <v>YES</v>
      </c>
    </row>
    <row r="212" spans="1:15" ht="15" customHeight="1" x14ac:dyDescent="0.25">
      <c r="A212" s="12">
        <v>46171</v>
      </c>
      <c r="B212" s="13" t="s">
        <v>102</v>
      </c>
      <c r="C212" s="13" t="s">
        <v>99</v>
      </c>
      <c r="D212" s="13" t="s">
        <v>97</v>
      </c>
      <c r="E212" s="14">
        <v>0.68</v>
      </c>
      <c r="F212" s="13" t="s">
        <v>55</v>
      </c>
      <c r="G212" s="15">
        <v>32.594999999999999</v>
      </c>
      <c r="H212" s="16">
        <v>32.299999999999997</v>
      </c>
      <c r="I212" s="16">
        <v>32.82</v>
      </c>
      <c r="J212" s="16">
        <v>31.93</v>
      </c>
      <c r="K212" s="26">
        <f t="shared" si="12"/>
        <v>-9.0504678631692509E-3</v>
      </c>
      <c r="L212" s="26">
        <f t="shared" si="13"/>
        <v>6.9028992176714656E-3</v>
      </c>
      <c r="M212" s="26">
        <f t="shared" si="14"/>
        <v>-2.0401902132228845E-2</v>
      </c>
      <c r="N212" s="27" t="str">
        <f t="shared" si="15"/>
        <v>YES</v>
      </c>
    </row>
    <row r="213" spans="1:15" ht="15" customHeight="1" x14ac:dyDescent="0.25">
      <c r="A213" s="12">
        <v>46171</v>
      </c>
      <c r="B213" s="13" t="s">
        <v>117</v>
      </c>
      <c r="C213" s="13" t="s">
        <v>113</v>
      </c>
      <c r="D213" s="13" t="s">
        <v>97</v>
      </c>
      <c r="E213" s="14">
        <v>0.42</v>
      </c>
      <c r="F213" s="13" t="s">
        <v>57</v>
      </c>
      <c r="G213" s="15">
        <v>4.57</v>
      </c>
      <c r="H213" s="16">
        <v>5.45</v>
      </c>
      <c r="I213" s="16">
        <v>5.32</v>
      </c>
      <c r="J213" s="16">
        <v>5</v>
      </c>
      <c r="K213" s="26">
        <f t="shared" si="12"/>
        <v>0.19256017505470455</v>
      </c>
      <c r="L213" s="26">
        <f t="shared" si="13"/>
        <v>0.16411378555798686</v>
      </c>
      <c r="M213" s="26">
        <f t="shared" si="14"/>
        <v>9.4091903719912398E-2</v>
      </c>
      <c r="N213" s="27" t="str">
        <f t="shared" si="15"/>
        <v>NO</v>
      </c>
    </row>
    <row r="214" spans="1:15" ht="15" customHeight="1" x14ac:dyDescent="0.25">
      <c r="A214" s="12">
        <v>46171</v>
      </c>
      <c r="B214" s="13" t="s">
        <v>95</v>
      </c>
      <c r="C214" s="13" t="s">
        <v>96</v>
      </c>
      <c r="D214" s="13" t="s">
        <v>97</v>
      </c>
      <c r="E214" s="14">
        <v>0.52</v>
      </c>
      <c r="F214" s="13" t="s">
        <v>56</v>
      </c>
      <c r="G214" s="15">
        <v>116.04</v>
      </c>
      <c r="H214" s="16">
        <v>118.88</v>
      </c>
      <c r="I214" s="16">
        <v>121.04</v>
      </c>
      <c r="J214" s="16">
        <v>114.6</v>
      </c>
      <c r="K214" s="26">
        <f t="shared" si="12"/>
        <v>2.4474319200275672E-2</v>
      </c>
      <c r="L214" s="26">
        <f t="shared" si="13"/>
        <v>4.3088590141330575E-2</v>
      </c>
      <c r="M214" s="26">
        <f t="shared" si="14"/>
        <v>-1.2409513960703307E-2</v>
      </c>
      <c r="N214" s="27" t="str">
        <f t="shared" si="15"/>
        <v>YES</v>
      </c>
    </row>
    <row r="215" spans="1:15" ht="15" customHeight="1" x14ac:dyDescent="0.25">
      <c r="A215" s="12">
        <v>46171</v>
      </c>
      <c r="B215" s="13" t="s">
        <v>109</v>
      </c>
      <c r="C215" s="13" t="s">
        <v>99</v>
      </c>
      <c r="D215" s="13" t="s">
        <v>97</v>
      </c>
      <c r="E215" s="14">
        <v>0.52</v>
      </c>
      <c r="F215" s="13" t="s">
        <v>56</v>
      </c>
      <c r="G215" s="15">
        <v>44.344999999999999</v>
      </c>
      <c r="H215" s="16">
        <v>44.35</v>
      </c>
      <c r="I215" s="16">
        <v>44.53</v>
      </c>
      <c r="J215" s="16">
        <v>46.02</v>
      </c>
      <c r="K215" s="26">
        <f t="shared" si="12"/>
        <v>1.1275228323379317E-4</v>
      </c>
      <c r="L215" s="26">
        <f t="shared" si="13"/>
        <v>4.1718344796482639E-3</v>
      </c>
      <c r="M215" s="26">
        <f t="shared" si="14"/>
        <v>3.7772014883301487E-2</v>
      </c>
      <c r="N215" s="27" t="str">
        <f t="shared" si="15"/>
        <v>YES</v>
      </c>
    </row>
    <row r="216" spans="1:15" ht="15" customHeight="1" x14ac:dyDescent="0.25">
      <c r="A216" s="12">
        <v>46171</v>
      </c>
      <c r="B216" s="13" t="s">
        <v>118</v>
      </c>
      <c r="C216" s="13" t="s">
        <v>119</v>
      </c>
      <c r="D216" s="13" t="s">
        <v>97</v>
      </c>
      <c r="E216" s="14">
        <v>0.52</v>
      </c>
      <c r="F216" s="13" t="s">
        <v>55</v>
      </c>
      <c r="G216" s="15">
        <v>756.89</v>
      </c>
      <c r="H216" s="16">
        <v>737.55</v>
      </c>
      <c r="I216" s="16">
        <v>741.75</v>
      </c>
      <c r="J216" s="16">
        <v>741</v>
      </c>
      <c r="K216" s="26">
        <f t="shared" si="12"/>
        <v>-2.5551929606680009E-2</v>
      </c>
      <c r="L216" s="26">
        <f t="shared" si="13"/>
        <v>-2.0002906631082437E-2</v>
      </c>
      <c r="M216" s="26">
        <f t="shared" si="14"/>
        <v>-2.0993803591010565E-2</v>
      </c>
      <c r="N216" s="27" t="str">
        <f t="shared" si="15"/>
        <v>YES</v>
      </c>
    </row>
    <row r="217" spans="1:15" ht="15" customHeight="1" x14ac:dyDescent="0.25">
      <c r="A217" s="12">
        <v>46171</v>
      </c>
      <c r="B217" s="13" t="s">
        <v>120</v>
      </c>
      <c r="C217" s="13" t="s">
        <v>119</v>
      </c>
      <c r="D217" s="13" t="s">
        <v>97</v>
      </c>
      <c r="E217" s="14">
        <v>0.48</v>
      </c>
      <c r="F217" s="13" t="s">
        <v>56</v>
      </c>
      <c r="G217" s="15">
        <v>738.88</v>
      </c>
      <c r="H217" s="16">
        <v>705.06</v>
      </c>
      <c r="I217" s="16">
        <v>721.34</v>
      </c>
      <c r="J217" s="16">
        <v>724.08</v>
      </c>
      <c r="K217" s="26">
        <f t="shared" si="12"/>
        <v>-4.5771979211780056E-2</v>
      </c>
      <c r="L217" s="26">
        <f t="shared" si="13"/>
        <v>-2.3738631442182714E-2</v>
      </c>
      <c r="M217" s="26">
        <f t="shared" si="14"/>
        <v>-2.0030316154179238E-2</v>
      </c>
      <c r="N217" s="27" t="str">
        <f t="shared" si="15"/>
        <v>NO</v>
      </c>
    </row>
    <row r="218" spans="1:15" ht="15" customHeight="1" x14ac:dyDescent="0.25">
      <c r="A218" s="12">
        <v>46171</v>
      </c>
      <c r="B218" s="13" t="s">
        <v>121</v>
      </c>
      <c r="C218" s="13" t="s">
        <v>119</v>
      </c>
      <c r="D218" s="13" t="s">
        <v>97</v>
      </c>
      <c r="E218" s="14">
        <v>0.52</v>
      </c>
      <c r="F218" s="13" t="s">
        <v>55</v>
      </c>
      <c r="G218" s="15">
        <v>372.21</v>
      </c>
      <c r="H218" s="16">
        <v>363.38</v>
      </c>
      <c r="I218" s="16">
        <v>366.36</v>
      </c>
      <c r="J218" s="16">
        <v>367.12</v>
      </c>
      <c r="K218" s="26">
        <f t="shared" si="12"/>
        <v>-2.37231670293651E-2</v>
      </c>
      <c r="L218" s="26">
        <f t="shared" si="13"/>
        <v>-1.5716933988877156E-2</v>
      </c>
      <c r="M218" s="26">
        <f t="shared" si="14"/>
        <v>-1.3675075898014494E-2</v>
      </c>
      <c r="N218" s="27" t="str">
        <f t="shared" si="15"/>
        <v>YES</v>
      </c>
    </row>
    <row r="219" spans="1:15" ht="15" customHeight="1" x14ac:dyDescent="0.25">
      <c r="A219" s="12">
        <v>46171</v>
      </c>
      <c r="B219" s="13" t="s">
        <v>122</v>
      </c>
      <c r="C219" s="13" t="s">
        <v>119</v>
      </c>
      <c r="D219" s="13" t="s">
        <v>124</v>
      </c>
      <c r="E219" s="14">
        <v>0.68</v>
      </c>
      <c r="F219" s="13" t="s">
        <v>56</v>
      </c>
      <c r="G219" s="15">
        <v>215.95</v>
      </c>
      <c r="H219" s="16">
        <v>205.1</v>
      </c>
      <c r="I219" s="16">
        <v>205.19</v>
      </c>
      <c r="J219" s="16">
        <v>194.97</v>
      </c>
      <c r="K219" s="26">
        <f t="shared" si="12"/>
        <v>-5.0243111831442443E-2</v>
      </c>
      <c r="L219" s="26">
        <f t="shared" si="13"/>
        <v>-4.9826348691826769E-2</v>
      </c>
      <c r="M219" s="26">
        <f t="shared" si="14"/>
        <v>-9.7152118545959676E-2</v>
      </c>
      <c r="N219" s="27" t="str">
        <f t="shared" si="15"/>
        <v>NO</v>
      </c>
    </row>
    <row r="220" spans="1:15" ht="15" customHeight="1" x14ac:dyDescent="0.25">
      <c r="A220" s="12">
        <v>46171</v>
      </c>
      <c r="B220" s="13" t="s">
        <v>123</v>
      </c>
      <c r="C220" s="13" t="s">
        <v>119</v>
      </c>
      <c r="D220" s="13" t="s">
        <v>97</v>
      </c>
      <c r="E220" s="14">
        <v>0.42</v>
      </c>
      <c r="F220" s="13" t="s">
        <v>56</v>
      </c>
      <c r="G220" s="15">
        <v>416.12</v>
      </c>
      <c r="H220" s="16">
        <v>396.24</v>
      </c>
      <c r="I220" s="16">
        <v>386.54</v>
      </c>
      <c r="J220" s="16">
        <v>368.58</v>
      </c>
      <c r="K220" s="26">
        <f t="shared" si="12"/>
        <v>-4.7774680380659414E-2</v>
      </c>
      <c r="L220" s="26">
        <f t="shared" si="13"/>
        <v>-7.1085263866192405E-2</v>
      </c>
      <c r="M220" s="26">
        <f t="shared" si="14"/>
        <v>-0.11424589060847837</v>
      </c>
      <c r="N220" s="27" t="str">
        <f t="shared" si="15"/>
        <v>NO</v>
      </c>
    </row>
    <row r="221" spans="1:15" ht="15" customHeight="1" x14ac:dyDescent="0.25">
      <c r="A221" s="12">
        <v>46174</v>
      </c>
      <c r="B221" s="13" t="s">
        <v>103</v>
      </c>
      <c r="C221" s="13" t="s">
        <v>99</v>
      </c>
      <c r="D221" s="13" t="s">
        <v>97</v>
      </c>
      <c r="E221" s="14">
        <v>0.55000000000000004</v>
      </c>
      <c r="F221" s="13" t="s">
        <v>56</v>
      </c>
      <c r="G221" s="15">
        <v>307.74</v>
      </c>
      <c r="H221" s="16">
        <v>301.54000000000002</v>
      </c>
      <c r="I221" s="16">
        <v>296.42</v>
      </c>
      <c r="J221" s="16">
        <v>289.36</v>
      </c>
      <c r="K221" s="26">
        <f t="shared" si="12"/>
        <v>-2.0146877234028689E-2</v>
      </c>
      <c r="L221" s="26">
        <f t="shared" si="13"/>
        <v>-3.678429843374275E-2</v>
      </c>
      <c r="M221" s="26">
        <f t="shared" si="14"/>
        <v>-5.9725742509910945E-2</v>
      </c>
      <c r="N221" s="27" t="str">
        <f t="shared" si="15"/>
        <v>YES</v>
      </c>
    </row>
    <row r="222" spans="1:15" ht="75" customHeight="1" x14ac:dyDescent="0.25">
      <c r="A222" s="28">
        <v>46174</v>
      </c>
      <c r="B222" s="29" t="s">
        <v>112</v>
      </c>
      <c r="C222" s="29" t="s">
        <v>113</v>
      </c>
      <c r="D222" s="29"/>
      <c r="E222" s="30"/>
      <c r="F222" s="29"/>
      <c r="G222" s="31">
        <v>19.91</v>
      </c>
      <c r="H222" s="32">
        <v>17.170000000000002</v>
      </c>
      <c r="I222" s="32">
        <v>18.899999999999999</v>
      </c>
      <c r="J222" s="32">
        <v>16.96</v>
      </c>
      <c r="K222" s="33">
        <f t="shared" si="12"/>
        <v>-0.13761928679055743</v>
      </c>
      <c r="L222" s="33">
        <f t="shared" si="13"/>
        <v>-5.0728277247614341E-2</v>
      </c>
      <c r="M222" s="33">
        <f t="shared" si="14"/>
        <v>-0.14816675037669508</v>
      </c>
      <c r="N222" s="27" t="str">
        <f t="shared" si="15"/>
        <v/>
      </c>
      <c r="O222" s="34" t="s">
        <v>126</v>
      </c>
    </row>
    <row r="223" spans="1:15" ht="15" customHeight="1" x14ac:dyDescent="0.25">
      <c r="A223" s="12">
        <v>46174</v>
      </c>
      <c r="B223" s="13" t="s">
        <v>105</v>
      </c>
      <c r="C223" s="13" t="s">
        <v>96</v>
      </c>
      <c r="D223" s="13" t="s">
        <v>97</v>
      </c>
      <c r="E223" s="14">
        <v>0.62</v>
      </c>
      <c r="F223" s="13" t="s">
        <v>56</v>
      </c>
      <c r="G223" s="15">
        <v>68.33</v>
      </c>
      <c r="H223" s="16">
        <v>64.44</v>
      </c>
      <c r="I223" s="16">
        <v>66.55</v>
      </c>
      <c r="J223" s="16">
        <v>65.61</v>
      </c>
      <c r="K223" s="26">
        <f t="shared" si="12"/>
        <v>-5.6929606322259629E-2</v>
      </c>
      <c r="L223" s="26">
        <f t="shared" si="13"/>
        <v>-2.6050051222010848E-2</v>
      </c>
      <c r="M223" s="26">
        <f t="shared" si="14"/>
        <v>-3.9806819844870465E-2</v>
      </c>
      <c r="N223" s="27" t="str">
        <f t="shared" si="15"/>
        <v>NO</v>
      </c>
    </row>
    <row r="224" spans="1:15" ht="15" customHeight="1" x14ac:dyDescent="0.25">
      <c r="A224" s="12">
        <v>46174</v>
      </c>
      <c r="B224" s="13" t="s">
        <v>114</v>
      </c>
      <c r="C224" s="13" t="s">
        <v>113</v>
      </c>
      <c r="D224" s="13" t="s">
        <v>97</v>
      </c>
      <c r="E224" s="14">
        <v>0.38</v>
      </c>
      <c r="F224" s="13" t="s">
        <v>56</v>
      </c>
      <c r="G224" s="15">
        <v>220.15</v>
      </c>
      <c r="H224" s="16">
        <v>237.83</v>
      </c>
      <c r="I224" s="16">
        <v>218.03</v>
      </c>
      <c r="J224" s="16">
        <v>221</v>
      </c>
      <c r="K224" s="26">
        <f t="shared" si="12"/>
        <v>8.0308880308880337E-2</v>
      </c>
      <c r="L224" s="26">
        <f t="shared" si="13"/>
        <v>-9.6297978650920039E-3</v>
      </c>
      <c r="M224" s="26">
        <f t="shared" si="14"/>
        <v>3.8610038610038351E-3</v>
      </c>
      <c r="N224" s="27" t="str">
        <f t="shared" si="15"/>
        <v>NO</v>
      </c>
    </row>
    <row r="225" spans="1:15" ht="15" customHeight="1" x14ac:dyDescent="0.25">
      <c r="A225" s="12">
        <v>46174</v>
      </c>
      <c r="B225" s="13" t="s">
        <v>116</v>
      </c>
      <c r="C225" s="13" t="s">
        <v>113</v>
      </c>
      <c r="D225" s="13" t="s">
        <v>97</v>
      </c>
      <c r="E225" s="14">
        <v>0.38</v>
      </c>
      <c r="F225" s="13" t="s">
        <v>57</v>
      </c>
      <c r="G225" s="15">
        <v>17.885000000000002</v>
      </c>
      <c r="H225" s="16">
        <v>17.02</v>
      </c>
      <c r="I225" s="16">
        <v>16.86</v>
      </c>
      <c r="J225" s="16">
        <v>16.75</v>
      </c>
      <c r="K225" s="26">
        <f t="shared" si="12"/>
        <v>-4.836455129997215E-2</v>
      </c>
      <c r="L225" s="26">
        <f t="shared" si="13"/>
        <v>-5.7310595471065255E-2</v>
      </c>
      <c r="M225" s="26">
        <f t="shared" si="14"/>
        <v>-6.3461000838691717E-2</v>
      </c>
      <c r="N225" s="27" t="str">
        <f t="shared" si="15"/>
        <v>NO</v>
      </c>
    </row>
    <row r="226" spans="1:15" ht="75" customHeight="1" x14ac:dyDescent="0.25">
      <c r="A226" s="28">
        <v>46174</v>
      </c>
      <c r="B226" s="29" t="s">
        <v>111</v>
      </c>
      <c r="C226" s="29" t="s">
        <v>113</v>
      </c>
      <c r="D226" s="29"/>
      <c r="E226" s="30"/>
      <c r="F226" s="29"/>
      <c r="G226" s="31">
        <v>68.11</v>
      </c>
      <c r="H226" s="32">
        <v>68.75</v>
      </c>
      <c r="I226" s="32">
        <v>68.510000000000005</v>
      </c>
      <c r="J226" s="32">
        <v>66.3</v>
      </c>
      <c r="K226" s="33">
        <f t="shared" si="12"/>
        <v>9.3965643811481508E-3</v>
      </c>
      <c r="L226" s="33">
        <f t="shared" si="13"/>
        <v>5.8728527382176723E-3</v>
      </c>
      <c r="M226" s="33">
        <f t="shared" si="14"/>
        <v>-2.6574658640434623E-2</v>
      </c>
      <c r="N226" s="27" t="str">
        <f t="shared" si="15"/>
        <v/>
      </c>
      <c r="O226" s="34" t="s">
        <v>127</v>
      </c>
    </row>
    <row r="227" spans="1:15" ht="15" customHeight="1" x14ac:dyDescent="0.25">
      <c r="A227" s="12">
        <v>46174</v>
      </c>
      <c r="B227" s="13" t="s">
        <v>104</v>
      </c>
      <c r="C227" s="13" t="s">
        <v>96</v>
      </c>
      <c r="D227" s="13" t="s">
        <v>97</v>
      </c>
      <c r="E227" s="14">
        <v>0.42</v>
      </c>
      <c r="F227" s="13" t="s">
        <v>56</v>
      </c>
      <c r="G227" s="15">
        <v>34.799999999999997</v>
      </c>
      <c r="H227" s="16">
        <v>34.200000000000003</v>
      </c>
      <c r="I227" s="16">
        <v>33.229999999999997</v>
      </c>
      <c r="J227" s="16">
        <v>27.36</v>
      </c>
      <c r="K227" s="26">
        <f t="shared" si="12"/>
        <v>-1.7241379310344664E-2</v>
      </c>
      <c r="L227" s="26">
        <f t="shared" si="13"/>
        <v>-4.5114942528735644E-2</v>
      </c>
      <c r="M227" s="26">
        <f t="shared" si="14"/>
        <v>-0.21379310344827582</v>
      </c>
      <c r="N227" s="27" t="str">
        <f t="shared" si="15"/>
        <v>YES</v>
      </c>
    </row>
    <row r="228" spans="1:15" ht="15" customHeight="1" x14ac:dyDescent="0.25">
      <c r="A228" s="12">
        <v>46174</v>
      </c>
      <c r="B228" s="13" t="s">
        <v>107</v>
      </c>
      <c r="C228" s="13" t="s">
        <v>96</v>
      </c>
      <c r="D228" s="13" t="s">
        <v>97</v>
      </c>
      <c r="E228" s="14">
        <v>0.52</v>
      </c>
      <c r="F228" s="13" t="s">
        <v>56</v>
      </c>
      <c r="G228" s="15">
        <v>81.86</v>
      </c>
      <c r="H228" s="16">
        <v>83.77</v>
      </c>
      <c r="I228" s="16">
        <v>84.07</v>
      </c>
      <c r="J228" s="16">
        <v>77.08</v>
      </c>
      <c r="K228" s="26">
        <f t="shared" si="12"/>
        <v>2.3332518934766632E-2</v>
      </c>
      <c r="L228" s="26">
        <f t="shared" si="13"/>
        <v>2.699731248472995E-2</v>
      </c>
      <c r="M228" s="26">
        <f t="shared" si="14"/>
        <v>-5.8392377229416093E-2</v>
      </c>
      <c r="N228" s="27" t="str">
        <f t="shared" si="15"/>
        <v>YES</v>
      </c>
    </row>
    <row r="229" spans="1:15" ht="15" customHeight="1" x14ac:dyDescent="0.25">
      <c r="A229" s="12">
        <v>46174</v>
      </c>
      <c r="B229" s="13" t="s">
        <v>106</v>
      </c>
      <c r="C229" s="13" t="s">
        <v>99</v>
      </c>
      <c r="D229" s="13" t="s">
        <v>97</v>
      </c>
      <c r="E229" s="14">
        <v>0.55000000000000004</v>
      </c>
      <c r="F229" s="13" t="s">
        <v>56</v>
      </c>
      <c r="G229" s="15">
        <v>296.27499999999998</v>
      </c>
      <c r="H229" s="16">
        <v>311.11</v>
      </c>
      <c r="I229" s="16">
        <v>319.39999999999998</v>
      </c>
      <c r="J229" s="16">
        <v>327.33</v>
      </c>
      <c r="K229" s="26">
        <f t="shared" si="12"/>
        <v>5.007172390515581E-2</v>
      </c>
      <c r="L229" s="26">
        <f t="shared" si="13"/>
        <v>7.8052485022360993E-2</v>
      </c>
      <c r="M229" s="26">
        <f t="shared" si="14"/>
        <v>0.10481815880516415</v>
      </c>
      <c r="N229" s="27" t="str">
        <f t="shared" si="15"/>
        <v>NO</v>
      </c>
    </row>
    <row r="230" spans="1:15" ht="15" customHeight="1" x14ac:dyDescent="0.25">
      <c r="A230" s="12">
        <v>46174</v>
      </c>
      <c r="B230" s="13" t="s">
        <v>100</v>
      </c>
      <c r="C230" s="13" t="s">
        <v>96</v>
      </c>
      <c r="D230" s="13" t="s">
        <v>97</v>
      </c>
      <c r="E230" s="14">
        <v>0.62</v>
      </c>
      <c r="F230" s="13" t="s">
        <v>55</v>
      </c>
      <c r="G230" s="15">
        <v>460.2</v>
      </c>
      <c r="H230" s="16">
        <v>411.74</v>
      </c>
      <c r="I230" s="16">
        <v>399.76</v>
      </c>
      <c r="J230" s="16">
        <v>373.02</v>
      </c>
      <c r="K230" s="26">
        <f t="shared" si="12"/>
        <v>-0.10530204259017814</v>
      </c>
      <c r="L230" s="26">
        <f t="shared" si="13"/>
        <v>-0.13133420252064321</v>
      </c>
      <c r="M230" s="26">
        <f t="shared" si="14"/>
        <v>-0.18943937418513693</v>
      </c>
      <c r="N230" s="27" t="str">
        <f t="shared" si="15"/>
        <v>NO</v>
      </c>
    </row>
    <row r="231" spans="1:15" ht="15" customHeight="1" x14ac:dyDescent="0.25">
      <c r="A231" s="12">
        <v>46174</v>
      </c>
      <c r="B231" s="13" t="s">
        <v>101</v>
      </c>
      <c r="C231" s="13" t="s">
        <v>99</v>
      </c>
      <c r="D231" s="13" t="s">
        <v>97</v>
      </c>
      <c r="E231" s="14">
        <v>0.48</v>
      </c>
      <c r="F231" s="13" t="s">
        <v>56</v>
      </c>
      <c r="G231" s="15">
        <v>45.734999999999999</v>
      </c>
      <c r="H231" s="16">
        <v>43.23</v>
      </c>
      <c r="I231" s="16">
        <v>45.2</v>
      </c>
      <c r="J231" s="16">
        <v>41.05</v>
      </c>
      <c r="K231" s="26">
        <f t="shared" si="12"/>
        <v>-5.47720564119384E-2</v>
      </c>
      <c r="L231" s="26">
        <f t="shared" si="13"/>
        <v>-1.1697824423308113E-2</v>
      </c>
      <c r="M231" s="26">
        <f t="shared" si="14"/>
        <v>-0.10243795780037175</v>
      </c>
      <c r="N231" s="27" t="str">
        <f t="shared" si="15"/>
        <v>NO</v>
      </c>
    </row>
    <row r="232" spans="1:15" ht="15" customHeight="1" x14ac:dyDescent="0.25">
      <c r="A232" s="12">
        <v>46174</v>
      </c>
      <c r="B232" s="13" t="s">
        <v>98</v>
      </c>
      <c r="C232" s="13" t="s">
        <v>96</v>
      </c>
      <c r="D232" s="13" t="s">
        <v>97</v>
      </c>
      <c r="E232" s="14">
        <v>0.52</v>
      </c>
      <c r="F232" s="13" t="s">
        <v>56</v>
      </c>
      <c r="G232" s="15">
        <v>68.959999999999994</v>
      </c>
      <c r="H232" s="16">
        <v>67.28</v>
      </c>
      <c r="I232" s="16">
        <v>66.13</v>
      </c>
      <c r="J232" s="16">
        <v>62.95</v>
      </c>
      <c r="K232" s="26">
        <f t="shared" si="12"/>
        <v>-2.4361948955916368E-2</v>
      </c>
      <c r="L232" s="26">
        <f t="shared" si="13"/>
        <v>-4.1038283062644988E-2</v>
      </c>
      <c r="M232" s="26">
        <f t="shared" si="14"/>
        <v>-8.7151972157772498E-2</v>
      </c>
      <c r="N232" s="27" t="str">
        <f t="shared" si="15"/>
        <v>YES</v>
      </c>
    </row>
    <row r="233" spans="1:15" ht="15" customHeight="1" x14ac:dyDescent="0.25">
      <c r="A233" s="12">
        <v>46174</v>
      </c>
      <c r="B233" s="13" t="s">
        <v>110</v>
      </c>
      <c r="C233" s="13" t="s">
        <v>99</v>
      </c>
      <c r="D233" s="13" t="s">
        <v>97</v>
      </c>
      <c r="E233" s="14">
        <v>0.62</v>
      </c>
      <c r="F233" s="13" t="s">
        <v>55</v>
      </c>
      <c r="G233" s="15">
        <v>175.09</v>
      </c>
      <c r="H233" s="16">
        <v>176.06</v>
      </c>
      <c r="I233" s="16">
        <v>181.81</v>
      </c>
      <c r="J233" s="16">
        <v>180.91</v>
      </c>
      <c r="K233" s="26">
        <f t="shared" si="12"/>
        <v>5.5400079958878223E-3</v>
      </c>
      <c r="L233" s="26">
        <f t="shared" si="13"/>
        <v>3.8380261579758976E-2</v>
      </c>
      <c r="M233" s="26">
        <f t="shared" si="14"/>
        <v>3.3240047975326932E-2</v>
      </c>
      <c r="N233" s="27" t="str">
        <f t="shared" si="15"/>
        <v>YES</v>
      </c>
    </row>
    <row r="234" spans="1:15" ht="15" customHeight="1" x14ac:dyDescent="0.25">
      <c r="A234" s="12">
        <v>46174</v>
      </c>
      <c r="B234" s="13" t="s">
        <v>108</v>
      </c>
      <c r="C234" s="13" t="s">
        <v>99</v>
      </c>
      <c r="D234" s="13" t="s">
        <v>97</v>
      </c>
      <c r="E234" s="14">
        <v>0.62</v>
      </c>
      <c r="F234" s="13" t="s">
        <v>55</v>
      </c>
      <c r="G234" s="15">
        <v>692.65499999999997</v>
      </c>
      <c r="H234" s="16">
        <v>693.81</v>
      </c>
      <c r="I234" s="16">
        <v>724.35</v>
      </c>
      <c r="J234" s="16">
        <v>720.04</v>
      </c>
      <c r="K234" s="26">
        <f t="shared" si="12"/>
        <v>1.6674968057690666E-3</v>
      </c>
      <c r="L234" s="26">
        <f t="shared" si="13"/>
        <v>4.5758711046625017E-2</v>
      </c>
      <c r="M234" s="26">
        <f t="shared" si="14"/>
        <v>3.9536277078776577E-2</v>
      </c>
      <c r="N234" s="27" t="str">
        <f t="shared" si="15"/>
        <v>YES</v>
      </c>
    </row>
    <row r="235" spans="1:15" ht="15" customHeight="1" x14ac:dyDescent="0.25">
      <c r="A235" s="12">
        <v>46174</v>
      </c>
      <c r="B235" s="13" t="s">
        <v>115</v>
      </c>
      <c r="C235" s="13" t="s">
        <v>113</v>
      </c>
      <c r="D235" s="13" t="s">
        <v>97</v>
      </c>
      <c r="E235" s="14">
        <v>0.52</v>
      </c>
      <c r="F235" s="13" t="s">
        <v>56</v>
      </c>
      <c r="G235" s="15">
        <v>175.12</v>
      </c>
      <c r="H235" s="16">
        <v>178.66</v>
      </c>
      <c r="I235" s="16">
        <v>183.64</v>
      </c>
      <c r="J235" s="16">
        <v>189.73</v>
      </c>
      <c r="K235" s="26">
        <f t="shared" si="12"/>
        <v>2.0214709913202331E-2</v>
      </c>
      <c r="L235" s="26">
        <f t="shared" si="13"/>
        <v>4.8652352672453068E-2</v>
      </c>
      <c r="M235" s="26">
        <f t="shared" si="14"/>
        <v>8.3428506167199545E-2</v>
      </c>
      <c r="N235" s="27" t="str">
        <f t="shared" si="15"/>
        <v>YES</v>
      </c>
    </row>
    <row r="236" spans="1:15" ht="15" customHeight="1" x14ac:dyDescent="0.25">
      <c r="A236" s="12">
        <v>46174</v>
      </c>
      <c r="B236" s="13" t="s">
        <v>102</v>
      </c>
      <c r="C236" s="13" t="s">
        <v>99</v>
      </c>
      <c r="D236" s="13" t="s">
        <v>97</v>
      </c>
      <c r="E236" s="14">
        <v>0.65</v>
      </c>
      <c r="F236" s="13" t="s">
        <v>55</v>
      </c>
      <c r="G236" s="15">
        <v>32.255000000000003</v>
      </c>
      <c r="H236" s="16">
        <v>32.29</v>
      </c>
      <c r="I236" s="16">
        <v>32.630000000000003</v>
      </c>
      <c r="J236" s="16">
        <v>31.71</v>
      </c>
      <c r="K236" s="26">
        <f t="shared" si="12"/>
        <v>1.0851030847929496E-3</v>
      </c>
      <c r="L236" s="26">
        <f t="shared" si="13"/>
        <v>1.1626104479925592E-2</v>
      </c>
      <c r="M236" s="26">
        <f t="shared" si="14"/>
        <v>-1.6896605177491912E-2</v>
      </c>
      <c r="N236" s="27" t="str">
        <f t="shared" si="15"/>
        <v>YES</v>
      </c>
    </row>
    <row r="237" spans="1:15" ht="15" customHeight="1" x14ac:dyDescent="0.25">
      <c r="A237" s="12">
        <v>46174</v>
      </c>
      <c r="B237" s="13" t="s">
        <v>117</v>
      </c>
      <c r="C237" s="13" t="s">
        <v>113</v>
      </c>
      <c r="D237" s="13" t="s">
        <v>97</v>
      </c>
      <c r="E237" s="14">
        <v>0.45</v>
      </c>
      <c r="F237" s="13" t="s">
        <v>56</v>
      </c>
      <c r="G237" s="15">
        <v>4.59</v>
      </c>
      <c r="H237" s="16">
        <v>5.82</v>
      </c>
      <c r="I237" s="16">
        <v>5.0199999999999996</v>
      </c>
      <c r="J237" s="16">
        <v>5.01</v>
      </c>
      <c r="K237" s="26">
        <f t="shared" si="12"/>
        <v>0.26797385620915043</v>
      </c>
      <c r="L237" s="26">
        <f t="shared" si="13"/>
        <v>9.3681917211328916E-2</v>
      </c>
      <c r="M237" s="26">
        <f t="shared" si="14"/>
        <v>9.1503267973856203E-2</v>
      </c>
      <c r="N237" s="27" t="str">
        <f t="shared" si="15"/>
        <v>NO</v>
      </c>
    </row>
    <row r="238" spans="1:15" ht="15" customHeight="1" x14ac:dyDescent="0.25">
      <c r="A238" s="12">
        <v>46174</v>
      </c>
      <c r="B238" s="13" t="s">
        <v>95</v>
      </c>
      <c r="C238" s="13" t="s">
        <v>96</v>
      </c>
      <c r="D238" s="13" t="s">
        <v>97</v>
      </c>
      <c r="E238" s="14">
        <v>0.52</v>
      </c>
      <c r="F238" s="13" t="s">
        <v>56</v>
      </c>
      <c r="G238" s="15">
        <v>114.485</v>
      </c>
      <c r="H238" s="16">
        <v>119.83</v>
      </c>
      <c r="I238" s="16">
        <v>120.82</v>
      </c>
      <c r="J238" s="16">
        <v>113.26</v>
      </c>
      <c r="K238" s="26">
        <f t="shared" si="12"/>
        <v>4.6687338952701218E-2</v>
      </c>
      <c r="L238" s="26">
        <f t="shared" si="13"/>
        <v>5.5334760012228625E-2</v>
      </c>
      <c r="M238" s="26">
        <f t="shared" si="14"/>
        <v>-1.0700091715071794E-2</v>
      </c>
      <c r="N238" s="27" t="str">
        <f t="shared" si="15"/>
        <v>NO</v>
      </c>
    </row>
    <row r="239" spans="1:15" ht="15" customHeight="1" x14ac:dyDescent="0.25">
      <c r="A239" s="12">
        <v>46174</v>
      </c>
      <c r="B239" s="13" t="s">
        <v>109</v>
      </c>
      <c r="C239" s="13" t="s">
        <v>99</v>
      </c>
      <c r="D239" s="13" t="s">
        <v>97</v>
      </c>
      <c r="E239" s="14">
        <v>0.45</v>
      </c>
      <c r="F239" s="13" t="s">
        <v>56</v>
      </c>
      <c r="G239" s="15">
        <v>43.575000000000003</v>
      </c>
      <c r="H239" s="16">
        <v>43.52</v>
      </c>
      <c r="I239" s="16">
        <v>44.74</v>
      </c>
      <c r="J239" s="16">
        <v>45.34</v>
      </c>
      <c r="K239" s="26">
        <f t="shared" si="12"/>
        <v>-1.2621916236374001E-3</v>
      </c>
      <c r="L239" s="26">
        <f t="shared" si="13"/>
        <v>2.6735513482501413E-2</v>
      </c>
      <c r="M239" s="26">
        <f t="shared" si="14"/>
        <v>4.0504876649454971E-2</v>
      </c>
      <c r="N239" s="27" t="str">
        <f t="shared" si="15"/>
        <v>YES</v>
      </c>
    </row>
    <row r="240" spans="1:15" ht="15" customHeight="1" x14ac:dyDescent="0.25">
      <c r="A240" s="12">
        <v>46174</v>
      </c>
      <c r="B240" s="13" t="s">
        <v>118</v>
      </c>
      <c r="C240" s="13" t="s">
        <v>119</v>
      </c>
      <c r="D240" s="13" t="s">
        <v>97</v>
      </c>
      <c r="E240" s="14">
        <v>0.52</v>
      </c>
      <c r="F240" s="13" t="s">
        <v>56</v>
      </c>
      <c r="G240" s="15">
        <v>755.6</v>
      </c>
      <c r="H240" s="16">
        <v>739.22</v>
      </c>
      <c r="I240" s="16">
        <v>754.83</v>
      </c>
      <c r="J240" s="16">
        <v>746.77</v>
      </c>
      <c r="K240" s="26">
        <f t="shared" si="12"/>
        <v>-2.1678136580201159E-2</v>
      </c>
      <c r="L240" s="26">
        <f t="shared" si="13"/>
        <v>-1.0190577024880648E-3</v>
      </c>
      <c r="M240" s="26">
        <f t="shared" si="14"/>
        <v>-1.1686077289571255E-2</v>
      </c>
      <c r="N240" s="27" t="str">
        <f t="shared" si="15"/>
        <v>YES</v>
      </c>
    </row>
    <row r="241" spans="1:14" ht="15" customHeight="1" x14ac:dyDescent="0.25">
      <c r="A241" s="12">
        <v>46174</v>
      </c>
      <c r="B241" s="13" t="s">
        <v>120</v>
      </c>
      <c r="C241" s="13" t="s">
        <v>119</v>
      </c>
      <c r="D241" s="13" t="s">
        <v>97</v>
      </c>
      <c r="E241" s="14">
        <v>0.45</v>
      </c>
      <c r="F241" s="13" t="s">
        <v>56</v>
      </c>
      <c r="G241" s="15">
        <v>738.7</v>
      </c>
      <c r="H241" s="16">
        <v>716.07</v>
      </c>
      <c r="I241" s="16">
        <v>744</v>
      </c>
      <c r="J241" s="16">
        <v>736.4</v>
      </c>
      <c r="K241" s="26">
        <f t="shared" si="12"/>
        <v>-3.0634899147150393E-2</v>
      </c>
      <c r="L241" s="26">
        <f t="shared" si="13"/>
        <v>7.1747664816569027E-3</v>
      </c>
      <c r="M241" s="26">
        <f t="shared" si="14"/>
        <v>-3.1135779071342468E-3</v>
      </c>
      <c r="N241" s="27" t="str">
        <f t="shared" si="15"/>
        <v>NO</v>
      </c>
    </row>
    <row r="242" spans="1:14" ht="15" customHeight="1" x14ac:dyDescent="0.25">
      <c r="A242" s="12">
        <v>46174</v>
      </c>
      <c r="B242" s="13" t="s">
        <v>121</v>
      </c>
      <c r="C242" s="13" t="s">
        <v>119</v>
      </c>
      <c r="D242" s="13" t="s">
        <v>97</v>
      </c>
      <c r="E242" s="14">
        <v>0.52</v>
      </c>
      <c r="F242" s="13" t="s">
        <v>56</v>
      </c>
      <c r="G242" s="15">
        <v>371.9</v>
      </c>
      <c r="H242" s="16">
        <v>364.47</v>
      </c>
      <c r="I242" s="16">
        <v>372.53</v>
      </c>
      <c r="J242" s="16">
        <v>370.04</v>
      </c>
      <c r="K242" s="26">
        <f t="shared" si="12"/>
        <v>-1.9978488841086179E-2</v>
      </c>
      <c r="L242" s="26">
        <f t="shared" si="13"/>
        <v>1.6940037644527979E-3</v>
      </c>
      <c r="M242" s="26">
        <f t="shared" si="14"/>
        <v>-5.0013444474319895E-3</v>
      </c>
      <c r="N242" s="27" t="str">
        <f t="shared" si="15"/>
        <v>YES</v>
      </c>
    </row>
    <row r="243" spans="1:14" ht="15" customHeight="1" x14ac:dyDescent="0.25">
      <c r="A243" s="12">
        <v>46174</v>
      </c>
      <c r="B243" s="13" t="s">
        <v>122</v>
      </c>
      <c r="C243" s="13" t="s">
        <v>119</v>
      </c>
      <c r="D243" s="13" t="s">
        <v>124</v>
      </c>
      <c r="E243" s="14">
        <v>0.68</v>
      </c>
      <c r="F243" s="13" t="s">
        <v>56</v>
      </c>
      <c r="G243" s="15">
        <v>221.58500000000001</v>
      </c>
      <c r="H243" s="16">
        <v>208.64</v>
      </c>
      <c r="I243" s="16">
        <v>212.45</v>
      </c>
      <c r="J243" s="16">
        <v>200.09</v>
      </c>
      <c r="K243" s="26">
        <f t="shared" si="12"/>
        <v>-5.8420019405645784E-2</v>
      </c>
      <c r="L243" s="26">
        <f t="shared" si="13"/>
        <v>-4.1225714737008458E-2</v>
      </c>
      <c r="M243" s="26">
        <f t="shared" si="14"/>
        <v>-9.7005663740776696E-2</v>
      </c>
      <c r="N243" s="27" t="str">
        <f t="shared" si="15"/>
        <v>NO</v>
      </c>
    </row>
    <row r="244" spans="1:14" ht="15" customHeight="1" x14ac:dyDescent="0.25">
      <c r="A244" s="12">
        <v>46174</v>
      </c>
      <c r="B244" s="13" t="s">
        <v>123</v>
      </c>
      <c r="C244" s="13" t="s">
        <v>119</v>
      </c>
      <c r="D244" s="13" t="s">
        <v>97</v>
      </c>
      <c r="E244" s="14">
        <v>0.45</v>
      </c>
      <c r="F244" s="13" t="s">
        <v>56</v>
      </c>
      <c r="G244" s="15">
        <v>409.27</v>
      </c>
      <c r="H244" s="16">
        <v>397.27</v>
      </c>
      <c r="I244" s="16">
        <v>396.55</v>
      </c>
      <c r="J244" s="16">
        <v>368.38</v>
      </c>
      <c r="K244" s="26">
        <f t="shared" si="12"/>
        <v>-2.9320497471107095E-2</v>
      </c>
      <c r="L244" s="26">
        <f t="shared" si="13"/>
        <v>-3.1079727319373449E-2</v>
      </c>
      <c r="M244" s="26">
        <f t="shared" si="14"/>
        <v>-9.9909595132797388E-2</v>
      </c>
      <c r="N244" s="27" t="str">
        <f t="shared" si="15"/>
        <v>YES</v>
      </c>
    </row>
    <row r="245" spans="1:14" ht="15" customHeight="1" x14ac:dyDescent="0.25">
      <c r="A245" s="12">
        <v>46175</v>
      </c>
      <c r="B245" s="13" t="s">
        <v>103</v>
      </c>
      <c r="C245" s="13" t="s">
        <v>99</v>
      </c>
      <c r="D245" s="13" t="s">
        <v>97</v>
      </c>
      <c r="E245" s="14">
        <v>0.52</v>
      </c>
      <c r="F245" s="13" t="s">
        <v>56</v>
      </c>
      <c r="G245" s="15">
        <v>310.16000000000003</v>
      </c>
      <c r="H245" s="16">
        <v>290.55</v>
      </c>
      <c r="I245" s="16">
        <v>299.24</v>
      </c>
      <c r="J245" s="16">
        <v>294.38</v>
      </c>
      <c r="K245" s="26">
        <f t="shared" si="12"/>
        <v>-6.3225432035078702E-2</v>
      </c>
      <c r="L245" s="26">
        <f t="shared" si="13"/>
        <v>-3.5207634769151452E-2</v>
      </c>
      <c r="M245" s="26">
        <f t="shared" si="14"/>
        <v>-5.0876966726850749E-2</v>
      </c>
      <c r="N245" s="27" t="str">
        <f t="shared" si="15"/>
        <v>NO</v>
      </c>
    </row>
    <row r="246" spans="1:14" ht="15" customHeight="1" x14ac:dyDescent="0.25">
      <c r="A246" s="12">
        <v>46175</v>
      </c>
      <c r="B246" s="13" t="s">
        <v>112</v>
      </c>
      <c r="C246" s="13" t="s">
        <v>113</v>
      </c>
      <c r="D246" s="13" t="s">
        <v>97</v>
      </c>
      <c r="E246" s="14">
        <v>0.42</v>
      </c>
      <c r="F246" s="13" t="s">
        <v>56</v>
      </c>
      <c r="G246" s="15">
        <v>20.475000000000001</v>
      </c>
      <c r="H246" s="16">
        <v>16.54</v>
      </c>
      <c r="I246" s="16">
        <v>19.420000000000002</v>
      </c>
      <c r="J246" s="16">
        <v>17.04</v>
      </c>
      <c r="K246" s="26">
        <f t="shared" si="12"/>
        <v>-0.19218559218559228</v>
      </c>
      <c r="L246" s="26">
        <f t="shared" si="13"/>
        <v>-5.152625152625151E-2</v>
      </c>
      <c r="M246" s="26">
        <f t="shared" si="14"/>
        <v>-0.16776556776556786</v>
      </c>
      <c r="N246" s="27" t="str">
        <f t="shared" si="15"/>
        <v>NO</v>
      </c>
    </row>
    <row r="247" spans="1:14" ht="15" customHeight="1" x14ac:dyDescent="0.25">
      <c r="A247" s="12">
        <v>46175</v>
      </c>
      <c r="B247" s="13" t="s">
        <v>105</v>
      </c>
      <c r="C247" s="13" t="s">
        <v>96</v>
      </c>
      <c r="D247" s="13" t="s">
        <v>97</v>
      </c>
      <c r="E247" s="14">
        <v>0.55000000000000004</v>
      </c>
      <c r="F247" s="13" t="s">
        <v>56</v>
      </c>
      <c r="G247" s="15">
        <v>69.38</v>
      </c>
      <c r="H247" s="16">
        <v>63.16</v>
      </c>
      <c r="I247" s="16">
        <v>64.64</v>
      </c>
      <c r="J247" s="16">
        <v>63.63</v>
      </c>
      <c r="K247" s="26">
        <f t="shared" si="12"/>
        <v>-8.9651196310175832E-2</v>
      </c>
      <c r="L247" s="26">
        <f t="shared" si="13"/>
        <v>-6.8319400403574454E-2</v>
      </c>
      <c r="M247" s="26">
        <f t="shared" si="14"/>
        <v>-8.2876909772268567E-2</v>
      </c>
      <c r="N247" s="27" t="str">
        <f t="shared" si="15"/>
        <v>NO</v>
      </c>
    </row>
    <row r="248" spans="1:14" ht="15" customHeight="1" x14ac:dyDescent="0.25">
      <c r="A248" s="12">
        <v>46175</v>
      </c>
      <c r="B248" s="13" t="s">
        <v>114</v>
      </c>
      <c r="C248" s="13" t="s">
        <v>113</v>
      </c>
      <c r="D248" s="13" t="s">
        <v>97</v>
      </c>
      <c r="E248" s="14">
        <v>0.42</v>
      </c>
      <c r="F248" s="13" t="s">
        <v>56</v>
      </c>
      <c r="G248" s="15">
        <v>227.75</v>
      </c>
      <c r="H248" s="16">
        <v>226.81</v>
      </c>
      <c r="I248" s="16">
        <v>212.45</v>
      </c>
      <c r="J248" s="16">
        <v>221.27</v>
      </c>
      <c r="K248" s="26">
        <f t="shared" si="12"/>
        <v>-4.1273326015367632E-3</v>
      </c>
      <c r="L248" s="26">
        <f t="shared" si="13"/>
        <v>-6.7178924259056028E-2</v>
      </c>
      <c r="M248" s="26">
        <f t="shared" si="14"/>
        <v>-2.8452250274423666E-2</v>
      </c>
      <c r="N248" s="27" t="str">
        <f t="shared" si="15"/>
        <v>YES</v>
      </c>
    </row>
    <row r="249" spans="1:14" ht="15" customHeight="1" x14ac:dyDescent="0.25">
      <c r="A249" s="12">
        <v>46175</v>
      </c>
      <c r="B249" s="13" t="s">
        <v>104</v>
      </c>
      <c r="C249" s="13" t="s">
        <v>96</v>
      </c>
      <c r="D249" s="13" t="s">
        <v>97</v>
      </c>
      <c r="E249" s="14">
        <v>0.42</v>
      </c>
      <c r="F249" s="13" t="s">
        <v>56</v>
      </c>
      <c r="G249" s="15">
        <v>34.46</v>
      </c>
      <c r="H249" s="16">
        <v>33.22</v>
      </c>
      <c r="I249" s="16">
        <v>32.96</v>
      </c>
      <c r="J249" s="16">
        <v>27.02</v>
      </c>
      <c r="K249" s="26">
        <f t="shared" si="12"/>
        <v>-3.5983749274521241E-2</v>
      </c>
      <c r="L249" s="26">
        <f t="shared" si="13"/>
        <v>-4.3528728961114337E-2</v>
      </c>
      <c r="M249" s="26">
        <f t="shared" si="14"/>
        <v>-0.21590249564712713</v>
      </c>
      <c r="N249" s="27" t="str">
        <f t="shared" si="15"/>
        <v>NO</v>
      </c>
    </row>
    <row r="250" spans="1:14" ht="15" customHeight="1" x14ac:dyDescent="0.25">
      <c r="A250" s="12">
        <v>46175</v>
      </c>
      <c r="B250" s="13" t="s">
        <v>111</v>
      </c>
      <c r="C250" s="13" t="s">
        <v>113</v>
      </c>
      <c r="D250" s="13" t="s">
        <v>97</v>
      </c>
      <c r="E250" s="14">
        <v>0.55000000000000004</v>
      </c>
      <c r="F250" s="13" t="s">
        <v>56</v>
      </c>
      <c r="G250" s="15">
        <v>69.47</v>
      </c>
      <c r="H250" s="16">
        <v>68.39</v>
      </c>
      <c r="I250" s="16">
        <v>67</v>
      </c>
      <c r="J250" s="16">
        <v>65.11</v>
      </c>
      <c r="K250" s="26">
        <f t="shared" si="12"/>
        <v>-1.5546278969339258E-2</v>
      </c>
      <c r="L250" s="26">
        <f t="shared" si="13"/>
        <v>-3.5554915790988899E-2</v>
      </c>
      <c r="M250" s="26">
        <f t="shared" si="14"/>
        <v>-6.2760903987332653E-2</v>
      </c>
      <c r="N250" s="27" t="str">
        <f t="shared" si="15"/>
        <v>YES</v>
      </c>
    </row>
    <row r="251" spans="1:14" ht="15" customHeight="1" x14ac:dyDescent="0.25">
      <c r="A251" s="12">
        <v>46175</v>
      </c>
      <c r="B251" s="13" t="s">
        <v>107</v>
      </c>
      <c r="C251" s="13" t="s">
        <v>96</v>
      </c>
      <c r="D251" s="13" t="s">
        <v>97</v>
      </c>
      <c r="E251" s="14">
        <v>0.48</v>
      </c>
      <c r="F251" s="13" t="s">
        <v>55</v>
      </c>
      <c r="G251" s="15">
        <v>82.004999999999995</v>
      </c>
      <c r="H251" s="16">
        <v>83.76</v>
      </c>
      <c r="I251" s="16">
        <v>82.51</v>
      </c>
      <c r="J251" s="16">
        <v>75.52</v>
      </c>
      <c r="K251" s="26">
        <f t="shared" si="12"/>
        <v>2.1401134077190534E-2</v>
      </c>
      <c r="L251" s="26">
        <f t="shared" si="13"/>
        <v>6.158161087738671E-3</v>
      </c>
      <c r="M251" s="26">
        <f t="shared" si="14"/>
        <v>-7.9080543869276265E-2</v>
      </c>
      <c r="N251" s="27" t="str">
        <f t="shared" si="15"/>
        <v>YES</v>
      </c>
    </row>
    <row r="252" spans="1:14" ht="15" customHeight="1" x14ac:dyDescent="0.25">
      <c r="A252" s="12">
        <v>46175</v>
      </c>
      <c r="B252" s="13" t="s">
        <v>106</v>
      </c>
      <c r="C252" s="13" t="s">
        <v>99</v>
      </c>
      <c r="D252" s="13" t="s">
        <v>97</v>
      </c>
      <c r="E252" s="14">
        <v>0.52</v>
      </c>
      <c r="F252" s="13" t="s">
        <v>56</v>
      </c>
      <c r="G252" s="15">
        <v>296.67</v>
      </c>
      <c r="H252" s="16">
        <v>312.7</v>
      </c>
      <c r="I252" s="16">
        <v>331.14</v>
      </c>
      <c r="J252" s="16">
        <v>334.07</v>
      </c>
      <c r="K252" s="26">
        <f t="shared" si="12"/>
        <v>5.4033100751676853E-2</v>
      </c>
      <c r="L252" s="26">
        <f t="shared" si="13"/>
        <v>0.11618970573364333</v>
      </c>
      <c r="M252" s="26">
        <f t="shared" si="14"/>
        <v>0.1260659992584352</v>
      </c>
      <c r="N252" s="27" t="str">
        <f t="shared" si="15"/>
        <v>NO</v>
      </c>
    </row>
    <row r="253" spans="1:14" ht="15" customHeight="1" x14ac:dyDescent="0.25">
      <c r="A253" s="12">
        <v>46175</v>
      </c>
      <c r="B253" s="13" t="s">
        <v>100</v>
      </c>
      <c r="C253" s="13" t="s">
        <v>96</v>
      </c>
      <c r="D253" s="13" t="s">
        <v>97</v>
      </c>
      <c r="E253" s="14">
        <v>0.55000000000000004</v>
      </c>
      <c r="F253" s="13" t="s">
        <v>56</v>
      </c>
      <c r="G253" s="15">
        <v>444.34</v>
      </c>
      <c r="H253" s="16">
        <v>403.41</v>
      </c>
      <c r="I253" s="16">
        <v>393.83</v>
      </c>
      <c r="J253" s="16">
        <v>384.28</v>
      </c>
      <c r="K253" s="26">
        <f t="shared" si="12"/>
        <v>-9.2114146824503654E-2</v>
      </c>
      <c r="L253" s="26">
        <f t="shared" si="13"/>
        <v>-0.11367421344015842</v>
      </c>
      <c r="M253" s="26">
        <f t="shared" si="14"/>
        <v>-0.13516676418958457</v>
      </c>
      <c r="N253" s="27" t="str">
        <f t="shared" si="15"/>
        <v>NO</v>
      </c>
    </row>
    <row r="254" spans="1:14" ht="15" customHeight="1" x14ac:dyDescent="0.25">
      <c r="A254" s="12">
        <v>46175</v>
      </c>
      <c r="B254" s="13" t="s">
        <v>101</v>
      </c>
      <c r="C254" s="13" t="s">
        <v>99</v>
      </c>
      <c r="D254" s="13" t="s">
        <v>97</v>
      </c>
      <c r="E254" s="14">
        <v>0.42</v>
      </c>
      <c r="F254" s="13" t="s">
        <v>56</v>
      </c>
      <c r="G254" s="15">
        <v>44.134999999999998</v>
      </c>
      <c r="H254" s="16">
        <v>44.65</v>
      </c>
      <c r="I254" s="16">
        <v>45.04</v>
      </c>
      <c r="J254" s="16">
        <v>43.06</v>
      </c>
      <c r="K254" s="26">
        <f t="shared" si="12"/>
        <v>1.1668743627506528E-2</v>
      </c>
      <c r="L254" s="26">
        <f t="shared" si="13"/>
        <v>2.0505267927948368E-2</v>
      </c>
      <c r="M254" s="26">
        <f t="shared" si="14"/>
        <v>-2.4357086212756219E-2</v>
      </c>
      <c r="N254" s="27" t="str">
        <f t="shared" si="15"/>
        <v>YES</v>
      </c>
    </row>
    <row r="255" spans="1:14" ht="15" customHeight="1" x14ac:dyDescent="0.25">
      <c r="A255" s="12">
        <v>46175</v>
      </c>
      <c r="B255" s="13" t="s">
        <v>98</v>
      </c>
      <c r="C255" s="13" t="s">
        <v>96</v>
      </c>
      <c r="D255" s="13" t="s">
        <v>97</v>
      </c>
      <c r="E255" s="14">
        <v>0.52</v>
      </c>
      <c r="F255" s="13" t="s">
        <v>56</v>
      </c>
      <c r="G255" s="15">
        <v>69.935000000000002</v>
      </c>
      <c r="H255" s="16">
        <v>66.349999999999994</v>
      </c>
      <c r="I255" s="16">
        <v>65.48</v>
      </c>
      <c r="J255" s="16">
        <v>63.57</v>
      </c>
      <c r="K255" s="26">
        <f t="shared" si="12"/>
        <v>-5.12618860370345E-2</v>
      </c>
      <c r="L255" s="26">
        <f t="shared" si="13"/>
        <v>-6.3702009008364882E-2</v>
      </c>
      <c r="M255" s="26">
        <f t="shared" si="14"/>
        <v>-9.1013083577607803E-2</v>
      </c>
      <c r="N255" s="27" t="str">
        <f t="shared" si="15"/>
        <v>NO</v>
      </c>
    </row>
    <row r="256" spans="1:14" ht="15" customHeight="1" x14ac:dyDescent="0.25">
      <c r="A256" s="12">
        <v>46175</v>
      </c>
      <c r="B256" s="13" t="s">
        <v>110</v>
      </c>
      <c r="C256" s="13" t="s">
        <v>99</v>
      </c>
      <c r="D256" s="13" t="s">
        <v>97</v>
      </c>
      <c r="E256" s="14">
        <v>0.57999999999999996</v>
      </c>
      <c r="F256" s="13" t="s">
        <v>55</v>
      </c>
      <c r="G256" s="15">
        <v>174.1</v>
      </c>
      <c r="H256" s="16">
        <v>178.49</v>
      </c>
      <c r="I256" s="16">
        <v>184.06</v>
      </c>
      <c r="J256" s="16">
        <v>177.69</v>
      </c>
      <c r="K256" s="26">
        <f t="shared" si="12"/>
        <v>2.5215393452039145E-2</v>
      </c>
      <c r="L256" s="26">
        <f t="shared" si="13"/>
        <v>5.7208500861573856E-2</v>
      </c>
      <c r="M256" s="26">
        <f t="shared" si="14"/>
        <v>2.0620333141872508E-2</v>
      </c>
      <c r="N256" s="27" t="str">
        <f t="shared" si="15"/>
        <v>YES</v>
      </c>
    </row>
    <row r="257" spans="1:14" ht="15" customHeight="1" x14ac:dyDescent="0.25">
      <c r="A257" s="12">
        <v>46175</v>
      </c>
      <c r="B257" s="13" t="s">
        <v>108</v>
      </c>
      <c r="C257" s="13" t="s">
        <v>99</v>
      </c>
      <c r="D257" s="13" t="s">
        <v>97</v>
      </c>
      <c r="E257" s="14">
        <v>0.62</v>
      </c>
      <c r="F257" s="13" t="s">
        <v>55</v>
      </c>
      <c r="G257" s="15">
        <v>702.96</v>
      </c>
      <c r="H257" s="16">
        <v>691.95</v>
      </c>
      <c r="I257" s="16">
        <v>719.29</v>
      </c>
      <c r="J257" s="16">
        <v>691.4</v>
      </c>
      <c r="K257" s="26">
        <f t="shared" si="12"/>
        <v>-1.5662342096278578E-2</v>
      </c>
      <c r="L257" s="26">
        <f t="shared" si="13"/>
        <v>2.3230340275406745E-2</v>
      </c>
      <c r="M257" s="26">
        <f t="shared" si="14"/>
        <v>-1.6444747923068253E-2</v>
      </c>
      <c r="N257" s="27" t="str">
        <f t="shared" si="15"/>
        <v>YES</v>
      </c>
    </row>
    <row r="258" spans="1:14" ht="15" customHeight="1" x14ac:dyDescent="0.25">
      <c r="A258" s="12">
        <v>46175</v>
      </c>
      <c r="B258" s="13" t="s">
        <v>115</v>
      </c>
      <c r="C258" s="13" t="s">
        <v>113</v>
      </c>
      <c r="D258" s="13" t="s">
        <v>97</v>
      </c>
      <c r="E258" s="14">
        <v>0.52</v>
      </c>
      <c r="F258" s="13" t="s">
        <v>56</v>
      </c>
      <c r="G258" s="15">
        <v>175.125</v>
      </c>
      <c r="H258" s="16">
        <v>181.56</v>
      </c>
      <c r="I258" s="16">
        <v>186.77</v>
      </c>
      <c r="J258" s="16">
        <v>191.78</v>
      </c>
      <c r="K258" s="26">
        <f t="shared" si="12"/>
        <v>3.6745182012847981E-2</v>
      </c>
      <c r="L258" s="26">
        <f t="shared" si="13"/>
        <v>6.6495360456816616E-2</v>
      </c>
      <c r="M258" s="26">
        <f t="shared" si="14"/>
        <v>9.5103497501784443E-2</v>
      </c>
      <c r="N258" s="27" t="str">
        <f t="shared" si="15"/>
        <v>NO</v>
      </c>
    </row>
    <row r="259" spans="1:14" ht="15" customHeight="1" x14ac:dyDescent="0.25">
      <c r="A259" s="12">
        <v>46175</v>
      </c>
      <c r="B259" s="13" t="s">
        <v>102</v>
      </c>
      <c r="C259" s="13" t="s">
        <v>99</v>
      </c>
      <c r="D259" s="13" t="s">
        <v>97</v>
      </c>
      <c r="E259" s="14">
        <v>0.62</v>
      </c>
      <c r="F259" s="13" t="s">
        <v>55</v>
      </c>
      <c r="G259" s="15">
        <v>32.170999999999999</v>
      </c>
      <c r="H259" s="16">
        <v>32.39</v>
      </c>
      <c r="I259" s="16">
        <v>32.53</v>
      </c>
      <c r="J259" s="16">
        <v>31.85</v>
      </c>
      <c r="K259" s="26">
        <f t="shared" si="12"/>
        <v>6.8073730999969285E-3</v>
      </c>
      <c r="L259" s="26">
        <f t="shared" si="13"/>
        <v>1.1159118460725552E-2</v>
      </c>
      <c r="M259" s="26">
        <f t="shared" si="14"/>
        <v>-9.9779304342419561E-3</v>
      </c>
      <c r="N259" s="27" t="str">
        <f t="shared" si="15"/>
        <v>YES</v>
      </c>
    </row>
    <row r="260" spans="1:14" ht="15" customHeight="1" x14ac:dyDescent="0.25">
      <c r="A260" s="12">
        <v>46175</v>
      </c>
      <c r="B260" s="13" t="s">
        <v>117</v>
      </c>
      <c r="C260" s="13" t="s">
        <v>113</v>
      </c>
      <c r="D260" s="13" t="s">
        <v>97</v>
      </c>
      <c r="E260" s="14">
        <v>0.48</v>
      </c>
      <c r="F260" s="13" t="s">
        <v>56</v>
      </c>
      <c r="G260" s="15">
        <v>4.9450000000000003</v>
      </c>
      <c r="H260" s="16">
        <v>5.36</v>
      </c>
      <c r="I260" s="16">
        <v>5.0199999999999996</v>
      </c>
      <c r="J260" s="16">
        <v>4.7300000000000004</v>
      </c>
      <c r="K260" s="26">
        <f t="shared" si="12"/>
        <v>8.3923154701718905E-2</v>
      </c>
      <c r="L260" s="26">
        <f t="shared" si="13"/>
        <v>1.5166835187057489E-2</v>
      </c>
      <c r="M260" s="26">
        <f t="shared" si="14"/>
        <v>-4.3478260869565188E-2</v>
      </c>
      <c r="N260" s="27" t="str">
        <f t="shared" si="15"/>
        <v>NO</v>
      </c>
    </row>
    <row r="261" spans="1:14" ht="15" customHeight="1" x14ac:dyDescent="0.25">
      <c r="A261" s="12">
        <v>46175</v>
      </c>
      <c r="B261" s="13" t="s">
        <v>95</v>
      </c>
      <c r="C261" s="13" t="s">
        <v>96</v>
      </c>
      <c r="D261" s="13" t="s">
        <v>97</v>
      </c>
      <c r="E261" s="14">
        <v>0.52</v>
      </c>
      <c r="F261" s="13" t="s">
        <v>56</v>
      </c>
      <c r="G261" s="15">
        <v>113.29</v>
      </c>
      <c r="H261" s="16">
        <v>118.88</v>
      </c>
      <c r="I261" s="16">
        <v>121.03</v>
      </c>
      <c r="J261" s="16">
        <v>108.82</v>
      </c>
      <c r="K261" s="26">
        <f t="shared" ref="K261:K324" si="16">IF(H261="","",(H261-G261)/G261)</f>
        <v>4.9342395621855314E-2</v>
      </c>
      <c r="L261" s="26">
        <f t="shared" ref="L261:L324" si="17">IF(I261="","",(I261-G261)/G261)</f>
        <v>6.8320240091799753E-2</v>
      </c>
      <c r="M261" s="26">
        <f t="shared" ref="M261:M324" si="18">IF(J261="","",(J261-G261)/G261)</f>
        <v>-3.9456262688675192E-2</v>
      </c>
      <c r="N261" s="27" t="str">
        <f t="shared" ref="N261:N324" si="19">IF(H261="","",IF(D261="HOLD",IF(ABS(K261)&lt;0.03,"YES","NO"),IF(D261="BUY",IF(K261&gt;0,"YES","NO"),IF(D261="SELL",IF(K261&lt;0,"YES","NO"),""))))</f>
        <v>NO</v>
      </c>
    </row>
    <row r="262" spans="1:14" ht="15" customHeight="1" x14ac:dyDescent="0.25">
      <c r="A262" s="12">
        <v>46175</v>
      </c>
      <c r="B262" s="13" t="s">
        <v>120</v>
      </c>
      <c r="C262" s="13" t="s">
        <v>119</v>
      </c>
      <c r="D262" s="13" t="s">
        <v>97</v>
      </c>
      <c r="E262" s="14">
        <v>0.42</v>
      </c>
      <c r="F262" s="13" t="s">
        <v>56</v>
      </c>
      <c r="G262" s="15">
        <v>743.51</v>
      </c>
      <c r="H262" s="16">
        <v>707.83</v>
      </c>
      <c r="I262" s="16">
        <v>729.86</v>
      </c>
      <c r="J262" s="16">
        <v>725.23</v>
      </c>
      <c r="K262" s="26">
        <f t="shared" si="16"/>
        <v>-4.7988594638942249E-2</v>
      </c>
      <c r="L262" s="26">
        <f t="shared" si="17"/>
        <v>-1.8358865381770222E-2</v>
      </c>
      <c r="M262" s="26">
        <f t="shared" si="18"/>
        <v>-2.4586084921520857E-2</v>
      </c>
      <c r="N262" s="27" t="str">
        <f t="shared" si="19"/>
        <v>NO</v>
      </c>
    </row>
    <row r="263" spans="1:14" ht="15" customHeight="1" x14ac:dyDescent="0.25">
      <c r="A263" s="12">
        <v>46175</v>
      </c>
      <c r="B263" s="13" t="s">
        <v>121</v>
      </c>
      <c r="C263" s="13" t="s">
        <v>119</v>
      </c>
      <c r="D263" s="13" t="s">
        <v>97</v>
      </c>
      <c r="E263" s="14">
        <v>0.52</v>
      </c>
      <c r="F263" s="13" t="s">
        <v>56</v>
      </c>
      <c r="G263" s="15">
        <v>373.70499999999998</v>
      </c>
      <c r="H263" s="16">
        <v>363.67</v>
      </c>
      <c r="I263" s="16">
        <v>370.37</v>
      </c>
      <c r="J263" s="16">
        <v>369.27</v>
      </c>
      <c r="K263" s="26">
        <f t="shared" si="16"/>
        <v>-2.6852731432546979E-2</v>
      </c>
      <c r="L263" s="26">
        <f t="shared" si="17"/>
        <v>-8.9241514028444349E-3</v>
      </c>
      <c r="M263" s="26">
        <f t="shared" si="18"/>
        <v>-1.1867649616676261E-2</v>
      </c>
      <c r="N263" s="27" t="str">
        <f t="shared" si="19"/>
        <v>YES</v>
      </c>
    </row>
    <row r="264" spans="1:14" ht="15" customHeight="1" x14ac:dyDescent="0.25">
      <c r="A264" s="12">
        <v>46175</v>
      </c>
      <c r="B264" s="13" t="s">
        <v>122</v>
      </c>
      <c r="C264" s="13" t="s">
        <v>119</v>
      </c>
      <c r="D264" s="13" t="s">
        <v>124</v>
      </c>
      <c r="E264" s="14">
        <v>0.68</v>
      </c>
      <c r="F264" s="13" t="s">
        <v>56</v>
      </c>
      <c r="G264" s="15">
        <v>227.93</v>
      </c>
      <c r="H264" s="16">
        <v>208.19</v>
      </c>
      <c r="I264" s="16">
        <v>207.41</v>
      </c>
      <c r="J264" s="16">
        <v>197.58</v>
      </c>
      <c r="K264" s="26">
        <f t="shared" si="16"/>
        <v>-8.6605536787610266E-2</v>
      </c>
      <c r="L264" s="26">
        <f t="shared" si="17"/>
        <v>-9.002764006493226E-2</v>
      </c>
      <c r="M264" s="26">
        <f t="shared" si="18"/>
        <v>-0.13315491598297721</v>
      </c>
      <c r="N264" s="27" t="str">
        <f t="shared" si="19"/>
        <v>NO</v>
      </c>
    </row>
    <row r="265" spans="1:14" ht="15" customHeight="1" x14ac:dyDescent="0.25">
      <c r="A265" s="12">
        <v>46175</v>
      </c>
      <c r="B265" s="13" t="s">
        <v>123</v>
      </c>
      <c r="C265" s="13" t="s">
        <v>119</v>
      </c>
      <c r="D265" s="13" t="s">
        <v>97</v>
      </c>
      <c r="E265" s="14">
        <v>0.47</v>
      </c>
      <c r="F265" s="13" t="s">
        <v>56</v>
      </c>
      <c r="G265" s="15">
        <v>413.14499999999998</v>
      </c>
      <c r="H265" s="16">
        <v>390.78</v>
      </c>
      <c r="I265" s="16">
        <v>397.64</v>
      </c>
      <c r="J265" s="16">
        <v>370.6</v>
      </c>
      <c r="K265" s="26">
        <f t="shared" si="16"/>
        <v>-5.4133536651780875E-2</v>
      </c>
      <c r="L265" s="26">
        <f t="shared" si="17"/>
        <v>-3.7529196771109406E-2</v>
      </c>
      <c r="M265" s="26">
        <f t="shared" si="18"/>
        <v>-0.10297837321037399</v>
      </c>
      <c r="N265" s="27" t="str">
        <f t="shared" si="19"/>
        <v>NO</v>
      </c>
    </row>
    <row r="266" spans="1:14" ht="15" customHeight="1" x14ac:dyDescent="0.25">
      <c r="A266" s="12">
        <v>46176</v>
      </c>
      <c r="B266" s="13" t="s">
        <v>103</v>
      </c>
      <c r="C266" s="13" t="s">
        <v>99</v>
      </c>
      <c r="D266" s="13" t="s">
        <v>97</v>
      </c>
      <c r="E266" s="14">
        <v>0.55000000000000004</v>
      </c>
      <c r="F266" s="13" t="s">
        <v>56</v>
      </c>
      <c r="G266" s="15">
        <v>314.505</v>
      </c>
      <c r="H266" s="16">
        <v>291.58</v>
      </c>
      <c r="I266" s="16">
        <v>295.95</v>
      </c>
      <c r="J266" s="16">
        <v>308.63</v>
      </c>
      <c r="K266" s="26">
        <f t="shared" si="16"/>
        <v>-7.2892322856552394E-2</v>
      </c>
      <c r="L266" s="26">
        <f t="shared" si="17"/>
        <v>-5.8997472218247748E-2</v>
      </c>
      <c r="M266" s="26">
        <f t="shared" si="18"/>
        <v>-1.8680148169345479E-2</v>
      </c>
      <c r="N266" s="27" t="str">
        <f t="shared" si="19"/>
        <v>NO</v>
      </c>
    </row>
    <row r="267" spans="1:14" ht="15" customHeight="1" x14ac:dyDescent="0.25">
      <c r="A267" s="12">
        <v>46176</v>
      </c>
      <c r="B267" s="13" t="s">
        <v>112</v>
      </c>
      <c r="C267" s="13" t="s">
        <v>113</v>
      </c>
      <c r="D267" s="13" t="s">
        <v>97</v>
      </c>
      <c r="E267" s="14">
        <v>0.42</v>
      </c>
      <c r="F267" s="13" t="s">
        <v>56</v>
      </c>
      <c r="G267" s="15">
        <v>20.14</v>
      </c>
      <c r="H267" s="16">
        <v>15.71</v>
      </c>
      <c r="I267" s="16">
        <v>18.55</v>
      </c>
      <c r="J267" s="16">
        <v>17.82</v>
      </c>
      <c r="K267" s="26">
        <f t="shared" si="16"/>
        <v>-0.21996027805362461</v>
      </c>
      <c r="L267" s="26">
        <f t="shared" si="17"/>
        <v>-7.8947368421052627E-2</v>
      </c>
      <c r="M267" s="26">
        <f t="shared" si="18"/>
        <v>-0.11519364448857995</v>
      </c>
      <c r="N267" s="27" t="str">
        <f t="shared" si="19"/>
        <v>NO</v>
      </c>
    </row>
    <row r="268" spans="1:14" ht="15" customHeight="1" x14ac:dyDescent="0.25">
      <c r="A268" s="12">
        <v>46176</v>
      </c>
      <c r="B268" s="13" t="s">
        <v>105</v>
      </c>
      <c r="C268" s="13" t="s">
        <v>96</v>
      </c>
      <c r="D268" s="13" t="s">
        <v>97</v>
      </c>
      <c r="E268" s="14">
        <v>0.57999999999999996</v>
      </c>
      <c r="F268" s="13" t="s">
        <v>56</v>
      </c>
      <c r="G268" s="15">
        <v>69.42</v>
      </c>
      <c r="H268" s="16">
        <v>61.36</v>
      </c>
      <c r="I268" s="16">
        <v>64.33</v>
      </c>
      <c r="J268" s="16">
        <v>61.85</v>
      </c>
      <c r="K268" s="26">
        <f t="shared" si="16"/>
        <v>-0.11610486891385771</v>
      </c>
      <c r="L268" s="26">
        <f t="shared" si="17"/>
        <v>-7.3321809276865504E-2</v>
      </c>
      <c r="M268" s="26">
        <f t="shared" si="18"/>
        <v>-0.10904638432728321</v>
      </c>
      <c r="N268" s="27" t="str">
        <f t="shared" si="19"/>
        <v>NO</v>
      </c>
    </row>
    <row r="269" spans="1:14" ht="15" customHeight="1" x14ac:dyDescent="0.25">
      <c r="A269" s="12">
        <v>46176</v>
      </c>
      <c r="B269" s="13" t="s">
        <v>114</v>
      </c>
      <c r="C269" s="13" t="s">
        <v>113</v>
      </c>
      <c r="D269" s="13" t="s">
        <v>97</v>
      </c>
      <c r="E269" s="14">
        <v>0.38</v>
      </c>
      <c r="F269" s="13" t="s">
        <v>57</v>
      </c>
      <c r="G269" s="15">
        <v>222.22</v>
      </c>
      <c r="H269" s="16">
        <v>237.33</v>
      </c>
      <c r="I269" s="16">
        <v>213.67</v>
      </c>
      <c r="J269" s="16">
        <v>204.86</v>
      </c>
      <c r="K269" s="26">
        <f t="shared" si="16"/>
        <v>6.7995679956799629E-2</v>
      </c>
      <c r="L269" s="26">
        <f t="shared" si="17"/>
        <v>-3.847538475384759E-2</v>
      </c>
      <c r="M269" s="26">
        <f t="shared" si="18"/>
        <v>-7.8120781207812018E-2</v>
      </c>
      <c r="N269" s="27" t="str">
        <f t="shared" si="19"/>
        <v>NO</v>
      </c>
    </row>
    <row r="270" spans="1:14" ht="15" customHeight="1" x14ac:dyDescent="0.25">
      <c r="A270" s="12">
        <v>46176</v>
      </c>
      <c r="B270" s="13" t="s">
        <v>116</v>
      </c>
      <c r="C270" s="13" t="s">
        <v>113</v>
      </c>
      <c r="D270" s="13" t="s">
        <v>97</v>
      </c>
      <c r="E270" s="14">
        <v>0.42</v>
      </c>
      <c r="F270" s="13" t="s">
        <v>56</v>
      </c>
      <c r="G270" s="15">
        <v>17.664999999999999</v>
      </c>
      <c r="H270" s="16">
        <v>17.07</v>
      </c>
      <c r="I270" s="16">
        <v>17.149999999999999</v>
      </c>
      <c r="J270" s="16">
        <v>16.86</v>
      </c>
      <c r="K270" s="26">
        <f t="shared" si="16"/>
        <v>-3.3682422870082024E-2</v>
      </c>
      <c r="L270" s="26">
        <f t="shared" si="17"/>
        <v>-2.915369374469293E-2</v>
      </c>
      <c r="M270" s="26">
        <f t="shared" si="18"/>
        <v>-4.5570336824228688E-2</v>
      </c>
      <c r="N270" s="27" t="str">
        <f t="shared" si="19"/>
        <v>NO</v>
      </c>
    </row>
    <row r="271" spans="1:14" ht="15" customHeight="1" x14ac:dyDescent="0.25">
      <c r="A271" s="12">
        <v>46176</v>
      </c>
      <c r="B271" s="13" t="s">
        <v>104</v>
      </c>
      <c r="C271" s="13" t="s">
        <v>96</v>
      </c>
      <c r="D271" s="13" t="s">
        <v>97</v>
      </c>
      <c r="E271" s="14">
        <v>0.42</v>
      </c>
      <c r="F271" s="13" t="s">
        <v>56</v>
      </c>
      <c r="G271" s="15">
        <v>35.479999999999997</v>
      </c>
      <c r="H271" s="16">
        <v>34.24</v>
      </c>
      <c r="I271" s="16">
        <v>32.5</v>
      </c>
      <c r="J271" s="16">
        <v>27.71</v>
      </c>
      <c r="K271" s="26">
        <f t="shared" si="16"/>
        <v>-3.4949267192784524E-2</v>
      </c>
      <c r="L271" s="26">
        <f t="shared" si="17"/>
        <v>-8.3990980834272755E-2</v>
      </c>
      <c r="M271" s="26">
        <f t="shared" si="18"/>
        <v>-0.21899661781285221</v>
      </c>
      <c r="N271" s="27" t="str">
        <f t="shared" si="19"/>
        <v>NO</v>
      </c>
    </row>
    <row r="272" spans="1:14" ht="15" customHeight="1" x14ac:dyDescent="0.25">
      <c r="A272" s="12">
        <v>46176</v>
      </c>
      <c r="B272" s="13" t="s">
        <v>111</v>
      </c>
      <c r="C272" s="13" t="s">
        <v>113</v>
      </c>
      <c r="D272" s="13" t="s">
        <v>97</v>
      </c>
      <c r="E272" s="14">
        <v>0.52</v>
      </c>
      <c r="F272" s="13" t="s">
        <v>56</v>
      </c>
      <c r="G272" s="15">
        <v>68.31</v>
      </c>
      <c r="H272" s="16">
        <v>69.95</v>
      </c>
      <c r="I272" s="16">
        <v>67.010000000000005</v>
      </c>
      <c r="J272" s="16">
        <v>66.75</v>
      </c>
      <c r="K272" s="26">
        <f t="shared" si="16"/>
        <v>2.4008197921241408E-2</v>
      </c>
      <c r="L272" s="26">
        <f t="shared" si="17"/>
        <v>-1.9030888596105945E-2</v>
      </c>
      <c r="M272" s="26">
        <f t="shared" si="18"/>
        <v>-2.2837066315327219E-2</v>
      </c>
      <c r="N272" s="27" t="str">
        <f t="shared" si="19"/>
        <v>YES</v>
      </c>
    </row>
    <row r="273" spans="1:14" ht="15" customHeight="1" x14ac:dyDescent="0.25">
      <c r="A273" s="12">
        <v>46176</v>
      </c>
      <c r="B273" s="13" t="s">
        <v>107</v>
      </c>
      <c r="C273" s="13" t="s">
        <v>96</v>
      </c>
      <c r="D273" s="13" t="s">
        <v>97</v>
      </c>
      <c r="E273" s="14">
        <v>0.57999999999999996</v>
      </c>
      <c r="F273" s="13" t="s">
        <v>56</v>
      </c>
      <c r="G273" s="15">
        <v>82.93</v>
      </c>
      <c r="H273" s="16">
        <v>79.400000000000006</v>
      </c>
      <c r="I273" s="16">
        <v>79.58</v>
      </c>
      <c r="J273" s="16">
        <v>76</v>
      </c>
      <c r="K273" s="26">
        <f t="shared" si="16"/>
        <v>-4.2566019534547216E-2</v>
      </c>
      <c r="L273" s="26">
        <f t="shared" si="17"/>
        <v>-4.0395514289159634E-2</v>
      </c>
      <c r="M273" s="26">
        <f t="shared" si="18"/>
        <v>-8.3564451947425608E-2</v>
      </c>
      <c r="N273" s="27" t="str">
        <f t="shared" si="19"/>
        <v>NO</v>
      </c>
    </row>
    <row r="274" spans="1:14" ht="15" customHeight="1" x14ac:dyDescent="0.25">
      <c r="A274" s="12">
        <v>46176</v>
      </c>
      <c r="B274" s="13" t="s">
        <v>106</v>
      </c>
      <c r="C274" s="13" t="s">
        <v>99</v>
      </c>
      <c r="D274" s="13" t="s">
        <v>97</v>
      </c>
      <c r="E274" s="14">
        <v>0.55000000000000004</v>
      </c>
      <c r="F274" s="13" t="s">
        <v>56</v>
      </c>
      <c r="G274" s="15">
        <v>297.98500000000001</v>
      </c>
      <c r="H274" s="16">
        <v>309.14</v>
      </c>
      <c r="I274" s="16">
        <v>333.46</v>
      </c>
      <c r="J274" s="16">
        <v>332.97</v>
      </c>
      <c r="K274" s="26">
        <f t="shared" si="16"/>
        <v>3.7434770206553926E-2</v>
      </c>
      <c r="L274" s="26">
        <f t="shared" si="17"/>
        <v>0.11904961659143905</v>
      </c>
      <c r="M274" s="26">
        <f t="shared" si="18"/>
        <v>0.11740523851871743</v>
      </c>
      <c r="N274" s="27" t="str">
        <f t="shared" si="19"/>
        <v>NO</v>
      </c>
    </row>
    <row r="275" spans="1:14" ht="15" customHeight="1" x14ac:dyDescent="0.25">
      <c r="A275" s="12">
        <v>46176</v>
      </c>
      <c r="B275" s="13" t="s">
        <v>100</v>
      </c>
      <c r="C275" s="13" t="s">
        <v>96</v>
      </c>
      <c r="D275" s="13" t="s">
        <v>97</v>
      </c>
      <c r="E275" s="14">
        <v>0.62</v>
      </c>
      <c r="F275" s="13" t="s">
        <v>55</v>
      </c>
      <c r="G275" s="15">
        <v>430.85</v>
      </c>
      <c r="H275" s="16">
        <v>397.36</v>
      </c>
      <c r="I275" s="16">
        <v>378.91</v>
      </c>
      <c r="J275" s="16">
        <v>390.49</v>
      </c>
      <c r="K275" s="26">
        <f t="shared" si="16"/>
        <v>-7.7730068469304886E-2</v>
      </c>
      <c r="L275" s="26">
        <f t="shared" si="17"/>
        <v>-0.12055239642567017</v>
      </c>
      <c r="M275" s="26">
        <f t="shared" si="18"/>
        <v>-9.3675293025414899E-2</v>
      </c>
      <c r="N275" s="27" t="str">
        <f t="shared" si="19"/>
        <v>NO</v>
      </c>
    </row>
    <row r="276" spans="1:14" ht="15" customHeight="1" x14ac:dyDescent="0.25">
      <c r="A276" s="12">
        <v>46176</v>
      </c>
      <c r="B276" s="13" t="s">
        <v>101</v>
      </c>
      <c r="C276" s="13" t="s">
        <v>99</v>
      </c>
      <c r="D276" s="13" t="s">
        <v>97</v>
      </c>
      <c r="E276" s="14">
        <v>0.52</v>
      </c>
      <c r="F276" s="13" t="s">
        <v>55</v>
      </c>
      <c r="G276" s="15">
        <v>43.64</v>
      </c>
      <c r="H276" s="16">
        <v>43.96</v>
      </c>
      <c r="I276" s="16">
        <v>44.19</v>
      </c>
      <c r="J276" s="16">
        <v>44.09</v>
      </c>
      <c r="K276" s="26">
        <f t="shared" si="16"/>
        <v>7.332722273143911E-3</v>
      </c>
      <c r="L276" s="26">
        <f t="shared" si="17"/>
        <v>1.2603116406966021E-2</v>
      </c>
      <c r="M276" s="26">
        <f t="shared" si="18"/>
        <v>1.0311640696608681E-2</v>
      </c>
      <c r="N276" s="27" t="str">
        <f t="shared" si="19"/>
        <v>YES</v>
      </c>
    </row>
    <row r="277" spans="1:14" ht="15" customHeight="1" x14ac:dyDescent="0.25">
      <c r="A277" s="12">
        <v>46176</v>
      </c>
      <c r="B277" s="13" t="s">
        <v>98</v>
      </c>
      <c r="C277" s="13" t="s">
        <v>96</v>
      </c>
      <c r="D277" s="13" t="s">
        <v>97</v>
      </c>
      <c r="E277" s="14">
        <v>0.52</v>
      </c>
      <c r="F277" s="13" t="s">
        <v>56</v>
      </c>
      <c r="G277" s="15">
        <v>69.790000000000006</v>
      </c>
      <c r="H277" s="16">
        <v>65.03</v>
      </c>
      <c r="I277" s="16">
        <v>64.28</v>
      </c>
      <c r="J277" s="16">
        <v>65.06</v>
      </c>
      <c r="K277" s="26">
        <f t="shared" si="16"/>
        <v>-6.8204613841524639E-2</v>
      </c>
      <c r="L277" s="26">
        <f t="shared" si="17"/>
        <v>-7.8951139131680823E-2</v>
      </c>
      <c r="M277" s="26">
        <f t="shared" si="18"/>
        <v>-6.7774752829918378E-2</v>
      </c>
      <c r="N277" s="27" t="str">
        <f t="shared" si="19"/>
        <v>NO</v>
      </c>
    </row>
    <row r="278" spans="1:14" ht="15" customHeight="1" x14ac:dyDescent="0.25">
      <c r="A278" s="12">
        <v>46176</v>
      </c>
      <c r="B278" s="13" t="s">
        <v>110</v>
      </c>
      <c r="C278" s="13" t="s">
        <v>99</v>
      </c>
      <c r="D278" s="13" t="s">
        <v>97</v>
      </c>
      <c r="E278" s="14">
        <v>0.55000000000000004</v>
      </c>
      <c r="F278" s="13" t="s">
        <v>56</v>
      </c>
      <c r="G278" s="15">
        <v>176.64</v>
      </c>
      <c r="H278" s="16">
        <v>182.95</v>
      </c>
      <c r="I278" s="16">
        <v>179.44</v>
      </c>
      <c r="J278" s="16">
        <v>182.27</v>
      </c>
      <c r="K278" s="26">
        <f t="shared" si="16"/>
        <v>3.5722373188405813E-2</v>
      </c>
      <c r="L278" s="26">
        <f t="shared" si="17"/>
        <v>1.5851449275362386E-2</v>
      </c>
      <c r="M278" s="26">
        <f t="shared" si="18"/>
        <v>3.1872735507246515E-2</v>
      </c>
      <c r="N278" s="27" t="str">
        <f t="shared" si="19"/>
        <v>NO</v>
      </c>
    </row>
    <row r="279" spans="1:14" ht="15" customHeight="1" x14ac:dyDescent="0.25">
      <c r="A279" s="12">
        <v>46176</v>
      </c>
      <c r="B279" s="13" t="s">
        <v>108</v>
      </c>
      <c r="C279" s="13" t="s">
        <v>99</v>
      </c>
      <c r="D279" s="13" t="s">
        <v>97</v>
      </c>
      <c r="E279" s="14">
        <v>0.62</v>
      </c>
      <c r="F279" s="13" t="s">
        <v>56</v>
      </c>
      <c r="G279" s="15">
        <v>726.01499999999999</v>
      </c>
      <c r="H279" s="16">
        <v>650.91999999999996</v>
      </c>
      <c r="I279" s="16">
        <v>714.85</v>
      </c>
      <c r="J279" s="16">
        <v>668.31</v>
      </c>
      <c r="K279" s="26">
        <f t="shared" si="16"/>
        <v>-0.10343450204196887</v>
      </c>
      <c r="L279" s="26">
        <f t="shared" si="17"/>
        <v>-1.5378470141801428E-2</v>
      </c>
      <c r="M279" s="26">
        <f t="shared" si="18"/>
        <v>-7.948182888783295E-2</v>
      </c>
      <c r="N279" s="27" t="str">
        <f t="shared" si="19"/>
        <v>NO</v>
      </c>
    </row>
    <row r="280" spans="1:14" ht="15" customHeight="1" x14ac:dyDescent="0.25">
      <c r="A280" s="12">
        <v>46176</v>
      </c>
      <c r="B280" s="13" t="s">
        <v>115</v>
      </c>
      <c r="C280" s="13" t="s">
        <v>113</v>
      </c>
      <c r="D280" s="13" t="s">
        <v>97</v>
      </c>
      <c r="E280" s="14">
        <v>0.57999999999999996</v>
      </c>
      <c r="F280" s="13" t="s">
        <v>56</v>
      </c>
      <c r="G280" s="15">
        <v>174.31</v>
      </c>
      <c r="H280" s="16">
        <v>177.41</v>
      </c>
      <c r="I280" s="16">
        <v>192.58</v>
      </c>
      <c r="J280" s="16">
        <v>199.25</v>
      </c>
      <c r="K280" s="26">
        <f t="shared" si="16"/>
        <v>1.778440709081518E-2</v>
      </c>
      <c r="L280" s="26">
        <f t="shared" si="17"/>
        <v>0.1048132637255465</v>
      </c>
      <c r="M280" s="26">
        <f t="shared" si="18"/>
        <v>0.14307842349836497</v>
      </c>
      <c r="N280" s="27" t="str">
        <f t="shared" si="19"/>
        <v>YES</v>
      </c>
    </row>
    <row r="281" spans="1:14" ht="15" customHeight="1" x14ac:dyDescent="0.25">
      <c r="A281" s="12">
        <v>46176</v>
      </c>
      <c r="B281" s="13" t="s">
        <v>102</v>
      </c>
      <c r="C281" s="13" t="s">
        <v>99</v>
      </c>
      <c r="D281" s="13" t="s">
        <v>97</v>
      </c>
      <c r="E281" s="14">
        <v>0.65</v>
      </c>
      <c r="F281" s="13" t="s">
        <v>55</v>
      </c>
      <c r="G281" s="15">
        <v>32.384999999999998</v>
      </c>
      <c r="H281" s="16">
        <v>32.26</v>
      </c>
      <c r="I281" s="16">
        <v>31.93</v>
      </c>
      <c r="J281" s="16">
        <v>32.39</v>
      </c>
      <c r="K281" s="26">
        <f t="shared" si="16"/>
        <v>-3.8598116411919102E-3</v>
      </c>
      <c r="L281" s="26">
        <f t="shared" si="17"/>
        <v>-1.40497143739385E-2</v>
      </c>
      <c r="M281" s="26">
        <f t="shared" si="18"/>
        <v>1.5439246564775538E-4</v>
      </c>
      <c r="N281" s="27" t="str">
        <f t="shared" si="19"/>
        <v>YES</v>
      </c>
    </row>
    <row r="282" spans="1:14" ht="15" customHeight="1" x14ac:dyDescent="0.25">
      <c r="A282" s="12">
        <v>46176</v>
      </c>
      <c r="B282" s="13" t="s">
        <v>117</v>
      </c>
      <c r="C282" s="13" t="s">
        <v>113</v>
      </c>
      <c r="D282" s="13" t="s">
        <v>97</v>
      </c>
      <c r="E282" s="14">
        <v>0.48</v>
      </c>
      <c r="F282" s="13" t="s">
        <v>56</v>
      </c>
      <c r="G282" s="15">
        <v>5.0049999999999999</v>
      </c>
      <c r="H282" s="16">
        <v>5.31</v>
      </c>
      <c r="I282" s="16">
        <v>5.03</v>
      </c>
      <c r="J282" s="16">
        <v>4.7</v>
      </c>
      <c r="K282" s="26">
        <f t="shared" si="16"/>
        <v>6.0939060939060881E-2</v>
      </c>
      <c r="L282" s="26">
        <f t="shared" si="17"/>
        <v>4.9950049950050661E-3</v>
      </c>
      <c r="M282" s="26">
        <f t="shared" si="18"/>
        <v>-6.0939060939060881E-2</v>
      </c>
      <c r="N282" s="27" t="str">
        <f t="shared" si="19"/>
        <v>NO</v>
      </c>
    </row>
    <row r="283" spans="1:14" ht="15" customHeight="1" x14ac:dyDescent="0.25">
      <c r="A283" s="12">
        <v>46176</v>
      </c>
      <c r="B283" s="13" t="s">
        <v>95</v>
      </c>
      <c r="C283" s="13" t="s">
        <v>96</v>
      </c>
      <c r="D283" s="13" t="s">
        <v>97</v>
      </c>
      <c r="E283" s="14">
        <v>0.52</v>
      </c>
      <c r="F283" s="13" t="s">
        <v>55</v>
      </c>
      <c r="G283" s="15">
        <v>116.17</v>
      </c>
      <c r="H283" s="16">
        <v>120.59</v>
      </c>
      <c r="I283" s="16">
        <v>118.13</v>
      </c>
      <c r="J283" s="16">
        <v>111.84</v>
      </c>
      <c r="K283" s="26">
        <f t="shared" si="16"/>
        <v>3.8047688732030661E-2</v>
      </c>
      <c r="L283" s="26">
        <f t="shared" si="17"/>
        <v>1.6871825772574622E-2</v>
      </c>
      <c r="M283" s="26">
        <f t="shared" si="18"/>
        <v>-3.7272962038391998E-2</v>
      </c>
      <c r="N283" s="27" t="str">
        <f t="shared" si="19"/>
        <v>NO</v>
      </c>
    </row>
    <row r="284" spans="1:14" ht="15" customHeight="1" x14ac:dyDescent="0.25">
      <c r="A284" s="12">
        <v>46176</v>
      </c>
      <c r="B284" s="13" t="s">
        <v>109</v>
      </c>
      <c r="C284" s="13" t="s">
        <v>99</v>
      </c>
      <c r="D284" s="13" t="s">
        <v>97</v>
      </c>
      <c r="E284" s="14">
        <v>0.52</v>
      </c>
      <c r="F284" s="13" t="s">
        <v>56</v>
      </c>
      <c r="G284" s="15">
        <v>44.255000000000003</v>
      </c>
      <c r="H284" s="16">
        <v>44</v>
      </c>
      <c r="I284" s="16">
        <v>44.46</v>
      </c>
      <c r="J284" s="16">
        <v>45.76</v>
      </c>
      <c r="K284" s="26">
        <f t="shared" si="16"/>
        <v>-5.7620607840922506E-3</v>
      </c>
      <c r="L284" s="26">
        <f t="shared" si="17"/>
        <v>4.6322449440740774E-3</v>
      </c>
      <c r="M284" s="26">
        <f t="shared" si="18"/>
        <v>3.4007456784544011E-2</v>
      </c>
      <c r="N284" s="27" t="str">
        <f t="shared" si="19"/>
        <v>YES</v>
      </c>
    </row>
    <row r="285" spans="1:14" ht="15" customHeight="1" x14ac:dyDescent="0.25">
      <c r="A285" s="12">
        <v>46176</v>
      </c>
      <c r="B285" s="13" t="s">
        <v>118</v>
      </c>
      <c r="C285" s="13" t="s">
        <v>119</v>
      </c>
      <c r="D285" s="13" t="s">
        <v>97</v>
      </c>
      <c r="E285" s="14">
        <v>0.45</v>
      </c>
      <c r="F285" s="13" t="s">
        <v>55</v>
      </c>
      <c r="G285" s="15">
        <v>756.59249999999997</v>
      </c>
      <c r="H285" s="16">
        <v>725.42</v>
      </c>
      <c r="I285" s="16">
        <v>740.96</v>
      </c>
      <c r="J285" s="16">
        <v>744.78</v>
      </c>
      <c r="K285" s="26">
        <f t="shared" si="16"/>
        <v>-4.1201175005039059E-2</v>
      </c>
      <c r="L285" s="26">
        <f t="shared" si="17"/>
        <v>-2.0661716842289523E-2</v>
      </c>
      <c r="M285" s="26">
        <f t="shared" si="18"/>
        <v>-1.5612763806143995E-2</v>
      </c>
      <c r="N285" s="27" t="str">
        <f t="shared" si="19"/>
        <v>NO</v>
      </c>
    </row>
    <row r="286" spans="1:14" ht="15" customHeight="1" x14ac:dyDescent="0.25">
      <c r="A286" s="12">
        <v>46176</v>
      </c>
      <c r="B286" s="13" t="s">
        <v>122</v>
      </c>
      <c r="C286" s="13" t="s">
        <v>119</v>
      </c>
      <c r="D286" s="13" t="s">
        <v>124</v>
      </c>
      <c r="E286" s="14">
        <v>0.66</v>
      </c>
      <c r="F286" s="13" t="s">
        <v>56</v>
      </c>
      <c r="G286" s="15">
        <v>215.1283</v>
      </c>
      <c r="H286" s="16">
        <v>200.42</v>
      </c>
      <c r="I286" s="16">
        <v>204.65</v>
      </c>
      <c r="J286" s="16">
        <v>194.83</v>
      </c>
      <c r="K286" s="26">
        <f t="shared" si="16"/>
        <v>-6.8369898335086596E-2</v>
      </c>
      <c r="L286" s="26">
        <f t="shared" si="17"/>
        <v>-4.8707213323398134E-2</v>
      </c>
      <c r="M286" s="26">
        <f t="shared" si="18"/>
        <v>-9.43543922394217E-2</v>
      </c>
      <c r="N286" s="27" t="str">
        <f t="shared" si="19"/>
        <v>NO</v>
      </c>
    </row>
    <row r="287" spans="1:14" ht="15" customHeight="1" x14ac:dyDescent="0.25">
      <c r="A287" s="12">
        <v>46176</v>
      </c>
      <c r="B287" s="13" t="s">
        <v>123</v>
      </c>
      <c r="C287" s="13" t="s">
        <v>119</v>
      </c>
      <c r="D287" s="13" t="s">
        <v>124</v>
      </c>
      <c r="E287" s="14">
        <v>0.62</v>
      </c>
      <c r="F287" s="13" t="s">
        <v>56</v>
      </c>
      <c r="G287" s="15">
        <v>408.5</v>
      </c>
      <c r="H287" s="16">
        <v>374.58</v>
      </c>
      <c r="I287" s="16">
        <v>388.6</v>
      </c>
      <c r="J287" s="16">
        <v>378.13</v>
      </c>
      <c r="K287" s="26">
        <f t="shared" si="16"/>
        <v>-8.3035495716034316E-2</v>
      </c>
      <c r="L287" s="26">
        <f t="shared" si="17"/>
        <v>-4.8714810281517695E-2</v>
      </c>
      <c r="M287" s="26">
        <f t="shared" si="18"/>
        <v>-7.4345165238678096E-2</v>
      </c>
      <c r="N287" s="27" t="str">
        <f t="shared" si="19"/>
        <v>NO</v>
      </c>
    </row>
    <row r="288" spans="1:14" ht="15" customHeight="1" x14ac:dyDescent="0.25">
      <c r="A288" s="12">
        <v>46177</v>
      </c>
      <c r="B288" s="13" t="s">
        <v>103</v>
      </c>
      <c r="C288" s="13" t="s">
        <v>99</v>
      </c>
      <c r="D288" s="13" t="s">
        <v>97</v>
      </c>
      <c r="E288" s="14">
        <v>0.62</v>
      </c>
      <c r="F288" s="13" t="s">
        <v>55</v>
      </c>
      <c r="G288" s="15">
        <v>310.22000000000003</v>
      </c>
      <c r="H288" s="16">
        <v>295.63</v>
      </c>
      <c r="I288" s="16">
        <v>298.01</v>
      </c>
      <c r="J288" s="16">
        <v>312.66000000000003</v>
      </c>
      <c r="K288" s="26">
        <f t="shared" si="16"/>
        <v>-4.7031139191541588E-2</v>
      </c>
      <c r="L288" s="26">
        <f t="shared" si="17"/>
        <v>-3.9359164463928939E-2</v>
      </c>
      <c r="M288" s="26">
        <f t="shared" si="18"/>
        <v>7.8653858551995283E-3</v>
      </c>
      <c r="N288" s="27" t="str">
        <f t="shared" si="19"/>
        <v>NO</v>
      </c>
    </row>
    <row r="289" spans="1:14" ht="15" customHeight="1" x14ac:dyDescent="0.25">
      <c r="A289" s="12">
        <v>46177</v>
      </c>
      <c r="B289" s="13" t="s">
        <v>112</v>
      </c>
      <c r="C289" s="13" t="s">
        <v>113</v>
      </c>
      <c r="D289" s="13" t="s">
        <v>97</v>
      </c>
      <c r="E289" s="14">
        <v>0.42</v>
      </c>
      <c r="F289" s="13" t="s">
        <v>56</v>
      </c>
      <c r="G289" s="15">
        <v>20.16</v>
      </c>
      <c r="H289" s="16">
        <v>16.920000000000002</v>
      </c>
      <c r="I289" s="16">
        <v>18</v>
      </c>
      <c r="J289" s="16">
        <v>17.309999999999999</v>
      </c>
      <c r="K289" s="26">
        <f t="shared" si="16"/>
        <v>-0.16071428571428564</v>
      </c>
      <c r="L289" s="26">
        <f t="shared" si="17"/>
        <v>-0.10714285714285715</v>
      </c>
      <c r="M289" s="26">
        <f t="shared" si="18"/>
        <v>-0.1413690476190477</v>
      </c>
      <c r="N289" s="27" t="str">
        <f t="shared" si="19"/>
        <v>NO</v>
      </c>
    </row>
    <row r="290" spans="1:14" ht="15" customHeight="1" x14ac:dyDescent="0.25">
      <c r="A290" s="12">
        <v>46177</v>
      </c>
      <c r="B290" s="13" t="s">
        <v>105</v>
      </c>
      <c r="C290" s="13" t="s">
        <v>96</v>
      </c>
      <c r="D290" s="13" t="s">
        <v>97</v>
      </c>
      <c r="E290" s="14">
        <v>0.57999999999999996</v>
      </c>
      <c r="F290" s="13" t="s">
        <v>56</v>
      </c>
      <c r="G290" s="15">
        <v>67.400000000000006</v>
      </c>
      <c r="H290" s="16">
        <v>63.95</v>
      </c>
      <c r="I290" s="16">
        <v>66.8</v>
      </c>
      <c r="J290" s="16">
        <v>63.84</v>
      </c>
      <c r="K290" s="26">
        <f t="shared" si="16"/>
        <v>-5.1186943620178081E-2</v>
      </c>
      <c r="L290" s="26">
        <f t="shared" si="17"/>
        <v>-8.9020771513354368E-3</v>
      </c>
      <c r="M290" s="26">
        <f t="shared" si="18"/>
        <v>-5.2818991097922881E-2</v>
      </c>
      <c r="N290" s="27" t="str">
        <f t="shared" si="19"/>
        <v>NO</v>
      </c>
    </row>
    <row r="291" spans="1:14" ht="15" customHeight="1" x14ac:dyDescent="0.25">
      <c r="A291" s="12">
        <v>46177</v>
      </c>
      <c r="B291" s="13" t="s">
        <v>114</v>
      </c>
      <c r="C291" s="13" t="s">
        <v>113</v>
      </c>
      <c r="D291" s="13" t="s">
        <v>97</v>
      </c>
      <c r="E291" s="14">
        <v>0.38</v>
      </c>
      <c r="F291" s="13" t="s">
        <v>56</v>
      </c>
      <c r="G291" s="15">
        <v>208.08500000000001</v>
      </c>
      <c r="H291" s="16">
        <v>226.55</v>
      </c>
      <c r="I291" s="16">
        <v>234.71</v>
      </c>
      <c r="J291" s="16">
        <v>192.01</v>
      </c>
      <c r="K291" s="26">
        <f t="shared" si="16"/>
        <v>8.8737775428310559E-2</v>
      </c>
      <c r="L291" s="26">
        <f t="shared" si="17"/>
        <v>0.12795251940312852</v>
      </c>
      <c r="M291" s="26">
        <f t="shared" si="18"/>
        <v>-7.7252084484705844E-2</v>
      </c>
      <c r="N291" s="27" t="str">
        <f t="shared" si="19"/>
        <v>NO</v>
      </c>
    </row>
    <row r="292" spans="1:14" ht="15" customHeight="1" x14ac:dyDescent="0.25">
      <c r="A292" s="12">
        <v>46177</v>
      </c>
      <c r="B292" s="13" t="s">
        <v>116</v>
      </c>
      <c r="C292" s="13" t="s">
        <v>113</v>
      </c>
      <c r="D292" s="13" t="s">
        <v>97</v>
      </c>
      <c r="E292" s="14">
        <v>0.42</v>
      </c>
      <c r="F292" s="13" t="s">
        <v>56</v>
      </c>
      <c r="G292" s="15">
        <v>17.234999999999999</v>
      </c>
      <c r="H292" s="16">
        <v>16.72</v>
      </c>
      <c r="I292" s="16">
        <v>16.95</v>
      </c>
      <c r="J292" s="16">
        <v>17.45</v>
      </c>
      <c r="K292" s="26">
        <f t="shared" si="16"/>
        <v>-2.9881055990716599E-2</v>
      </c>
      <c r="L292" s="26">
        <f t="shared" si="17"/>
        <v>-1.6536118363794611E-2</v>
      </c>
      <c r="M292" s="26">
        <f t="shared" si="18"/>
        <v>1.2474615607774868E-2</v>
      </c>
      <c r="N292" s="27" t="str">
        <f t="shared" si="19"/>
        <v>YES</v>
      </c>
    </row>
    <row r="293" spans="1:14" ht="15" customHeight="1" x14ac:dyDescent="0.25">
      <c r="A293" s="12">
        <v>46177</v>
      </c>
      <c r="B293" s="13" t="s">
        <v>104</v>
      </c>
      <c r="C293" s="13" t="s">
        <v>96</v>
      </c>
      <c r="D293" s="13" t="s">
        <v>97</v>
      </c>
      <c r="E293" s="14">
        <v>0.38</v>
      </c>
      <c r="F293" s="13" t="s">
        <v>55</v>
      </c>
      <c r="G293" s="15">
        <v>34.99</v>
      </c>
      <c r="H293" s="16">
        <v>33.630000000000003</v>
      </c>
      <c r="I293" s="16">
        <v>31.73</v>
      </c>
      <c r="J293" s="16">
        <v>27.33</v>
      </c>
      <c r="K293" s="26">
        <f t="shared" si="16"/>
        <v>-3.8868248070877374E-2</v>
      </c>
      <c r="L293" s="26">
        <f t="shared" si="17"/>
        <v>-9.3169476993426731E-2</v>
      </c>
      <c r="M293" s="26">
        <f t="shared" si="18"/>
        <v>-0.21891969134038305</v>
      </c>
      <c r="N293" s="27" t="str">
        <f t="shared" si="19"/>
        <v>NO</v>
      </c>
    </row>
    <row r="294" spans="1:14" ht="15" customHeight="1" x14ac:dyDescent="0.25">
      <c r="A294" s="12">
        <v>46177</v>
      </c>
      <c r="B294" s="13" t="s">
        <v>111</v>
      </c>
      <c r="C294" s="13" t="s">
        <v>113</v>
      </c>
      <c r="D294" s="13" t="s">
        <v>97</v>
      </c>
      <c r="E294" s="14">
        <v>0.55000000000000004</v>
      </c>
      <c r="F294" s="13" t="s">
        <v>56</v>
      </c>
      <c r="G294" s="15">
        <v>68.41</v>
      </c>
      <c r="H294" s="16">
        <v>70.599999999999994</v>
      </c>
      <c r="I294" s="16">
        <v>65.17</v>
      </c>
      <c r="J294" s="16">
        <v>67.260000000000005</v>
      </c>
      <c r="K294" s="26">
        <f t="shared" si="16"/>
        <v>3.2012863616430312E-2</v>
      </c>
      <c r="L294" s="26">
        <f t="shared" si="17"/>
        <v>-4.7361496857184548E-2</v>
      </c>
      <c r="M294" s="26">
        <f t="shared" si="18"/>
        <v>-1.6810407835111701E-2</v>
      </c>
      <c r="N294" s="27" t="str">
        <f t="shared" si="19"/>
        <v>NO</v>
      </c>
    </row>
    <row r="295" spans="1:14" ht="15" customHeight="1" x14ac:dyDescent="0.25">
      <c r="A295" s="12">
        <v>46177</v>
      </c>
      <c r="B295" s="13" t="s">
        <v>107</v>
      </c>
      <c r="C295" s="13" t="s">
        <v>96</v>
      </c>
      <c r="D295" s="13" t="s">
        <v>97</v>
      </c>
      <c r="E295" s="14">
        <v>0.57999999999999996</v>
      </c>
      <c r="F295" s="13" t="s">
        <v>56</v>
      </c>
      <c r="G295" s="15">
        <v>82.825000000000003</v>
      </c>
      <c r="H295" s="16">
        <v>80.849999999999994</v>
      </c>
      <c r="I295" s="16">
        <v>79.290000000000006</v>
      </c>
      <c r="J295" s="16">
        <v>77.849999999999994</v>
      </c>
      <c r="K295" s="26">
        <f t="shared" si="16"/>
        <v>-2.3845457289465844E-2</v>
      </c>
      <c r="L295" s="26">
        <f t="shared" si="17"/>
        <v>-4.2680350135828514E-2</v>
      </c>
      <c r="M295" s="26">
        <f t="shared" si="18"/>
        <v>-6.0066405070932791E-2</v>
      </c>
      <c r="N295" s="27" t="str">
        <f t="shared" si="19"/>
        <v>YES</v>
      </c>
    </row>
    <row r="296" spans="1:14" ht="15" customHeight="1" x14ac:dyDescent="0.25">
      <c r="A296" s="12">
        <v>46177</v>
      </c>
      <c r="B296" s="13" t="s">
        <v>106</v>
      </c>
      <c r="C296" s="13" t="s">
        <v>99</v>
      </c>
      <c r="D296" s="13" t="s">
        <v>97</v>
      </c>
      <c r="E296" s="14">
        <v>0.52</v>
      </c>
      <c r="F296" s="13" t="s">
        <v>56</v>
      </c>
      <c r="G296" s="15">
        <v>307.40499999999997</v>
      </c>
      <c r="H296" s="16">
        <v>313.49</v>
      </c>
      <c r="I296" s="16">
        <v>325.22000000000003</v>
      </c>
      <c r="J296" s="16">
        <v>337.72</v>
      </c>
      <c r="K296" s="26">
        <f t="shared" si="16"/>
        <v>1.9794733332249109E-2</v>
      </c>
      <c r="L296" s="26">
        <f t="shared" si="17"/>
        <v>5.7952863486280495E-2</v>
      </c>
      <c r="M296" s="26">
        <f t="shared" si="18"/>
        <v>9.8615832533628461E-2</v>
      </c>
      <c r="N296" s="27" t="str">
        <f t="shared" si="19"/>
        <v>YES</v>
      </c>
    </row>
    <row r="297" spans="1:14" ht="15" customHeight="1" x14ac:dyDescent="0.25">
      <c r="A297" s="12">
        <v>46177</v>
      </c>
      <c r="B297" s="13" t="s">
        <v>100</v>
      </c>
      <c r="C297" s="13" t="s">
        <v>96</v>
      </c>
      <c r="D297" s="13" t="s">
        <v>97</v>
      </c>
      <c r="E297" s="14">
        <v>0.55000000000000004</v>
      </c>
      <c r="F297" s="13" t="s">
        <v>56</v>
      </c>
      <c r="G297" s="15">
        <v>430.11</v>
      </c>
      <c r="H297" s="16">
        <v>390.34</v>
      </c>
      <c r="I297" s="16">
        <v>379.4</v>
      </c>
      <c r="J297" s="16">
        <v>386.74</v>
      </c>
      <c r="K297" s="26">
        <f t="shared" si="16"/>
        <v>-9.2464718327869705E-2</v>
      </c>
      <c r="L297" s="26">
        <f t="shared" si="17"/>
        <v>-0.11790007207458565</v>
      </c>
      <c r="M297" s="26">
        <f t="shared" si="18"/>
        <v>-0.10083467020064635</v>
      </c>
      <c r="N297" s="27" t="str">
        <f t="shared" si="19"/>
        <v>NO</v>
      </c>
    </row>
    <row r="298" spans="1:14" ht="15" customHeight="1" x14ac:dyDescent="0.25">
      <c r="A298" s="12">
        <v>46177</v>
      </c>
      <c r="B298" s="13" t="s">
        <v>101</v>
      </c>
      <c r="C298" s="13" t="s">
        <v>99</v>
      </c>
      <c r="D298" s="13" t="s">
        <v>97</v>
      </c>
      <c r="E298" s="14">
        <v>0.42</v>
      </c>
      <c r="F298" s="13" t="s">
        <v>56</v>
      </c>
      <c r="G298" s="15">
        <v>43.46</v>
      </c>
      <c r="H298" s="16">
        <v>45.96</v>
      </c>
      <c r="I298" s="16">
        <v>45.2</v>
      </c>
      <c r="J298" s="16">
        <v>43.34</v>
      </c>
      <c r="K298" s="26">
        <f t="shared" si="16"/>
        <v>5.7524160147261846E-2</v>
      </c>
      <c r="L298" s="26">
        <f t="shared" si="17"/>
        <v>4.0036815462494289E-2</v>
      </c>
      <c r="M298" s="26">
        <f t="shared" si="18"/>
        <v>-2.7611596870685097E-3</v>
      </c>
      <c r="N298" s="27" t="str">
        <f t="shared" si="19"/>
        <v>NO</v>
      </c>
    </row>
    <row r="299" spans="1:14" ht="15" customHeight="1" x14ac:dyDescent="0.25">
      <c r="A299" s="12">
        <v>46177</v>
      </c>
      <c r="B299" s="13" t="s">
        <v>98</v>
      </c>
      <c r="C299" s="13" t="s">
        <v>96</v>
      </c>
      <c r="D299" s="13" t="s">
        <v>97</v>
      </c>
      <c r="E299" s="14">
        <v>0.52</v>
      </c>
      <c r="F299" s="13" t="s">
        <v>56</v>
      </c>
      <c r="G299" s="15">
        <v>69.12</v>
      </c>
      <c r="H299" s="16">
        <v>65.56</v>
      </c>
      <c r="I299" s="16">
        <v>62.86</v>
      </c>
      <c r="J299" s="16">
        <v>64.540000000000006</v>
      </c>
      <c r="K299" s="26">
        <f t="shared" si="16"/>
        <v>-5.1504629629629657E-2</v>
      </c>
      <c r="L299" s="26">
        <f t="shared" si="17"/>
        <v>-9.0567129629629692E-2</v>
      </c>
      <c r="M299" s="26">
        <f t="shared" si="18"/>
        <v>-6.6261574074074042E-2</v>
      </c>
      <c r="N299" s="27" t="str">
        <f t="shared" si="19"/>
        <v>NO</v>
      </c>
    </row>
    <row r="300" spans="1:14" ht="15" customHeight="1" x14ac:dyDescent="0.25">
      <c r="A300" s="12">
        <v>46177</v>
      </c>
      <c r="B300" s="13" t="s">
        <v>110</v>
      </c>
      <c r="C300" s="13" t="s">
        <v>99</v>
      </c>
      <c r="D300" s="13" t="s">
        <v>97</v>
      </c>
      <c r="E300" s="14">
        <v>0.62</v>
      </c>
      <c r="F300" s="13" t="s">
        <v>56</v>
      </c>
      <c r="G300" s="15">
        <v>178.86</v>
      </c>
      <c r="H300" s="16">
        <v>180.77</v>
      </c>
      <c r="I300" s="16">
        <v>178.4</v>
      </c>
      <c r="J300" s="16">
        <v>184.76</v>
      </c>
      <c r="K300" s="26">
        <f t="shared" si="16"/>
        <v>1.0678743151067854E-2</v>
      </c>
      <c r="L300" s="26">
        <f t="shared" si="17"/>
        <v>-2.5718439002572289E-3</v>
      </c>
      <c r="M300" s="26">
        <f t="shared" si="18"/>
        <v>3.2986693503298539E-2</v>
      </c>
      <c r="N300" s="27" t="str">
        <f t="shared" si="19"/>
        <v>YES</v>
      </c>
    </row>
    <row r="301" spans="1:14" ht="15" customHeight="1" x14ac:dyDescent="0.25">
      <c r="A301" s="12">
        <v>46177</v>
      </c>
      <c r="B301" s="13" t="s">
        <v>108</v>
      </c>
      <c r="C301" s="13" t="s">
        <v>99</v>
      </c>
      <c r="D301" s="13" t="s">
        <v>97</v>
      </c>
      <c r="E301" s="14">
        <v>0.55000000000000004</v>
      </c>
      <c r="F301" s="13" t="s">
        <v>55</v>
      </c>
      <c r="G301" s="15">
        <v>706.92</v>
      </c>
      <c r="H301" s="16">
        <v>683.29</v>
      </c>
      <c r="I301" s="16">
        <v>702.25</v>
      </c>
      <c r="J301" s="16">
        <v>674.04</v>
      </c>
      <c r="K301" s="26">
        <f t="shared" si="16"/>
        <v>-3.3426696090080907E-2</v>
      </c>
      <c r="L301" s="26">
        <f t="shared" si="17"/>
        <v>-6.6061223335030263E-3</v>
      </c>
      <c r="M301" s="26">
        <f t="shared" si="18"/>
        <v>-4.6511627906976744E-2</v>
      </c>
      <c r="N301" s="27" t="str">
        <f t="shared" si="19"/>
        <v>NO</v>
      </c>
    </row>
    <row r="302" spans="1:14" ht="15" customHeight="1" x14ac:dyDescent="0.25">
      <c r="A302" s="12">
        <v>46177</v>
      </c>
      <c r="B302" s="13" t="s">
        <v>115</v>
      </c>
      <c r="C302" s="13" t="s">
        <v>113</v>
      </c>
      <c r="D302" s="13" t="s">
        <v>97</v>
      </c>
      <c r="E302" s="14">
        <v>0.57999999999999996</v>
      </c>
      <c r="F302" s="13" t="s">
        <v>56</v>
      </c>
      <c r="G302" s="15">
        <v>179.49</v>
      </c>
      <c r="H302" s="16">
        <v>184.21</v>
      </c>
      <c r="I302" s="16">
        <v>185.6</v>
      </c>
      <c r="J302" s="16">
        <v>201.37</v>
      </c>
      <c r="K302" s="26">
        <f t="shared" si="16"/>
        <v>2.6296729622820206E-2</v>
      </c>
      <c r="L302" s="26">
        <f t="shared" si="17"/>
        <v>3.4040893643099812E-2</v>
      </c>
      <c r="M302" s="26">
        <f t="shared" si="18"/>
        <v>0.12190094155663266</v>
      </c>
      <c r="N302" s="27" t="str">
        <f t="shared" si="19"/>
        <v>YES</v>
      </c>
    </row>
    <row r="303" spans="1:14" ht="15" customHeight="1" x14ac:dyDescent="0.25">
      <c r="A303" s="12">
        <v>46177</v>
      </c>
      <c r="B303" s="13" t="s">
        <v>102</v>
      </c>
      <c r="C303" s="13" t="s">
        <v>99</v>
      </c>
      <c r="D303" s="13" t="s">
        <v>97</v>
      </c>
      <c r="E303" s="14">
        <v>0.68</v>
      </c>
      <c r="F303" s="13" t="s">
        <v>55</v>
      </c>
      <c r="G303" s="15">
        <v>32.670099999999998</v>
      </c>
      <c r="H303" s="16">
        <v>32.53</v>
      </c>
      <c r="I303" s="16">
        <v>31.86</v>
      </c>
      <c r="J303" s="16">
        <v>32.24</v>
      </c>
      <c r="K303" s="26">
        <f t="shared" si="16"/>
        <v>-4.288324798515976E-3</v>
      </c>
      <c r="L303" s="26">
        <f t="shared" si="17"/>
        <v>-2.479637344238305E-2</v>
      </c>
      <c r="M303" s="26">
        <f t="shared" si="18"/>
        <v>-1.3164942868249438E-2</v>
      </c>
      <c r="N303" s="27" t="str">
        <f t="shared" si="19"/>
        <v>YES</v>
      </c>
    </row>
    <row r="304" spans="1:14" ht="15" customHeight="1" x14ac:dyDescent="0.25">
      <c r="A304" s="12">
        <v>46177</v>
      </c>
      <c r="B304" s="13" t="s">
        <v>117</v>
      </c>
      <c r="C304" s="13" t="s">
        <v>113</v>
      </c>
      <c r="D304" s="13" t="s">
        <v>97</v>
      </c>
      <c r="E304" s="14">
        <v>0.52</v>
      </c>
      <c r="F304" s="13" t="s">
        <v>56</v>
      </c>
      <c r="G304" s="15">
        <v>5.4</v>
      </c>
      <c r="H304" s="16">
        <v>5.19</v>
      </c>
      <c r="I304" s="16">
        <v>4.79</v>
      </c>
      <c r="J304" s="16">
        <v>4.66</v>
      </c>
      <c r="K304" s="26">
        <f t="shared" si="16"/>
        <v>-3.8888888888888883E-2</v>
      </c>
      <c r="L304" s="26">
        <f t="shared" si="17"/>
        <v>-0.11296296296296301</v>
      </c>
      <c r="M304" s="26">
        <f t="shared" si="18"/>
        <v>-0.13703703703703707</v>
      </c>
      <c r="N304" s="27" t="str">
        <f t="shared" si="19"/>
        <v>NO</v>
      </c>
    </row>
    <row r="305" spans="1:14" ht="15" customHeight="1" x14ac:dyDescent="0.25">
      <c r="A305" s="12">
        <v>46177</v>
      </c>
      <c r="B305" s="13" t="s">
        <v>95</v>
      </c>
      <c r="C305" s="13" t="s">
        <v>96</v>
      </c>
      <c r="D305" s="13" t="s">
        <v>97</v>
      </c>
      <c r="E305" s="14">
        <v>0.52</v>
      </c>
      <c r="F305" s="13" t="s">
        <v>56</v>
      </c>
      <c r="G305" s="15">
        <v>119.16</v>
      </c>
      <c r="H305" s="16">
        <v>120.5</v>
      </c>
      <c r="I305" s="16">
        <v>117.18</v>
      </c>
      <c r="J305" s="16">
        <v>110.65</v>
      </c>
      <c r="K305" s="26">
        <f t="shared" si="16"/>
        <v>1.1245384357166863E-2</v>
      </c>
      <c r="L305" s="26">
        <f t="shared" si="17"/>
        <v>-1.6616314199395684E-2</v>
      </c>
      <c r="M305" s="26">
        <f t="shared" si="18"/>
        <v>-7.1416582745887802E-2</v>
      </c>
      <c r="N305" s="27" t="str">
        <f t="shared" si="19"/>
        <v>YES</v>
      </c>
    </row>
    <row r="306" spans="1:14" ht="15" customHeight="1" x14ac:dyDescent="0.25">
      <c r="A306" s="12">
        <v>46177</v>
      </c>
      <c r="B306" s="13" t="s">
        <v>109</v>
      </c>
      <c r="C306" s="13" t="s">
        <v>99</v>
      </c>
      <c r="D306" s="13" t="s">
        <v>97</v>
      </c>
      <c r="E306" s="14">
        <v>0.52</v>
      </c>
      <c r="F306" s="13" t="s">
        <v>56</v>
      </c>
      <c r="G306" s="15">
        <v>43.744999999999997</v>
      </c>
      <c r="H306" s="16">
        <v>44.05</v>
      </c>
      <c r="I306" s="16">
        <v>44.76</v>
      </c>
      <c r="J306" s="16">
        <v>45.3</v>
      </c>
      <c r="K306" s="26">
        <f t="shared" si="16"/>
        <v>6.9722253971882444E-3</v>
      </c>
      <c r="L306" s="26">
        <f t="shared" si="17"/>
        <v>2.3202651731626486E-2</v>
      </c>
      <c r="M306" s="26">
        <f t="shared" si="18"/>
        <v>3.5546919647959765E-2</v>
      </c>
      <c r="N306" s="27" t="str">
        <f t="shared" si="19"/>
        <v>YES</v>
      </c>
    </row>
    <row r="307" spans="1:14" ht="15" customHeight="1" x14ac:dyDescent="0.25">
      <c r="A307" s="12">
        <v>46177</v>
      </c>
      <c r="B307" s="13" t="s">
        <v>118</v>
      </c>
      <c r="C307" s="13" t="s">
        <v>119</v>
      </c>
      <c r="D307" s="13" t="s">
        <v>97</v>
      </c>
      <c r="E307" s="14">
        <v>0.52</v>
      </c>
      <c r="F307" s="13" t="s">
        <v>56</v>
      </c>
      <c r="G307" s="15">
        <v>753.89</v>
      </c>
      <c r="H307" s="16">
        <v>737.76</v>
      </c>
      <c r="I307" s="16">
        <v>746.74</v>
      </c>
      <c r="J307" s="16">
        <v>751.28</v>
      </c>
      <c r="K307" s="26">
        <f t="shared" si="16"/>
        <v>-2.1395694332064355E-2</v>
      </c>
      <c r="L307" s="26">
        <f t="shared" si="17"/>
        <v>-9.4841422488691693E-3</v>
      </c>
      <c r="M307" s="26">
        <f t="shared" si="18"/>
        <v>-3.4620435342026207E-3</v>
      </c>
      <c r="N307" s="27" t="str">
        <f t="shared" si="19"/>
        <v>YES</v>
      </c>
    </row>
    <row r="308" spans="1:14" ht="15" customHeight="1" x14ac:dyDescent="0.25">
      <c r="A308" s="12">
        <v>46177</v>
      </c>
      <c r="B308" s="13" t="s">
        <v>120</v>
      </c>
      <c r="C308" s="13" t="s">
        <v>119</v>
      </c>
      <c r="D308" s="13" t="s">
        <v>97</v>
      </c>
      <c r="E308" s="14">
        <v>0.45</v>
      </c>
      <c r="F308" s="13" t="s">
        <v>55</v>
      </c>
      <c r="G308" s="15">
        <v>736.20820000000003</v>
      </c>
      <c r="H308" s="16">
        <v>717.12</v>
      </c>
      <c r="I308" s="16">
        <v>740.62</v>
      </c>
      <c r="J308" s="16">
        <v>722.82</v>
      </c>
      <c r="K308" s="26">
        <f t="shared" si="16"/>
        <v>-2.5927719903147E-2</v>
      </c>
      <c r="L308" s="26">
        <f t="shared" si="17"/>
        <v>5.9925982894512321E-3</v>
      </c>
      <c r="M308" s="26">
        <f t="shared" si="18"/>
        <v>-1.8185344852176304E-2</v>
      </c>
      <c r="N308" s="27" t="str">
        <f t="shared" si="19"/>
        <v>YES</v>
      </c>
    </row>
    <row r="309" spans="1:14" ht="15" customHeight="1" x14ac:dyDescent="0.25">
      <c r="A309" s="12">
        <v>46177</v>
      </c>
      <c r="B309" s="13" t="s">
        <v>121</v>
      </c>
      <c r="C309" s="13" t="s">
        <v>119</v>
      </c>
      <c r="D309" s="13" t="s">
        <v>97</v>
      </c>
      <c r="E309" s="14">
        <v>0.52</v>
      </c>
      <c r="F309" s="13" t="s">
        <v>56</v>
      </c>
      <c r="G309" s="15">
        <v>371.74</v>
      </c>
      <c r="H309" s="16">
        <v>364.3</v>
      </c>
      <c r="I309" s="16">
        <v>369.99</v>
      </c>
      <c r="J309" s="16">
        <v>371.67</v>
      </c>
      <c r="K309" s="26">
        <f t="shared" si="16"/>
        <v>-2.0013988271372459E-2</v>
      </c>
      <c r="L309" s="26">
        <f t="shared" si="17"/>
        <v>-4.7075913272717493E-3</v>
      </c>
      <c r="M309" s="26">
        <f t="shared" si="18"/>
        <v>-1.883036530908516E-4</v>
      </c>
      <c r="N309" s="27" t="str">
        <f t="shared" si="19"/>
        <v>YES</v>
      </c>
    </row>
    <row r="310" spans="1:14" ht="15" customHeight="1" x14ac:dyDescent="0.25">
      <c r="A310" s="12">
        <v>46177</v>
      </c>
      <c r="B310" s="13" t="s">
        <v>122</v>
      </c>
      <c r="C310" s="13" t="s">
        <v>119</v>
      </c>
      <c r="D310" s="13" t="s">
        <v>124</v>
      </c>
      <c r="E310" s="14">
        <v>0.65</v>
      </c>
      <c r="F310" s="13" t="s">
        <v>56</v>
      </c>
      <c r="G310" s="15">
        <v>213.785</v>
      </c>
      <c r="H310" s="16">
        <v>204.87</v>
      </c>
      <c r="I310" s="16">
        <v>210.15</v>
      </c>
      <c r="J310" s="16">
        <v>195.55</v>
      </c>
      <c r="K310" s="26">
        <f t="shared" si="16"/>
        <v>-4.1700774142245677E-2</v>
      </c>
      <c r="L310" s="26">
        <f t="shared" si="17"/>
        <v>-1.7003063825806259E-2</v>
      </c>
      <c r="M310" s="26">
        <f t="shared" si="18"/>
        <v>-8.5295974928081886E-2</v>
      </c>
      <c r="N310" s="27" t="str">
        <f t="shared" si="19"/>
        <v>NO</v>
      </c>
    </row>
    <row r="311" spans="1:14" ht="15" customHeight="1" x14ac:dyDescent="0.25">
      <c r="A311" s="12">
        <v>46177</v>
      </c>
      <c r="B311" s="13" t="s">
        <v>123</v>
      </c>
      <c r="C311" s="13" t="s">
        <v>119</v>
      </c>
      <c r="D311" s="13" t="s">
        <v>97</v>
      </c>
      <c r="E311" s="14">
        <v>0.45</v>
      </c>
      <c r="F311" s="13" t="s">
        <v>56</v>
      </c>
      <c r="G311" s="15">
        <v>411.13010000000003</v>
      </c>
      <c r="H311" s="16">
        <v>386.32</v>
      </c>
      <c r="I311" s="16">
        <v>387.12</v>
      </c>
      <c r="J311" s="16">
        <v>382.13</v>
      </c>
      <c r="K311" s="26">
        <f t="shared" si="16"/>
        <v>-6.0346104554251885E-2</v>
      </c>
      <c r="L311" s="26">
        <f t="shared" si="17"/>
        <v>-5.840024848581999E-2</v>
      </c>
      <c r="M311" s="26">
        <f t="shared" si="18"/>
        <v>-7.0537525712663779E-2</v>
      </c>
      <c r="N311" s="27" t="str">
        <f t="shared" si="19"/>
        <v>NO</v>
      </c>
    </row>
    <row r="312" spans="1:14" ht="15" customHeight="1" x14ac:dyDescent="0.25">
      <c r="A312" s="12">
        <v>46178</v>
      </c>
      <c r="B312" s="13" t="s">
        <v>103</v>
      </c>
      <c r="C312" s="13" t="s">
        <v>99</v>
      </c>
      <c r="D312" s="13" t="s">
        <v>97</v>
      </c>
      <c r="E312" s="14">
        <v>0.62</v>
      </c>
      <c r="F312" s="13" t="s">
        <v>55</v>
      </c>
      <c r="G312" s="15">
        <v>313.70999999999998</v>
      </c>
      <c r="H312" s="16">
        <v>291.13</v>
      </c>
      <c r="I312" s="16">
        <v>297.01</v>
      </c>
      <c r="K312" s="26">
        <f t="shared" si="16"/>
        <v>-7.1977303879378993E-2</v>
      </c>
      <c r="L312" s="26">
        <f t="shared" si="17"/>
        <v>-5.3233878422747093E-2</v>
      </c>
      <c r="M312" s="26" t="str">
        <f t="shared" si="18"/>
        <v/>
      </c>
      <c r="N312" s="27" t="str">
        <f t="shared" si="19"/>
        <v>NO</v>
      </c>
    </row>
    <row r="313" spans="1:14" ht="15" customHeight="1" x14ac:dyDescent="0.25">
      <c r="A313" s="12">
        <v>46178</v>
      </c>
      <c r="B313" s="13" t="s">
        <v>112</v>
      </c>
      <c r="C313" s="13" t="s">
        <v>113</v>
      </c>
      <c r="D313" s="13" t="s">
        <v>97</v>
      </c>
      <c r="E313" s="14">
        <v>0.42</v>
      </c>
      <c r="F313" s="13" t="s">
        <v>57</v>
      </c>
      <c r="G313" s="15">
        <v>17.88</v>
      </c>
      <c r="H313" s="16">
        <v>17.649999999999999</v>
      </c>
      <c r="I313" s="16">
        <v>17.72</v>
      </c>
      <c r="K313" s="26">
        <f t="shared" si="16"/>
        <v>-1.2863534675615237E-2</v>
      </c>
      <c r="L313" s="26">
        <f t="shared" si="17"/>
        <v>-8.9485458612975476E-3</v>
      </c>
      <c r="M313" s="26" t="str">
        <f t="shared" si="18"/>
        <v/>
      </c>
      <c r="N313" s="27" t="str">
        <f t="shared" si="19"/>
        <v>YES</v>
      </c>
    </row>
    <row r="314" spans="1:14" ht="15" customHeight="1" x14ac:dyDescent="0.25">
      <c r="A314" s="12">
        <v>46178</v>
      </c>
      <c r="B314" s="13" t="s">
        <v>105</v>
      </c>
      <c r="C314" s="13" t="s">
        <v>96</v>
      </c>
      <c r="D314" s="13" t="s">
        <v>97</v>
      </c>
      <c r="E314" s="14">
        <v>0.52</v>
      </c>
      <c r="F314" s="13" t="s">
        <v>56</v>
      </c>
      <c r="G314" s="15">
        <v>65.11</v>
      </c>
      <c r="H314" s="16">
        <v>64</v>
      </c>
      <c r="I314" s="16">
        <v>67.09</v>
      </c>
      <c r="K314" s="26">
        <f t="shared" si="16"/>
        <v>-1.7048072492704645E-2</v>
      </c>
      <c r="L314" s="26">
        <f t="shared" si="17"/>
        <v>3.0410075257257013E-2</v>
      </c>
      <c r="M314" s="26" t="str">
        <f t="shared" si="18"/>
        <v/>
      </c>
      <c r="N314" s="27" t="str">
        <f t="shared" si="19"/>
        <v>YES</v>
      </c>
    </row>
    <row r="315" spans="1:14" ht="15" customHeight="1" x14ac:dyDescent="0.25">
      <c r="A315" s="12">
        <v>46178</v>
      </c>
      <c r="B315" s="13" t="s">
        <v>114</v>
      </c>
      <c r="C315" s="13" t="s">
        <v>113</v>
      </c>
      <c r="D315" s="13" t="s">
        <v>97</v>
      </c>
      <c r="E315" s="14">
        <v>0.42</v>
      </c>
      <c r="F315" s="13" t="s">
        <v>56</v>
      </c>
      <c r="G315" s="15">
        <v>217.25</v>
      </c>
      <c r="H315" s="16">
        <v>214</v>
      </c>
      <c r="I315" s="16">
        <v>224.43</v>
      </c>
      <c r="K315" s="26">
        <f t="shared" si="16"/>
        <v>-1.4959723820483314E-2</v>
      </c>
      <c r="L315" s="26">
        <f t="shared" si="17"/>
        <v>3.3049482163406245E-2</v>
      </c>
      <c r="M315" s="26" t="str">
        <f t="shared" si="18"/>
        <v/>
      </c>
      <c r="N315" s="27" t="str">
        <f t="shared" si="19"/>
        <v>YES</v>
      </c>
    </row>
    <row r="316" spans="1:14" ht="15" customHeight="1" x14ac:dyDescent="0.25">
      <c r="A316" s="12">
        <v>46178</v>
      </c>
      <c r="B316" s="13" t="s">
        <v>116</v>
      </c>
      <c r="C316" s="13" t="s">
        <v>113</v>
      </c>
      <c r="D316" s="13" t="s">
        <v>97</v>
      </c>
      <c r="E316" s="14">
        <v>0.42</v>
      </c>
      <c r="F316" s="13" t="s">
        <v>56</v>
      </c>
      <c r="G316" s="15">
        <v>17.13</v>
      </c>
      <c r="H316" s="16">
        <v>16.8</v>
      </c>
      <c r="I316" s="16">
        <v>16.77</v>
      </c>
      <c r="K316" s="26">
        <f t="shared" si="16"/>
        <v>-1.9264448336252092E-2</v>
      </c>
      <c r="L316" s="26">
        <f t="shared" si="17"/>
        <v>-2.1015761821365993E-2</v>
      </c>
      <c r="M316" s="26" t="str">
        <f t="shared" si="18"/>
        <v/>
      </c>
      <c r="N316" s="27" t="str">
        <f t="shared" si="19"/>
        <v>YES</v>
      </c>
    </row>
    <row r="317" spans="1:14" ht="15" customHeight="1" x14ac:dyDescent="0.25">
      <c r="A317" s="12">
        <v>46178</v>
      </c>
      <c r="B317" s="13" t="s">
        <v>104</v>
      </c>
      <c r="C317" s="13" t="s">
        <v>96</v>
      </c>
      <c r="D317" s="13" t="s">
        <v>97</v>
      </c>
      <c r="E317" s="14">
        <v>0.42</v>
      </c>
      <c r="F317" s="13" t="s">
        <v>56</v>
      </c>
      <c r="G317" s="15">
        <v>34.1</v>
      </c>
      <c r="H317" s="16">
        <v>33.85</v>
      </c>
      <c r="I317" s="16">
        <v>30.79</v>
      </c>
      <c r="K317" s="26">
        <f t="shared" si="16"/>
        <v>-7.3313782991202342E-3</v>
      </c>
      <c r="L317" s="26">
        <f t="shared" si="17"/>
        <v>-9.706744868035197E-2</v>
      </c>
      <c r="M317" s="26" t="str">
        <f t="shared" si="18"/>
        <v/>
      </c>
      <c r="N317" s="27" t="str">
        <f t="shared" si="19"/>
        <v>YES</v>
      </c>
    </row>
    <row r="318" spans="1:14" ht="15" customHeight="1" x14ac:dyDescent="0.25">
      <c r="A318" s="12">
        <v>46178</v>
      </c>
      <c r="B318" s="13" t="s">
        <v>111</v>
      </c>
      <c r="C318" s="13" t="s">
        <v>113</v>
      </c>
      <c r="D318" s="13" t="s">
        <v>97</v>
      </c>
      <c r="E318" s="14">
        <v>0.57999999999999996</v>
      </c>
      <c r="F318" s="13" t="s">
        <v>56</v>
      </c>
      <c r="G318" s="15">
        <v>67.78</v>
      </c>
      <c r="H318" s="16">
        <v>70.790000000000006</v>
      </c>
      <c r="I318" s="16">
        <v>67.39</v>
      </c>
      <c r="K318" s="26">
        <f t="shared" si="16"/>
        <v>4.4408380053113088E-2</v>
      </c>
      <c r="L318" s="26">
        <f t="shared" si="17"/>
        <v>-5.7539097078784388E-3</v>
      </c>
      <c r="M318" s="26" t="str">
        <f t="shared" si="18"/>
        <v/>
      </c>
      <c r="N318" s="27" t="str">
        <f t="shared" si="19"/>
        <v>NO</v>
      </c>
    </row>
    <row r="319" spans="1:14" ht="15" customHeight="1" x14ac:dyDescent="0.25">
      <c r="A319" s="12">
        <v>46178</v>
      </c>
      <c r="B319" s="13" t="s">
        <v>107</v>
      </c>
      <c r="C319" s="13" t="s">
        <v>96</v>
      </c>
      <c r="D319" s="13" t="s">
        <v>97</v>
      </c>
      <c r="E319" s="14">
        <v>0.55000000000000004</v>
      </c>
      <c r="F319" s="13" t="s">
        <v>56</v>
      </c>
      <c r="G319" s="15">
        <v>82.61</v>
      </c>
      <c r="H319" s="16">
        <v>81.5</v>
      </c>
      <c r="I319" s="16">
        <v>80.430000000000007</v>
      </c>
      <c r="K319" s="26">
        <f t="shared" si="16"/>
        <v>-1.3436629947948184E-2</v>
      </c>
      <c r="L319" s="26">
        <f t="shared" si="17"/>
        <v>-2.6389057014889149E-2</v>
      </c>
      <c r="M319" s="26" t="str">
        <f t="shared" si="18"/>
        <v/>
      </c>
      <c r="N319" s="27" t="str">
        <f t="shared" si="19"/>
        <v>YES</v>
      </c>
    </row>
    <row r="320" spans="1:14" ht="15" customHeight="1" x14ac:dyDescent="0.25">
      <c r="A320" s="12">
        <v>46178</v>
      </c>
      <c r="B320" s="13" t="s">
        <v>106</v>
      </c>
      <c r="C320" s="13" t="s">
        <v>99</v>
      </c>
      <c r="D320" s="13" t="s">
        <v>97</v>
      </c>
      <c r="E320" s="14">
        <v>0.62</v>
      </c>
      <c r="F320" s="13" t="s">
        <v>55</v>
      </c>
      <c r="G320" s="15">
        <v>312.5</v>
      </c>
      <c r="H320" s="16">
        <v>320.72000000000003</v>
      </c>
      <c r="I320" s="16">
        <v>331.48</v>
      </c>
      <c r="K320" s="26">
        <f t="shared" si="16"/>
        <v>2.6304000000000088E-2</v>
      </c>
      <c r="L320" s="26">
        <f t="shared" si="17"/>
        <v>6.0736000000000061E-2</v>
      </c>
      <c r="M320" s="26" t="str">
        <f t="shared" si="18"/>
        <v/>
      </c>
      <c r="N320" s="27" t="str">
        <f t="shared" si="19"/>
        <v>YES</v>
      </c>
    </row>
    <row r="321" spans="1:14" ht="15" customHeight="1" x14ac:dyDescent="0.25">
      <c r="A321" s="12">
        <v>46178</v>
      </c>
      <c r="B321" s="13" t="s">
        <v>100</v>
      </c>
      <c r="C321" s="13" t="s">
        <v>96</v>
      </c>
      <c r="D321" s="13" t="s">
        <v>97</v>
      </c>
      <c r="E321" s="14">
        <v>0.52</v>
      </c>
      <c r="F321" s="13" t="s">
        <v>56</v>
      </c>
      <c r="G321" s="15">
        <v>422.75349999999997</v>
      </c>
      <c r="H321" s="16">
        <v>390.74</v>
      </c>
      <c r="I321" s="16">
        <v>367.34</v>
      </c>
      <c r="K321" s="26">
        <f t="shared" si="16"/>
        <v>-7.5726161935974437E-2</v>
      </c>
      <c r="L321" s="26">
        <f t="shared" si="17"/>
        <v>-0.13107756647786475</v>
      </c>
      <c r="M321" s="26" t="str">
        <f t="shared" si="18"/>
        <v/>
      </c>
      <c r="N321" s="27" t="str">
        <f t="shared" si="19"/>
        <v>NO</v>
      </c>
    </row>
    <row r="322" spans="1:14" ht="15" customHeight="1" x14ac:dyDescent="0.25">
      <c r="A322" s="12">
        <v>46178</v>
      </c>
      <c r="B322" s="13" t="s">
        <v>101</v>
      </c>
      <c r="C322" s="13" t="s">
        <v>99</v>
      </c>
      <c r="D322" s="13" t="s">
        <v>97</v>
      </c>
      <c r="E322" s="14">
        <v>0.42</v>
      </c>
      <c r="F322" s="13" t="s">
        <v>56</v>
      </c>
      <c r="G322" s="15">
        <v>43.215000000000003</v>
      </c>
      <c r="H322" s="16">
        <v>44.93</v>
      </c>
      <c r="I322" s="16">
        <v>43.19</v>
      </c>
      <c r="K322" s="26">
        <f t="shared" si="16"/>
        <v>3.9685294457942756E-2</v>
      </c>
      <c r="L322" s="26">
        <f t="shared" si="17"/>
        <v>-5.7850283466402133E-4</v>
      </c>
      <c r="M322" s="26" t="str">
        <f t="shared" si="18"/>
        <v/>
      </c>
      <c r="N322" s="27" t="str">
        <f t="shared" si="19"/>
        <v>NO</v>
      </c>
    </row>
    <row r="323" spans="1:14" ht="15" customHeight="1" x14ac:dyDescent="0.25">
      <c r="A323" s="12">
        <v>46178</v>
      </c>
      <c r="B323" s="13" t="s">
        <v>98</v>
      </c>
      <c r="C323" s="13" t="s">
        <v>96</v>
      </c>
      <c r="D323" s="13" t="s">
        <v>97</v>
      </c>
      <c r="E323" s="14">
        <v>0.48</v>
      </c>
      <c r="F323" s="13" t="s">
        <v>56</v>
      </c>
      <c r="G323" s="15">
        <v>67.66</v>
      </c>
      <c r="H323" s="16">
        <v>67.62</v>
      </c>
      <c r="I323" s="16">
        <v>62.25</v>
      </c>
      <c r="K323" s="26">
        <f t="shared" si="16"/>
        <v>-5.9119125036937695E-4</v>
      </c>
      <c r="L323" s="26">
        <f t="shared" si="17"/>
        <v>-7.9958616612474095E-2</v>
      </c>
      <c r="M323" s="26" t="str">
        <f t="shared" si="18"/>
        <v/>
      </c>
      <c r="N323" s="27" t="str">
        <f t="shared" si="19"/>
        <v>YES</v>
      </c>
    </row>
    <row r="324" spans="1:14" ht="15" customHeight="1" x14ac:dyDescent="0.25">
      <c r="A324" s="12">
        <v>46178</v>
      </c>
      <c r="B324" s="13" t="s">
        <v>110</v>
      </c>
      <c r="C324" s="13" t="s">
        <v>99</v>
      </c>
      <c r="D324" s="13" t="s">
        <v>97</v>
      </c>
      <c r="E324" s="14">
        <v>0.62</v>
      </c>
      <c r="F324" s="13" t="s">
        <v>55</v>
      </c>
      <c r="G324" s="15">
        <v>175.47499999999999</v>
      </c>
      <c r="H324" s="16">
        <v>184.3</v>
      </c>
      <c r="I324" s="16">
        <v>173.17</v>
      </c>
      <c r="K324" s="26">
        <f t="shared" si="16"/>
        <v>5.0292064396637796E-2</v>
      </c>
      <c r="L324" s="26">
        <f t="shared" si="17"/>
        <v>-1.3135774326827223E-2</v>
      </c>
      <c r="M324" s="26" t="str">
        <f t="shared" si="18"/>
        <v/>
      </c>
      <c r="N324" s="27" t="str">
        <f t="shared" si="19"/>
        <v>NO</v>
      </c>
    </row>
    <row r="325" spans="1:14" ht="15" customHeight="1" x14ac:dyDescent="0.25">
      <c r="A325" s="12">
        <v>46178</v>
      </c>
      <c r="B325" s="13" t="s">
        <v>108</v>
      </c>
      <c r="C325" s="13" t="s">
        <v>99</v>
      </c>
      <c r="D325" s="13" t="s">
        <v>97</v>
      </c>
      <c r="E325" s="14">
        <v>0.52</v>
      </c>
      <c r="F325" s="13" t="s">
        <v>55</v>
      </c>
      <c r="G325" s="15">
        <v>705.07</v>
      </c>
      <c r="H325" s="16">
        <v>707.74</v>
      </c>
      <c r="I325" s="16">
        <v>740.14</v>
      </c>
      <c r="K325" s="26">
        <f t="shared" ref="K325:K388" si="20">IF(H325="","",(H325-G325)/G325)</f>
        <v>3.7868580424638104E-3</v>
      </c>
      <c r="L325" s="26">
        <f t="shared" ref="L325:L388" si="21">IF(I325="","",(I325-G325)/G325)</f>
        <v>4.9739742153261282E-2</v>
      </c>
      <c r="M325" s="26" t="str">
        <f t="shared" ref="M325:M388" si="22">IF(J325="","",(J325-G325)/G325)</f>
        <v/>
      </c>
      <c r="N325" s="27" t="str">
        <f t="shared" ref="N325:N388" si="23">IF(H325="","",IF(D325="HOLD",IF(ABS(K325)&lt;0.03,"YES","NO"),IF(D325="BUY",IF(K325&gt;0,"YES","NO"),IF(D325="SELL",IF(K325&lt;0,"YES","NO"),""))))</f>
        <v>YES</v>
      </c>
    </row>
    <row r="326" spans="1:14" ht="15" customHeight="1" x14ac:dyDescent="0.25">
      <c r="A326" s="12">
        <v>46178</v>
      </c>
      <c r="B326" s="13" t="s">
        <v>115</v>
      </c>
      <c r="C326" s="13" t="s">
        <v>113</v>
      </c>
      <c r="D326" s="13" t="s">
        <v>97</v>
      </c>
      <c r="E326" s="14">
        <v>0.57999999999999996</v>
      </c>
      <c r="F326" s="13" t="s">
        <v>55</v>
      </c>
      <c r="G326" s="15">
        <v>180.37</v>
      </c>
      <c r="H326" s="16">
        <v>183.53</v>
      </c>
      <c r="I326" s="16">
        <v>181.83</v>
      </c>
      <c r="K326" s="26">
        <f t="shared" si="20"/>
        <v>1.7519543161279572E-2</v>
      </c>
      <c r="L326" s="26">
        <f t="shared" si="21"/>
        <v>8.0944724732494762E-3</v>
      </c>
      <c r="M326" s="26" t="str">
        <f t="shared" si="22"/>
        <v/>
      </c>
      <c r="N326" s="27" t="str">
        <f t="shared" si="23"/>
        <v>YES</v>
      </c>
    </row>
    <row r="327" spans="1:14" ht="15" customHeight="1" x14ac:dyDescent="0.25">
      <c r="A327" s="12">
        <v>46178</v>
      </c>
      <c r="B327" s="13" t="s">
        <v>102</v>
      </c>
      <c r="C327" s="13" t="s">
        <v>99</v>
      </c>
      <c r="D327" s="13" t="s">
        <v>97</v>
      </c>
      <c r="E327" s="14">
        <v>0.68</v>
      </c>
      <c r="F327" s="13" t="s">
        <v>55</v>
      </c>
      <c r="G327" s="15">
        <v>32.585000000000001</v>
      </c>
      <c r="H327" s="16">
        <v>32.82</v>
      </c>
      <c r="I327" s="16">
        <v>31.89</v>
      </c>
      <c r="K327" s="26">
        <f t="shared" si="20"/>
        <v>7.211907319318687E-3</v>
      </c>
      <c r="L327" s="26">
        <f t="shared" si="21"/>
        <v>-2.1328832284793625E-2</v>
      </c>
      <c r="M327" s="26" t="str">
        <f t="shared" si="22"/>
        <v/>
      </c>
      <c r="N327" s="27" t="str">
        <f t="shared" si="23"/>
        <v>YES</v>
      </c>
    </row>
    <row r="328" spans="1:14" ht="15" customHeight="1" x14ac:dyDescent="0.25">
      <c r="A328" s="12">
        <v>46178</v>
      </c>
      <c r="B328" s="13" t="s">
        <v>117</v>
      </c>
      <c r="C328" s="13" t="s">
        <v>113</v>
      </c>
      <c r="D328" s="13" t="s">
        <v>97</v>
      </c>
      <c r="E328" s="14">
        <v>0.52</v>
      </c>
      <c r="F328" s="13" t="s">
        <v>56</v>
      </c>
      <c r="G328" s="15">
        <v>5.5549999999999997</v>
      </c>
      <c r="H328" s="16">
        <v>5.32</v>
      </c>
      <c r="I328" s="16">
        <v>4.6500000000000004</v>
      </c>
      <c r="K328" s="26">
        <f t="shared" si="20"/>
        <v>-4.2304230423042204E-2</v>
      </c>
      <c r="L328" s="26">
        <f t="shared" si="21"/>
        <v>-0.1629162916291628</v>
      </c>
      <c r="M328" s="26" t="str">
        <f t="shared" si="22"/>
        <v/>
      </c>
      <c r="N328" s="27" t="str">
        <f t="shared" si="23"/>
        <v>NO</v>
      </c>
    </row>
    <row r="329" spans="1:14" ht="15" customHeight="1" x14ac:dyDescent="0.25">
      <c r="A329" s="12">
        <v>46178</v>
      </c>
      <c r="B329" s="13" t="s">
        <v>95</v>
      </c>
      <c r="C329" s="13" t="s">
        <v>96</v>
      </c>
      <c r="D329" s="13" t="s">
        <v>97</v>
      </c>
      <c r="E329" s="14">
        <v>0.52</v>
      </c>
      <c r="F329" s="13" t="s">
        <v>55</v>
      </c>
      <c r="G329" s="15">
        <v>120.44</v>
      </c>
      <c r="H329" s="16">
        <v>121.04</v>
      </c>
      <c r="I329" s="16">
        <v>117.18</v>
      </c>
      <c r="K329" s="26">
        <f t="shared" si="20"/>
        <v>4.981733643307942E-3</v>
      </c>
      <c r="L329" s="26">
        <f t="shared" si="21"/>
        <v>-2.7067419461972692E-2</v>
      </c>
      <c r="M329" s="26" t="str">
        <f t="shared" si="22"/>
        <v/>
      </c>
      <c r="N329" s="27" t="str">
        <f t="shared" si="23"/>
        <v>YES</v>
      </c>
    </row>
    <row r="330" spans="1:14" ht="15" customHeight="1" x14ac:dyDescent="0.25">
      <c r="A330" s="12">
        <v>46178</v>
      </c>
      <c r="B330" s="13" t="s">
        <v>109</v>
      </c>
      <c r="C330" s="13" t="s">
        <v>99</v>
      </c>
      <c r="D330" s="13" t="s">
        <v>97</v>
      </c>
      <c r="E330" s="14">
        <v>0.52</v>
      </c>
      <c r="F330" s="13" t="s">
        <v>56</v>
      </c>
      <c r="G330" s="15">
        <v>44.284999999999997</v>
      </c>
      <c r="H330" s="16">
        <v>44.53</v>
      </c>
      <c r="I330" s="16">
        <v>44.72</v>
      </c>
      <c r="K330" s="26">
        <f t="shared" si="20"/>
        <v>5.5323472959242313E-3</v>
      </c>
      <c r="L330" s="26">
        <f t="shared" si="21"/>
        <v>9.8227390764367688E-3</v>
      </c>
      <c r="M330" s="26" t="str">
        <f t="shared" si="22"/>
        <v/>
      </c>
      <c r="N330" s="27" t="str">
        <f t="shared" si="23"/>
        <v>YES</v>
      </c>
    </row>
    <row r="331" spans="1:14" ht="15" customHeight="1" x14ac:dyDescent="0.25">
      <c r="A331" s="12">
        <v>46178</v>
      </c>
      <c r="B331" s="13" t="s">
        <v>118</v>
      </c>
      <c r="C331" s="13" t="s">
        <v>119</v>
      </c>
      <c r="D331" s="13" t="s">
        <v>97</v>
      </c>
      <c r="E331" s="14">
        <v>0.48</v>
      </c>
      <c r="F331" s="13" t="s">
        <v>55</v>
      </c>
      <c r="G331" s="15">
        <v>750.40369999999996</v>
      </c>
      <c r="H331" s="16">
        <v>741.75</v>
      </c>
      <c r="I331" s="16">
        <v>744.39</v>
      </c>
      <c r="K331" s="26">
        <f t="shared" si="20"/>
        <v>-1.153205934352397E-2</v>
      </c>
      <c r="L331" s="26">
        <f t="shared" si="21"/>
        <v>-8.0139530228861763E-3</v>
      </c>
      <c r="M331" s="26" t="str">
        <f t="shared" si="22"/>
        <v/>
      </c>
      <c r="N331" s="27" t="str">
        <f t="shared" si="23"/>
        <v>YES</v>
      </c>
    </row>
    <row r="332" spans="1:14" ht="15" customHeight="1" x14ac:dyDescent="0.25">
      <c r="A332" s="12">
        <v>46178</v>
      </c>
      <c r="B332" s="13" t="s">
        <v>120</v>
      </c>
      <c r="C332" s="13" t="s">
        <v>119</v>
      </c>
      <c r="D332" s="13" t="s">
        <v>97</v>
      </c>
      <c r="E332" s="14">
        <v>0.45</v>
      </c>
      <c r="F332" s="13" t="s">
        <v>56</v>
      </c>
      <c r="G332" s="15">
        <v>727.31</v>
      </c>
      <c r="H332" s="16">
        <v>721.34</v>
      </c>
      <c r="I332" s="16">
        <v>737.95</v>
      </c>
      <c r="K332" s="26">
        <f t="shared" si="20"/>
        <v>-8.2083293231220711E-3</v>
      </c>
      <c r="L332" s="26">
        <f t="shared" si="21"/>
        <v>1.4629250250924779E-2</v>
      </c>
      <c r="M332" s="26" t="str">
        <f t="shared" si="22"/>
        <v/>
      </c>
      <c r="N332" s="27" t="str">
        <f t="shared" si="23"/>
        <v>YES</v>
      </c>
    </row>
    <row r="333" spans="1:14" ht="15" customHeight="1" x14ac:dyDescent="0.25">
      <c r="A333" s="12">
        <v>46178</v>
      </c>
      <c r="B333" s="13" t="s">
        <v>121</v>
      </c>
      <c r="C333" s="13" t="s">
        <v>119</v>
      </c>
      <c r="D333" s="13" t="s">
        <v>97</v>
      </c>
      <c r="E333" s="14">
        <v>0.52</v>
      </c>
      <c r="F333" s="13" t="s">
        <v>56</v>
      </c>
      <c r="G333" s="15">
        <v>369.89</v>
      </c>
      <c r="H333" s="16">
        <v>366.36</v>
      </c>
      <c r="I333" s="16">
        <v>368.81</v>
      </c>
      <c r="K333" s="26">
        <f t="shared" si="20"/>
        <v>-9.5433777609558873E-3</v>
      </c>
      <c r="L333" s="26">
        <f t="shared" si="21"/>
        <v>-2.9197869636918656E-3</v>
      </c>
      <c r="M333" s="26" t="str">
        <f t="shared" si="22"/>
        <v/>
      </c>
      <c r="N333" s="27" t="str">
        <f t="shared" si="23"/>
        <v>YES</v>
      </c>
    </row>
    <row r="334" spans="1:14" ht="15" customHeight="1" x14ac:dyDescent="0.25">
      <c r="A334" s="12">
        <v>46178</v>
      </c>
      <c r="B334" s="13" t="s">
        <v>122</v>
      </c>
      <c r="C334" s="13" t="s">
        <v>119</v>
      </c>
      <c r="D334" s="13" t="s">
        <v>124</v>
      </c>
      <c r="E334" s="14">
        <v>0.65</v>
      </c>
      <c r="F334" s="13" t="s">
        <v>56</v>
      </c>
      <c r="G334" s="15">
        <v>211.97499999999999</v>
      </c>
      <c r="H334" s="16">
        <v>205.19</v>
      </c>
      <c r="I334" s="16">
        <v>208.65</v>
      </c>
      <c r="K334" s="26">
        <f t="shared" si="20"/>
        <v>-3.2008491567401799E-2</v>
      </c>
      <c r="L334" s="26">
        <f t="shared" si="21"/>
        <v>-1.5685812006132744E-2</v>
      </c>
      <c r="M334" s="26" t="str">
        <f t="shared" si="22"/>
        <v/>
      </c>
      <c r="N334" s="27" t="str">
        <f t="shared" si="23"/>
        <v>NO</v>
      </c>
    </row>
    <row r="335" spans="1:14" ht="15" customHeight="1" x14ac:dyDescent="0.25">
      <c r="A335" s="12">
        <v>46178</v>
      </c>
      <c r="B335" s="13" t="s">
        <v>123</v>
      </c>
      <c r="C335" s="13" t="s">
        <v>119</v>
      </c>
      <c r="D335" s="13" t="s">
        <v>97</v>
      </c>
      <c r="E335" s="14">
        <v>0.52</v>
      </c>
      <c r="F335" s="13" t="s">
        <v>56</v>
      </c>
      <c r="G335" s="15">
        <v>399.3</v>
      </c>
      <c r="H335" s="16">
        <v>386.54</v>
      </c>
      <c r="I335" s="16">
        <v>384.59</v>
      </c>
      <c r="K335" s="26">
        <f t="shared" si="20"/>
        <v>-3.1955922865013753E-2</v>
      </c>
      <c r="L335" s="26">
        <f t="shared" si="21"/>
        <v>-3.6839469070874119E-2</v>
      </c>
      <c r="M335" s="26" t="str">
        <f t="shared" si="22"/>
        <v/>
      </c>
      <c r="N335" s="27" t="str">
        <f t="shared" si="23"/>
        <v>NO</v>
      </c>
    </row>
    <row r="336" spans="1:14" ht="15" customHeight="1" x14ac:dyDescent="0.25">
      <c r="A336" s="12">
        <v>46181</v>
      </c>
      <c r="B336" s="13" t="s">
        <v>103</v>
      </c>
      <c r="C336" s="13" t="s">
        <v>99</v>
      </c>
      <c r="D336" s="13" t="s">
        <v>97</v>
      </c>
      <c r="E336" s="14">
        <v>0.55000000000000004</v>
      </c>
      <c r="F336" s="13" t="s">
        <v>55</v>
      </c>
      <c r="G336" s="15">
        <v>312.05009999999999</v>
      </c>
      <c r="H336" s="16">
        <v>296.42</v>
      </c>
      <c r="I336" s="16">
        <v>294.3</v>
      </c>
      <c r="K336" s="26">
        <f t="shared" si="20"/>
        <v>-5.0088431312792309E-2</v>
      </c>
      <c r="L336" s="26">
        <f t="shared" si="21"/>
        <v>-5.6882212183235886E-2</v>
      </c>
      <c r="M336" s="26" t="str">
        <f t="shared" si="22"/>
        <v/>
      </c>
      <c r="N336" s="27" t="str">
        <f t="shared" si="23"/>
        <v>NO</v>
      </c>
    </row>
    <row r="337" spans="1:14" ht="15" customHeight="1" x14ac:dyDescent="0.25">
      <c r="A337" s="12">
        <v>46181</v>
      </c>
      <c r="B337" s="13" t="s">
        <v>112</v>
      </c>
      <c r="C337" s="13" t="s">
        <v>113</v>
      </c>
      <c r="D337" s="13" t="s">
        <v>97</v>
      </c>
      <c r="E337" s="14">
        <v>0.48</v>
      </c>
      <c r="F337" s="13" t="s">
        <v>56</v>
      </c>
      <c r="G337" s="15">
        <v>17.330100000000002</v>
      </c>
      <c r="H337" s="16">
        <v>18.899999999999999</v>
      </c>
      <c r="I337" s="16">
        <v>16.5</v>
      </c>
      <c r="K337" s="26">
        <f t="shared" si="20"/>
        <v>9.0588052002007882E-2</v>
      </c>
      <c r="L337" s="26">
        <f t="shared" si="21"/>
        <v>-4.7899319680786694E-2</v>
      </c>
      <c r="M337" s="26" t="str">
        <f t="shared" si="22"/>
        <v/>
      </c>
      <c r="N337" s="27" t="str">
        <f t="shared" si="23"/>
        <v>NO</v>
      </c>
    </row>
    <row r="338" spans="1:14" ht="15" customHeight="1" x14ac:dyDescent="0.25">
      <c r="A338" s="12">
        <v>46181</v>
      </c>
      <c r="B338" s="13" t="s">
        <v>105</v>
      </c>
      <c r="C338" s="13" t="s">
        <v>96</v>
      </c>
      <c r="D338" s="13" t="s">
        <v>97</v>
      </c>
      <c r="E338" s="14">
        <v>0.52</v>
      </c>
      <c r="F338" s="13" t="s">
        <v>56</v>
      </c>
      <c r="G338" s="15">
        <v>64.549899999999994</v>
      </c>
      <c r="H338" s="16">
        <v>66.55</v>
      </c>
      <c r="I338" s="16">
        <v>63.35</v>
      </c>
      <c r="K338" s="26">
        <f t="shared" si="20"/>
        <v>3.0985330728630155E-2</v>
      </c>
      <c r="L338" s="26">
        <f t="shared" si="21"/>
        <v>-1.8588719734654778E-2</v>
      </c>
      <c r="M338" s="26" t="str">
        <f t="shared" si="22"/>
        <v/>
      </c>
      <c r="N338" s="27" t="str">
        <f t="shared" si="23"/>
        <v>NO</v>
      </c>
    </row>
    <row r="339" spans="1:14" ht="15" customHeight="1" x14ac:dyDescent="0.25">
      <c r="A339" s="12">
        <v>46181</v>
      </c>
      <c r="B339" s="13" t="s">
        <v>114</v>
      </c>
      <c r="C339" s="13" t="s">
        <v>113</v>
      </c>
      <c r="D339" s="13" t="s">
        <v>97</v>
      </c>
      <c r="E339" s="14">
        <v>0.42</v>
      </c>
      <c r="F339" s="13" t="s">
        <v>56</v>
      </c>
      <c r="G339" s="15">
        <v>233.45</v>
      </c>
      <c r="H339" s="16">
        <v>218.03</v>
      </c>
      <c r="I339" s="16">
        <v>226.72</v>
      </c>
      <c r="K339" s="26">
        <f t="shared" si="20"/>
        <v>-6.6052687941743363E-2</v>
      </c>
      <c r="L339" s="26">
        <f t="shared" si="21"/>
        <v>-2.8828442921396403E-2</v>
      </c>
      <c r="M339" s="26" t="str">
        <f t="shared" si="22"/>
        <v/>
      </c>
      <c r="N339" s="27" t="str">
        <f t="shared" si="23"/>
        <v>NO</v>
      </c>
    </row>
    <row r="340" spans="1:14" ht="15" customHeight="1" x14ac:dyDescent="0.25">
      <c r="A340" s="12">
        <v>46181</v>
      </c>
      <c r="B340" s="13" t="s">
        <v>116</v>
      </c>
      <c r="C340" s="13" t="s">
        <v>113</v>
      </c>
      <c r="D340" s="13" t="s">
        <v>97</v>
      </c>
      <c r="E340" s="14">
        <v>0.42</v>
      </c>
      <c r="F340" s="13" t="s">
        <v>56</v>
      </c>
      <c r="G340" s="15">
        <v>17.05</v>
      </c>
      <c r="H340" s="16">
        <v>16.86</v>
      </c>
      <c r="I340" s="16">
        <v>16.739999999999998</v>
      </c>
      <c r="K340" s="26">
        <f t="shared" si="20"/>
        <v>-1.114369501466283E-2</v>
      </c>
      <c r="L340" s="26">
        <f t="shared" si="21"/>
        <v>-1.8181818181818313E-2</v>
      </c>
      <c r="M340" s="26" t="str">
        <f t="shared" si="22"/>
        <v/>
      </c>
      <c r="N340" s="27" t="str">
        <f t="shared" si="23"/>
        <v>YES</v>
      </c>
    </row>
    <row r="341" spans="1:14" ht="15" customHeight="1" x14ac:dyDescent="0.25">
      <c r="A341" s="12">
        <v>46181</v>
      </c>
      <c r="B341" s="13" t="s">
        <v>104</v>
      </c>
      <c r="C341" s="13" t="s">
        <v>96</v>
      </c>
      <c r="D341" s="13" t="s">
        <v>97</v>
      </c>
      <c r="E341" s="14">
        <v>0.45</v>
      </c>
      <c r="F341" s="13" t="s">
        <v>56</v>
      </c>
      <c r="G341" s="15">
        <v>34.020000000000003</v>
      </c>
      <c r="H341" s="16">
        <v>33.229999999999997</v>
      </c>
      <c r="I341" s="16">
        <v>30.33</v>
      </c>
      <c r="K341" s="26">
        <f t="shared" si="20"/>
        <v>-2.3221634332745624E-2</v>
      </c>
      <c r="L341" s="26">
        <f t="shared" si="21"/>
        <v>-0.1084656084656086</v>
      </c>
      <c r="M341" s="26" t="str">
        <f t="shared" si="22"/>
        <v/>
      </c>
      <c r="N341" s="27" t="str">
        <f t="shared" si="23"/>
        <v>YES</v>
      </c>
    </row>
    <row r="342" spans="1:14" ht="15" customHeight="1" x14ac:dyDescent="0.25">
      <c r="A342" s="12">
        <v>46181</v>
      </c>
      <c r="B342" s="13" t="s">
        <v>111</v>
      </c>
      <c r="C342" s="13" t="s">
        <v>113</v>
      </c>
      <c r="D342" s="13" t="s">
        <v>97</v>
      </c>
      <c r="E342" s="14">
        <v>0.62</v>
      </c>
      <c r="F342" s="13" t="s">
        <v>56</v>
      </c>
      <c r="G342" s="15">
        <v>68.709999999999994</v>
      </c>
      <c r="H342" s="16">
        <v>68.510000000000005</v>
      </c>
      <c r="I342" s="16">
        <v>66.14</v>
      </c>
      <c r="K342" s="26">
        <f t="shared" si="20"/>
        <v>-2.9107844564108375E-3</v>
      </c>
      <c r="L342" s="26">
        <f t="shared" si="21"/>
        <v>-3.7403580264881289E-2</v>
      </c>
      <c r="M342" s="26" t="str">
        <f t="shared" si="22"/>
        <v/>
      </c>
      <c r="N342" s="27" t="str">
        <f t="shared" si="23"/>
        <v>YES</v>
      </c>
    </row>
    <row r="343" spans="1:14" ht="15" customHeight="1" x14ac:dyDescent="0.25">
      <c r="A343" s="12">
        <v>46181</v>
      </c>
      <c r="B343" s="13" t="s">
        <v>107</v>
      </c>
      <c r="C343" s="13" t="s">
        <v>96</v>
      </c>
      <c r="D343" s="13" t="s">
        <v>97</v>
      </c>
      <c r="E343" s="14">
        <v>0.55000000000000004</v>
      </c>
      <c r="F343" s="13" t="s">
        <v>55</v>
      </c>
      <c r="G343" s="15">
        <v>83.42</v>
      </c>
      <c r="H343" s="16">
        <v>84.07</v>
      </c>
      <c r="I343" s="16">
        <v>78.95</v>
      </c>
      <c r="K343" s="26">
        <f t="shared" si="20"/>
        <v>7.7918964277150738E-3</v>
      </c>
      <c r="L343" s="26">
        <f t="shared" si="21"/>
        <v>-5.3584272356748966E-2</v>
      </c>
      <c r="M343" s="26" t="str">
        <f t="shared" si="22"/>
        <v/>
      </c>
      <c r="N343" s="27" t="str">
        <f t="shared" si="23"/>
        <v>YES</v>
      </c>
    </row>
    <row r="344" spans="1:14" ht="15" customHeight="1" x14ac:dyDescent="0.25">
      <c r="A344" s="12">
        <v>46181</v>
      </c>
      <c r="B344" s="13" t="s">
        <v>106</v>
      </c>
      <c r="C344" s="13" t="s">
        <v>99</v>
      </c>
      <c r="D344" s="13" t="s">
        <v>97</v>
      </c>
      <c r="E344" s="14">
        <v>0.57999999999999996</v>
      </c>
      <c r="F344" s="13" t="s">
        <v>56</v>
      </c>
      <c r="G344" s="15">
        <v>311.92</v>
      </c>
      <c r="H344" s="16">
        <v>319.39999999999998</v>
      </c>
      <c r="I344" s="16">
        <v>334.14</v>
      </c>
      <c r="K344" s="26">
        <f t="shared" si="20"/>
        <v>2.3980507822518468E-2</v>
      </c>
      <c r="L344" s="26">
        <f t="shared" si="21"/>
        <v>7.1236214413952198E-2</v>
      </c>
      <c r="M344" s="26" t="str">
        <f t="shared" si="22"/>
        <v/>
      </c>
      <c r="N344" s="27" t="str">
        <f t="shared" si="23"/>
        <v>YES</v>
      </c>
    </row>
    <row r="345" spans="1:14" ht="15" customHeight="1" x14ac:dyDescent="0.25">
      <c r="A345" s="12">
        <v>46181</v>
      </c>
      <c r="B345" s="13" t="s">
        <v>100</v>
      </c>
      <c r="C345" s="13" t="s">
        <v>96</v>
      </c>
      <c r="D345" s="13" t="s">
        <v>97</v>
      </c>
      <c r="E345" s="14">
        <v>0.52</v>
      </c>
      <c r="F345" s="13" t="s">
        <v>55</v>
      </c>
      <c r="G345" s="15">
        <v>413.0761</v>
      </c>
      <c r="H345" s="16">
        <v>399.76</v>
      </c>
      <c r="I345" s="16">
        <v>373.94</v>
      </c>
      <c r="K345" s="26">
        <f t="shared" si="20"/>
        <v>-3.2236432947827305E-2</v>
      </c>
      <c r="L345" s="26">
        <f t="shared" si="21"/>
        <v>-9.4743075186388179E-2</v>
      </c>
      <c r="M345" s="26" t="str">
        <f t="shared" si="22"/>
        <v/>
      </c>
      <c r="N345" s="27" t="str">
        <f t="shared" si="23"/>
        <v>NO</v>
      </c>
    </row>
    <row r="346" spans="1:14" ht="15" customHeight="1" x14ac:dyDescent="0.25">
      <c r="A346" s="12">
        <v>46181</v>
      </c>
      <c r="B346" s="13" t="s">
        <v>101</v>
      </c>
      <c r="C346" s="13" t="s">
        <v>99</v>
      </c>
      <c r="D346" s="13" t="s">
        <v>97</v>
      </c>
      <c r="E346" s="14">
        <v>0.48</v>
      </c>
      <c r="F346" s="13" t="s">
        <v>55</v>
      </c>
      <c r="G346" s="15">
        <v>43.63</v>
      </c>
      <c r="H346" s="16">
        <v>45.2</v>
      </c>
      <c r="I346" s="16">
        <v>42.38</v>
      </c>
      <c r="K346" s="26">
        <f t="shared" si="20"/>
        <v>3.5984414393765762E-2</v>
      </c>
      <c r="L346" s="26">
        <f t="shared" si="21"/>
        <v>-2.8650011460004583E-2</v>
      </c>
      <c r="M346" s="26" t="str">
        <f t="shared" si="22"/>
        <v/>
      </c>
      <c r="N346" s="27" t="str">
        <f t="shared" si="23"/>
        <v>NO</v>
      </c>
    </row>
    <row r="347" spans="1:14" ht="15" customHeight="1" x14ac:dyDescent="0.25">
      <c r="A347" s="12">
        <v>46181</v>
      </c>
      <c r="B347" s="13" t="s">
        <v>98</v>
      </c>
      <c r="C347" s="13" t="s">
        <v>96</v>
      </c>
      <c r="D347" s="13" t="s">
        <v>97</v>
      </c>
      <c r="E347" s="14">
        <v>0.52</v>
      </c>
      <c r="F347" s="13" t="s">
        <v>56</v>
      </c>
      <c r="G347" s="15">
        <v>67.72</v>
      </c>
      <c r="H347" s="16">
        <v>66.13</v>
      </c>
      <c r="I347" s="16">
        <v>61.54</v>
      </c>
      <c r="K347" s="26">
        <f t="shared" si="20"/>
        <v>-2.3479031305375125E-2</v>
      </c>
      <c r="L347" s="26">
        <f t="shared" si="21"/>
        <v>-9.1258121677495571E-2</v>
      </c>
      <c r="M347" s="26" t="str">
        <f t="shared" si="22"/>
        <v/>
      </c>
      <c r="N347" s="27" t="str">
        <f t="shared" si="23"/>
        <v>YES</v>
      </c>
    </row>
    <row r="348" spans="1:14" ht="15" customHeight="1" x14ac:dyDescent="0.25">
      <c r="A348" s="12">
        <v>46181</v>
      </c>
      <c r="B348" s="13" t="s">
        <v>110</v>
      </c>
      <c r="C348" s="13" t="s">
        <v>99</v>
      </c>
      <c r="D348" s="13" t="s">
        <v>97</v>
      </c>
      <c r="E348" s="14">
        <v>0.62</v>
      </c>
      <c r="F348" s="13" t="s">
        <v>56</v>
      </c>
      <c r="G348" s="15">
        <v>174.95</v>
      </c>
      <c r="H348" s="16">
        <v>181.81</v>
      </c>
      <c r="I348" s="16">
        <v>178.69</v>
      </c>
      <c r="K348" s="26">
        <f t="shared" si="20"/>
        <v>3.9211203200914625E-2</v>
      </c>
      <c r="L348" s="26">
        <f t="shared" si="21"/>
        <v>2.137753643898262E-2</v>
      </c>
      <c r="M348" s="26" t="str">
        <f t="shared" si="22"/>
        <v/>
      </c>
      <c r="N348" s="27" t="str">
        <f t="shared" si="23"/>
        <v>NO</v>
      </c>
    </row>
    <row r="349" spans="1:14" ht="15" customHeight="1" x14ac:dyDescent="0.25">
      <c r="A349" s="12">
        <v>46181</v>
      </c>
      <c r="B349" s="13" t="s">
        <v>108</v>
      </c>
      <c r="C349" s="13" t="s">
        <v>99</v>
      </c>
      <c r="D349" s="13" t="s">
        <v>97</v>
      </c>
      <c r="E349" s="14">
        <v>0.62</v>
      </c>
      <c r="F349" s="13" t="s">
        <v>55</v>
      </c>
      <c r="G349" s="15">
        <v>690.65</v>
      </c>
      <c r="H349" s="16">
        <v>724.35</v>
      </c>
      <c r="I349" s="16">
        <v>702.29</v>
      </c>
      <c r="K349" s="26">
        <f t="shared" si="20"/>
        <v>4.8794613769637368E-2</v>
      </c>
      <c r="L349" s="26">
        <f t="shared" si="21"/>
        <v>1.6853688554260459E-2</v>
      </c>
      <c r="M349" s="26" t="str">
        <f t="shared" si="22"/>
        <v/>
      </c>
      <c r="N349" s="27" t="str">
        <f t="shared" si="23"/>
        <v>NO</v>
      </c>
    </row>
    <row r="350" spans="1:14" ht="15" customHeight="1" x14ac:dyDescent="0.25">
      <c r="A350" s="12">
        <v>46181</v>
      </c>
      <c r="B350" s="13" t="s">
        <v>115</v>
      </c>
      <c r="C350" s="13" t="s">
        <v>113</v>
      </c>
      <c r="D350" s="13" t="s">
        <v>97</v>
      </c>
      <c r="E350" s="14">
        <v>0.57999999999999996</v>
      </c>
      <c r="F350" s="13" t="s">
        <v>55</v>
      </c>
      <c r="G350" s="15">
        <v>180.08</v>
      </c>
      <c r="H350" s="16">
        <v>183.64</v>
      </c>
      <c r="I350" s="16">
        <v>186.39</v>
      </c>
      <c r="K350" s="26">
        <f t="shared" si="20"/>
        <v>1.976899155930683E-2</v>
      </c>
      <c r="L350" s="26">
        <f t="shared" si="21"/>
        <v>3.5039982230119802E-2</v>
      </c>
      <c r="M350" s="26" t="str">
        <f t="shared" si="22"/>
        <v/>
      </c>
      <c r="N350" s="27" t="str">
        <f t="shared" si="23"/>
        <v>YES</v>
      </c>
    </row>
    <row r="351" spans="1:14" ht="15" customHeight="1" x14ac:dyDescent="0.25">
      <c r="A351" s="12">
        <v>46181</v>
      </c>
      <c r="B351" s="13" t="s">
        <v>102</v>
      </c>
      <c r="C351" s="13" t="s">
        <v>99</v>
      </c>
      <c r="D351" s="13" t="s">
        <v>97</v>
      </c>
      <c r="E351" s="14">
        <v>0.62</v>
      </c>
      <c r="F351" s="13" t="s">
        <v>55</v>
      </c>
      <c r="G351" s="15">
        <v>32.459000000000003</v>
      </c>
      <c r="H351" s="16">
        <v>32.630000000000003</v>
      </c>
      <c r="I351" s="16">
        <v>32.020000000000003</v>
      </c>
      <c r="K351" s="26">
        <f t="shared" si="20"/>
        <v>5.2681844788810299E-3</v>
      </c>
      <c r="L351" s="26">
        <f t="shared" si="21"/>
        <v>-1.3524754305431468E-2</v>
      </c>
      <c r="M351" s="26" t="str">
        <f t="shared" si="22"/>
        <v/>
      </c>
      <c r="N351" s="27" t="str">
        <f t="shared" si="23"/>
        <v>YES</v>
      </c>
    </row>
    <row r="352" spans="1:14" ht="15" customHeight="1" x14ac:dyDescent="0.25">
      <c r="A352" s="12">
        <v>46181</v>
      </c>
      <c r="B352" s="13" t="s">
        <v>117</v>
      </c>
      <c r="C352" s="13" t="s">
        <v>113</v>
      </c>
      <c r="D352" s="13" t="s">
        <v>97</v>
      </c>
      <c r="E352" s="14">
        <v>0.48</v>
      </c>
      <c r="F352" s="13" t="s">
        <v>56</v>
      </c>
      <c r="G352" s="15">
        <v>5.76</v>
      </c>
      <c r="H352" s="16">
        <v>5.0199999999999996</v>
      </c>
      <c r="I352" s="16">
        <v>4.74</v>
      </c>
      <c r="K352" s="26">
        <f t="shared" si="20"/>
        <v>-0.12847222222222227</v>
      </c>
      <c r="L352" s="26">
        <f t="shared" si="21"/>
        <v>-0.17708333333333326</v>
      </c>
      <c r="M352" s="26" t="str">
        <f t="shared" si="22"/>
        <v/>
      </c>
      <c r="N352" s="27" t="str">
        <f t="shared" si="23"/>
        <v>NO</v>
      </c>
    </row>
    <row r="353" spans="1:14" ht="15" customHeight="1" x14ac:dyDescent="0.25">
      <c r="A353" s="12">
        <v>46181</v>
      </c>
      <c r="B353" s="13" t="s">
        <v>95</v>
      </c>
      <c r="C353" s="13" t="s">
        <v>96</v>
      </c>
      <c r="D353" s="13" t="s">
        <v>97</v>
      </c>
      <c r="E353" s="14">
        <v>0.52</v>
      </c>
      <c r="F353" s="13" t="s">
        <v>56</v>
      </c>
      <c r="G353" s="15">
        <v>119.88</v>
      </c>
      <c r="H353" s="16">
        <v>120.82</v>
      </c>
      <c r="I353" s="16">
        <v>119.42</v>
      </c>
      <c r="K353" s="26">
        <f t="shared" si="20"/>
        <v>7.8411745078411556E-3</v>
      </c>
      <c r="L353" s="26">
        <f t="shared" si="21"/>
        <v>-3.8371705038371183E-3</v>
      </c>
      <c r="M353" s="26" t="str">
        <f t="shared" si="22"/>
        <v/>
      </c>
      <c r="N353" s="27" t="str">
        <f t="shared" si="23"/>
        <v>YES</v>
      </c>
    </row>
    <row r="354" spans="1:14" ht="15" customHeight="1" x14ac:dyDescent="0.25">
      <c r="A354" s="12">
        <v>46181</v>
      </c>
      <c r="B354" s="13" t="s">
        <v>109</v>
      </c>
      <c r="C354" s="13" t="s">
        <v>99</v>
      </c>
      <c r="D354" s="13" t="s">
        <v>97</v>
      </c>
      <c r="E354" s="14">
        <v>0.48</v>
      </c>
      <c r="F354" s="13" t="s">
        <v>56</v>
      </c>
      <c r="G354" s="15">
        <v>43.945</v>
      </c>
      <c r="H354" s="16">
        <v>44.74</v>
      </c>
      <c r="I354" s="16">
        <v>45.07</v>
      </c>
      <c r="K354" s="26">
        <f t="shared" si="20"/>
        <v>1.8090795312322258E-2</v>
      </c>
      <c r="L354" s="26">
        <f t="shared" si="21"/>
        <v>2.5600182045738992E-2</v>
      </c>
      <c r="M354" s="26" t="str">
        <f t="shared" si="22"/>
        <v/>
      </c>
      <c r="N354" s="27" t="str">
        <f t="shared" si="23"/>
        <v>YES</v>
      </c>
    </row>
    <row r="355" spans="1:14" ht="15" customHeight="1" x14ac:dyDescent="0.25">
      <c r="A355" s="12">
        <v>46181</v>
      </c>
      <c r="B355" s="13" t="s">
        <v>118</v>
      </c>
      <c r="C355" s="13" t="s">
        <v>119</v>
      </c>
      <c r="D355" s="13" t="s">
        <v>97</v>
      </c>
      <c r="E355" s="14">
        <v>0.52</v>
      </c>
      <c r="F355" s="13" t="s">
        <v>55</v>
      </c>
      <c r="G355" s="15">
        <v>743.17</v>
      </c>
      <c r="H355" s="16">
        <v>754.83</v>
      </c>
      <c r="I355" s="16">
        <v>733.58</v>
      </c>
      <c r="K355" s="26">
        <f t="shared" si="20"/>
        <v>1.5689546133455443E-2</v>
      </c>
      <c r="L355" s="26">
        <f t="shared" si="21"/>
        <v>-1.2904180739265469E-2</v>
      </c>
      <c r="M355" s="26" t="str">
        <f t="shared" si="22"/>
        <v/>
      </c>
      <c r="N355" s="27" t="str">
        <f t="shared" si="23"/>
        <v>YES</v>
      </c>
    </row>
    <row r="356" spans="1:14" ht="15" customHeight="1" x14ac:dyDescent="0.25">
      <c r="A356" s="12">
        <v>46181</v>
      </c>
      <c r="B356" s="13" t="s">
        <v>120</v>
      </c>
      <c r="C356" s="13" t="s">
        <v>119</v>
      </c>
      <c r="D356" s="13" t="s">
        <v>97</v>
      </c>
      <c r="E356" s="14">
        <v>0.42</v>
      </c>
      <c r="F356" s="13" t="s">
        <v>56</v>
      </c>
      <c r="G356" s="15">
        <v>719.15</v>
      </c>
      <c r="H356" s="16">
        <v>744</v>
      </c>
      <c r="I356" s="16">
        <v>713.65</v>
      </c>
      <c r="K356" s="26">
        <f t="shared" si="20"/>
        <v>3.4554682611416289E-2</v>
      </c>
      <c r="L356" s="26">
        <f t="shared" si="21"/>
        <v>-7.6479176805951477E-3</v>
      </c>
      <c r="M356" s="26" t="str">
        <f t="shared" si="22"/>
        <v/>
      </c>
      <c r="N356" s="27" t="str">
        <f t="shared" si="23"/>
        <v>NO</v>
      </c>
    </row>
    <row r="357" spans="1:14" ht="15" customHeight="1" x14ac:dyDescent="0.25">
      <c r="A357" s="12">
        <v>46181</v>
      </c>
      <c r="B357" s="13" t="s">
        <v>121</v>
      </c>
      <c r="C357" s="13" t="s">
        <v>119</v>
      </c>
      <c r="D357" s="13" t="s">
        <v>97</v>
      </c>
      <c r="E357" s="14">
        <v>0.52</v>
      </c>
      <c r="F357" s="13" t="s">
        <v>56</v>
      </c>
      <c r="G357" s="15">
        <v>366.52499999999998</v>
      </c>
      <c r="H357" s="16">
        <v>372.53</v>
      </c>
      <c r="I357" s="16">
        <v>363.7</v>
      </c>
      <c r="K357" s="26">
        <f t="shared" si="20"/>
        <v>1.638360275561011E-2</v>
      </c>
      <c r="L357" s="26">
        <f t="shared" si="21"/>
        <v>-7.7075233612986533E-3</v>
      </c>
      <c r="M357" s="26" t="str">
        <f t="shared" si="22"/>
        <v/>
      </c>
      <c r="N357" s="27" t="str">
        <f t="shared" si="23"/>
        <v>YES</v>
      </c>
    </row>
    <row r="358" spans="1:14" ht="15" customHeight="1" x14ac:dyDescent="0.25">
      <c r="A358" s="12">
        <v>46181</v>
      </c>
      <c r="B358" s="13" t="s">
        <v>122</v>
      </c>
      <c r="C358" s="13" t="s">
        <v>119</v>
      </c>
      <c r="D358" s="13" t="s">
        <v>124</v>
      </c>
      <c r="E358" s="14">
        <v>0.68</v>
      </c>
      <c r="F358" s="13" t="s">
        <v>56</v>
      </c>
      <c r="G358" s="15">
        <v>208.405</v>
      </c>
      <c r="H358" s="16">
        <v>212.45</v>
      </c>
      <c r="I358" s="16">
        <v>200.04</v>
      </c>
      <c r="K358" s="26">
        <f t="shared" si="20"/>
        <v>1.9409323192821609E-2</v>
      </c>
      <c r="L358" s="26">
        <f t="shared" si="21"/>
        <v>-4.0138192461793183E-2</v>
      </c>
      <c r="M358" s="26" t="str">
        <f t="shared" si="22"/>
        <v/>
      </c>
      <c r="N358" s="27" t="str">
        <f t="shared" si="23"/>
        <v>YES</v>
      </c>
    </row>
    <row r="359" spans="1:14" ht="15" customHeight="1" x14ac:dyDescent="0.25">
      <c r="A359" s="12">
        <v>46181</v>
      </c>
      <c r="B359" s="13" t="s">
        <v>123</v>
      </c>
      <c r="C359" s="13" t="s">
        <v>119</v>
      </c>
      <c r="D359" s="13" t="s">
        <v>97</v>
      </c>
      <c r="E359" s="14">
        <v>0.52</v>
      </c>
      <c r="F359" s="13" t="s">
        <v>56</v>
      </c>
      <c r="G359" s="15">
        <v>396.23</v>
      </c>
      <c r="H359" s="16">
        <v>396.55</v>
      </c>
      <c r="I359" s="16">
        <v>377.32</v>
      </c>
      <c r="K359" s="26">
        <f t="shared" si="20"/>
        <v>8.0761174065566252E-4</v>
      </c>
      <c r="L359" s="26">
        <f t="shared" si="21"/>
        <v>-4.772480629937164E-2</v>
      </c>
      <c r="M359" s="26" t="str">
        <f t="shared" si="22"/>
        <v/>
      </c>
      <c r="N359" s="27" t="str">
        <f t="shared" si="23"/>
        <v>YES</v>
      </c>
    </row>
    <row r="360" spans="1:14" ht="15" customHeight="1" x14ac:dyDescent="0.25">
      <c r="A360" s="12">
        <v>46182</v>
      </c>
      <c r="B360" s="13" t="s">
        <v>103</v>
      </c>
      <c r="C360" s="13" t="s">
        <v>99</v>
      </c>
      <c r="D360" s="13" t="s">
        <v>97</v>
      </c>
      <c r="E360" s="14">
        <v>0.52</v>
      </c>
      <c r="F360" s="13" t="s">
        <v>56</v>
      </c>
      <c r="G360" s="15">
        <v>292.28500000000003</v>
      </c>
      <c r="H360" s="16">
        <v>299.24</v>
      </c>
      <c r="I360" s="16">
        <v>293.08</v>
      </c>
      <c r="K360" s="26">
        <f t="shared" si="20"/>
        <v>2.3795268316882438E-2</v>
      </c>
      <c r="L360" s="26">
        <f t="shared" si="21"/>
        <v>2.7199479959627041E-3</v>
      </c>
      <c r="M360" s="26" t="str">
        <f t="shared" si="22"/>
        <v/>
      </c>
      <c r="N360" s="27" t="str">
        <f t="shared" si="23"/>
        <v>YES</v>
      </c>
    </row>
    <row r="361" spans="1:14" ht="15" customHeight="1" x14ac:dyDescent="0.25">
      <c r="A361" s="12">
        <v>46182</v>
      </c>
      <c r="B361" s="13" t="s">
        <v>112</v>
      </c>
      <c r="C361" s="13" t="s">
        <v>113</v>
      </c>
      <c r="D361" s="13" t="s">
        <v>97</v>
      </c>
      <c r="E361" s="14">
        <v>0.42</v>
      </c>
      <c r="F361" s="13" t="s">
        <v>56</v>
      </c>
      <c r="G361" s="15">
        <v>16.920000000000002</v>
      </c>
      <c r="H361" s="16">
        <v>19.420000000000002</v>
      </c>
      <c r="I361" s="16">
        <v>16.059999999999999</v>
      </c>
      <c r="K361" s="26">
        <f t="shared" si="20"/>
        <v>0.14775413711583923</v>
      </c>
      <c r="L361" s="26">
        <f t="shared" si="21"/>
        <v>-5.082742316784887E-2</v>
      </c>
      <c r="M361" s="26" t="str">
        <f t="shared" si="22"/>
        <v/>
      </c>
      <c r="N361" s="27" t="str">
        <f t="shared" si="23"/>
        <v>NO</v>
      </c>
    </row>
    <row r="362" spans="1:14" ht="15" customHeight="1" x14ac:dyDescent="0.25">
      <c r="A362" s="12">
        <v>46182</v>
      </c>
      <c r="B362" s="13" t="s">
        <v>105</v>
      </c>
      <c r="C362" s="13" t="s">
        <v>96</v>
      </c>
      <c r="D362" s="13" t="s">
        <v>97</v>
      </c>
      <c r="E362" s="14">
        <v>0.52</v>
      </c>
      <c r="F362" s="13" t="s">
        <v>56</v>
      </c>
      <c r="G362" s="15">
        <v>64.14</v>
      </c>
      <c r="H362" s="16">
        <v>64.64</v>
      </c>
      <c r="I362" s="16">
        <v>63.39</v>
      </c>
      <c r="K362" s="26">
        <f t="shared" si="20"/>
        <v>7.7954474586841285E-3</v>
      </c>
      <c r="L362" s="26">
        <f t="shared" si="21"/>
        <v>-1.1693171188026192E-2</v>
      </c>
      <c r="M362" s="26" t="str">
        <f t="shared" si="22"/>
        <v/>
      </c>
      <c r="N362" s="27" t="str">
        <f t="shared" si="23"/>
        <v>YES</v>
      </c>
    </row>
    <row r="363" spans="1:14" ht="15" customHeight="1" x14ac:dyDescent="0.25">
      <c r="A363" s="12">
        <v>46182</v>
      </c>
      <c r="B363" s="13" t="s">
        <v>114</v>
      </c>
      <c r="C363" s="13" t="s">
        <v>113</v>
      </c>
      <c r="D363" s="13" t="s">
        <v>97</v>
      </c>
      <c r="E363" s="14">
        <v>0.38</v>
      </c>
      <c r="F363" s="13" t="s">
        <v>57</v>
      </c>
      <c r="G363" s="15">
        <v>229.11500000000001</v>
      </c>
      <c r="H363" s="16">
        <v>212.45</v>
      </c>
      <c r="I363" s="16">
        <v>182.26</v>
      </c>
      <c r="K363" s="26">
        <f t="shared" si="20"/>
        <v>-7.2736398751718653E-2</v>
      </c>
      <c r="L363" s="26">
        <f t="shared" si="21"/>
        <v>-0.20450428823953043</v>
      </c>
      <c r="M363" s="26" t="str">
        <f t="shared" si="22"/>
        <v/>
      </c>
      <c r="N363" s="27" t="str">
        <f t="shared" si="23"/>
        <v>NO</v>
      </c>
    </row>
    <row r="364" spans="1:14" ht="15" customHeight="1" x14ac:dyDescent="0.25">
      <c r="A364" s="12">
        <v>46182</v>
      </c>
      <c r="B364" s="13" t="s">
        <v>116</v>
      </c>
      <c r="C364" s="13" t="s">
        <v>113</v>
      </c>
      <c r="D364" s="13" t="s">
        <v>97</v>
      </c>
      <c r="E364" s="14">
        <v>0.38</v>
      </c>
      <c r="F364" s="13" t="s">
        <v>57</v>
      </c>
      <c r="G364" s="15">
        <v>17.170000000000002</v>
      </c>
      <c r="H364" s="16">
        <v>16.93</v>
      </c>
      <c r="I364" s="16">
        <v>16.62</v>
      </c>
      <c r="K364" s="26">
        <f t="shared" si="20"/>
        <v>-1.3977868375072916E-2</v>
      </c>
      <c r="L364" s="26">
        <f t="shared" si="21"/>
        <v>-3.2032615026208543E-2</v>
      </c>
      <c r="M364" s="26" t="str">
        <f t="shared" si="22"/>
        <v/>
      </c>
      <c r="N364" s="27" t="str">
        <f t="shared" si="23"/>
        <v>YES</v>
      </c>
    </row>
    <row r="365" spans="1:14" ht="15" customHeight="1" x14ac:dyDescent="0.25">
      <c r="A365" s="12">
        <v>46182</v>
      </c>
      <c r="B365" s="13" t="s">
        <v>104</v>
      </c>
      <c r="C365" s="13" t="s">
        <v>96</v>
      </c>
      <c r="D365" s="13" t="s">
        <v>97</v>
      </c>
      <c r="E365" s="14">
        <v>0.38</v>
      </c>
      <c r="F365" s="13" t="s">
        <v>56</v>
      </c>
      <c r="G365" s="15">
        <v>33.055</v>
      </c>
      <c r="H365" s="16">
        <v>32.96</v>
      </c>
      <c r="I365" s="16">
        <v>29.38</v>
      </c>
      <c r="K365" s="26">
        <f t="shared" si="20"/>
        <v>-2.8739978823173157E-3</v>
      </c>
      <c r="L365" s="26">
        <f t="shared" si="21"/>
        <v>-0.11117833913175014</v>
      </c>
      <c r="M365" s="26" t="str">
        <f t="shared" si="22"/>
        <v/>
      </c>
      <c r="N365" s="27" t="str">
        <f t="shared" si="23"/>
        <v>YES</v>
      </c>
    </row>
    <row r="366" spans="1:14" ht="15" customHeight="1" x14ac:dyDescent="0.25">
      <c r="A366" s="12">
        <v>46182</v>
      </c>
      <c r="B366" s="13" t="s">
        <v>111</v>
      </c>
      <c r="C366" s="13" t="s">
        <v>113</v>
      </c>
      <c r="D366" s="13" t="s">
        <v>97</v>
      </c>
      <c r="E366" s="14">
        <v>0.52</v>
      </c>
      <c r="F366" s="13" t="s">
        <v>56</v>
      </c>
      <c r="G366" s="15">
        <v>67.83</v>
      </c>
      <c r="H366" s="16">
        <v>67</v>
      </c>
      <c r="I366" s="16">
        <v>64.290000000000006</v>
      </c>
      <c r="K366" s="26">
        <f t="shared" si="20"/>
        <v>-1.2236473536783109E-2</v>
      </c>
      <c r="L366" s="26">
        <f t="shared" si="21"/>
        <v>-5.2189296771340002E-2</v>
      </c>
      <c r="M366" s="26" t="str">
        <f t="shared" si="22"/>
        <v/>
      </c>
      <c r="N366" s="27" t="str">
        <f t="shared" si="23"/>
        <v>YES</v>
      </c>
    </row>
    <row r="367" spans="1:14" ht="15" customHeight="1" x14ac:dyDescent="0.25">
      <c r="A367" s="12">
        <v>46182</v>
      </c>
      <c r="B367" s="13" t="s">
        <v>107</v>
      </c>
      <c r="C367" s="13" t="s">
        <v>96</v>
      </c>
      <c r="D367" s="13" t="s">
        <v>97</v>
      </c>
      <c r="E367" s="14">
        <v>0.52</v>
      </c>
      <c r="F367" s="13" t="s">
        <v>56</v>
      </c>
      <c r="G367" s="15">
        <v>83.79</v>
      </c>
      <c r="H367" s="16">
        <v>82.51</v>
      </c>
      <c r="I367" s="16">
        <v>78.95</v>
      </c>
      <c r="K367" s="26">
        <f t="shared" si="20"/>
        <v>-1.5276285952977696E-2</v>
      </c>
      <c r="L367" s="26">
        <f t="shared" si="21"/>
        <v>-5.7763456259696901E-2</v>
      </c>
      <c r="M367" s="26" t="str">
        <f t="shared" si="22"/>
        <v/>
      </c>
      <c r="N367" s="27" t="str">
        <f t="shared" si="23"/>
        <v>YES</v>
      </c>
    </row>
    <row r="368" spans="1:14" ht="15" customHeight="1" x14ac:dyDescent="0.25">
      <c r="A368" s="12">
        <v>46182</v>
      </c>
      <c r="B368" s="13" t="s">
        <v>106</v>
      </c>
      <c r="C368" s="13" t="s">
        <v>99</v>
      </c>
      <c r="D368" s="13" t="s">
        <v>97</v>
      </c>
      <c r="E368" s="14">
        <v>0.57999999999999996</v>
      </c>
      <c r="F368" s="13" t="s">
        <v>56</v>
      </c>
      <c r="G368" s="15">
        <v>314.97000000000003</v>
      </c>
      <c r="H368" s="16">
        <v>331.14</v>
      </c>
      <c r="I368" s="16">
        <v>333.45</v>
      </c>
      <c r="K368" s="26">
        <f t="shared" si="20"/>
        <v>5.1338222687874899E-2</v>
      </c>
      <c r="L368" s="26">
        <f t="shared" si="21"/>
        <v>5.8672254500428483E-2</v>
      </c>
      <c r="M368" s="26" t="str">
        <f t="shared" si="22"/>
        <v/>
      </c>
      <c r="N368" s="27" t="str">
        <f t="shared" si="23"/>
        <v>NO</v>
      </c>
    </row>
    <row r="369" spans="1:14" ht="15" customHeight="1" x14ac:dyDescent="0.25">
      <c r="A369" s="12">
        <v>46182</v>
      </c>
      <c r="B369" s="13" t="s">
        <v>100</v>
      </c>
      <c r="C369" s="13" t="s">
        <v>96</v>
      </c>
      <c r="D369" s="13" t="s">
        <v>97</v>
      </c>
      <c r="E369" s="14">
        <v>0.55000000000000004</v>
      </c>
      <c r="F369" s="13" t="s">
        <v>56</v>
      </c>
      <c r="G369" s="15">
        <v>409.61</v>
      </c>
      <c r="H369" s="16">
        <v>393.83</v>
      </c>
      <c r="I369" s="16">
        <v>365.46</v>
      </c>
      <c r="K369" s="26">
        <f t="shared" si="20"/>
        <v>-3.8524450086667876E-2</v>
      </c>
      <c r="L369" s="26">
        <f t="shared" si="21"/>
        <v>-0.10778545445667838</v>
      </c>
      <c r="M369" s="26" t="str">
        <f t="shared" si="22"/>
        <v/>
      </c>
      <c r="N369" s="27" t="str">
        <f t="shared" si="23"/>
        <v>NO</v>
      </c>
    </row>
    <row r="370" spans="1:14" ht="15" customHeight="1" x14ac:dyDescent="0.25">
      <c r="A370" s="12">
        <v>46182</v>
      </c>
      <c r="B370" s="13" t="s">
        <v>101</v>
      </c>
      <c r="C370" s="13" t="s">
        <v>99</v>
      </c>
      <c r="D370" s="13" t="s">
        <v>97</v>
      </c>
      <c r="E370" s="14">
        <v>0.45</v>
      </c>
      <c r="F370" s="13" t="s">
        <v>56</v>
      </c>
      <c r="G370" s="15">
        <v>45.164999999999999</v>
      </c>
      <c r="H370" s="16">
        <v>45.04</v>
      </c>
      <c r="I370" s="16">
        <v>41.82</v>
      </c>
      <c r="K370" s="26">
        <f t="shared" si="20"/>
        <v>-2.7676298018377062E-3</v>
      </c>
      <c r="L370" s="26">
        <f t="shared" si="21"/>
        <v>-7.4061773497176991E-2</v>
      </c>
      <c r="M370" s="26" t="str">
        <f t="shared" si="22"/>
        <v/>
      </c>
      <c r="N370" s="27" t="str">
        <f t="shared" si="23"/>
        <v>YES</v>
      </c>
    </row>
    <row r="371" spans="1:14" ht="15" customHeight="1" x14ac:dyDescent="0.25">
      <c r="A371" s="12">
        <v>46182</v>
      </c>
      <c r="B371" s="13" t="s">
        <v>98</v>
      </c>
      <c r="C371" s="13" t="s">
        <v>96</v>
      </c>
      <c r="D371" s="13" t="s">
        <v>97</v>
      </c>
      <c r="E371" s="14">
        <v>0.52</v>
      </c>
      <c r="F371" s="13" t="s">
        <v>56</v>
      </c>
      <c r="G371" s="15">
        <v>66.67</v>
      </c>
      <c r="H371" s="16">
        <v>65.48</v>
      </c>
      <c r="I371" s="16">
        <v>60.37</v>
      </c>
      <c r="K371" s="26">
        <f t="shared" si="20"/>
        <v>-1.7849107544622735E-2</v>
      </c>
      <c r="L371" s="26">
        <f t="shared" si="21"/>
        <v>-9.4495275236238255E-2</v>
      </c>
      <c r="M371" s="26" t="str">
        <f t="shared" si="22"/>
        <v/>
      </c>
      <c r="N371" s="27" t="str">
        <f t="shared" si="23"/>
        <v>YES</v>
      </c>
    </row>
    <row r="372" spans="1:14" ht="15" customHeight="1" x14ac:dyDescent="0.25">
      <c r="A372" s="12">
        <v>46182</v>
      </c>
      <c r="B372" s="13" t="s">
        <v>110</v>
      </c>
      <c r="C372" s="13" t="s">
        <v>99</v>
      </c>
      <c r="D372" s="13" t="s">
        <v>97</v>
      </c>
      <c r="E372" s="14">
        <v>0.62</v>
      </c>
      <c r="F372" s="13" t="s">
        <v>55</v>
      </c>
      <c r="G372" s="15">
        <v>176.22</v>
      </c>
      <c r="H372" s="16">
        <v>184.06</v>
      </c>
      <c r="I372" s="16">
        <v>178.78</v>
      </c>
      <c r="K372" s="26">
        <f t="shared" si="20"/>
        <v>4.4489842242651248E-2</v>
      </c>
      <c r="L372" s="26">
        <f t="shared" si="21"/>
        <v>1.4527295426171843E-2</v>
      </c>
      <c r="M372" s="26" t="str">
        <f t="shared" si="22"/>
        <v/>
      </c>
      <c r="N372" s="27" t="str">
        <f t="shared" si="23"/>
        <v>NO</v>
      </c>
    </row>
    <row r="373" spans="1:14" ht="15" customHeight="1" x14ac:dyDescent="0.25">
      <c r="A373" s="12">
        <v>46182</v>
      </c>
      <c r="B373" s="13" t="s">
        <v>108</v>
      </c>
      <c r="C373" s="13" t="s">
        <v>99</v>
      </c>
      <c r="D373" s="13" t="s">
        <v>97</v>
      </c>
      <c r="E373" s="14">
        <v>0.62</v>
      </c>
      <c r="F373" s="13" t="s">
        <v>55</v>
      </c>
      <c r="G373" s="15">
        <v>700.24</v>
      </c>
      <c r="H373" s="16">
        <v>719.29</v>
      </c>
      <c r="I373" s="16">
        <v>701.88</v>
      </c>
      <c r="K373" s="26">
        <f t="shared" si="20"/>
        <v>2.7204958300011361E-2</v>
      </c>
      <c r="L373" s="26">
        <f t="shared" si="21"/>
        <v>2.3420541528618565E-3</v>
      </c>
      <c r="M373" s="26" t="str">
        <f t="shared" si="22"/>
        <v/>
      </c>
      <c r="N373" s="27" t="str">
        <f t="shared" si="23"/>
        <v>YES</v>
      </c>
    </row>
    <row r="374" spans="1:14" ht="15" customHeight="1" x14ac:dyDescent="0.25">
      <c r="A374" s="12">
        <v>46182</v>
      </c>
      <c r="B374" s="13" t="s">
        <v>115</v>
      </c>
      <c r="C374" s="13" t="s">
        <v>113</v>
      </c>
      <c r="D374" s="13" t="s">
        <v>97</v>
      </c>
      <c r="E374" s="14">
        <v>0.57999999999999996</v>
      </c>
      <c r="F374" s="13" t="s">
        <v>55</v>
      </c>
      <c r="G374" s="15">
        <v>180.74</v>
      </c>
      <c r="H374" s="16">
        <v>186.77</v>
      </c>
      <c r="I374" s="16">
        <v>185.06</v>
      </c>
      <c r="K374" s="26">
        <f t="shared" si="20"/>
        <v>3.3362841650990377E-2</v>
      </c>
      <c r="L374" s="26">
        <f t="shared" si="21"/>
        <v>2.390173730220202E-2</v>
      </c>
      <c r="M374" s="26" t="str">
        <f t="shared" si="22"/>
        <v/>
      </c>
      <c r="N374" s="27" t="str">
        <f t="shared" si="23"/>
        <v>NO</v>
      </c>
    </row>
    <row r="375" spans="1:14" ht="15" customHeight="1" x14ac:dyDescent="0.25">
      <c r="A375" s="12">
        <v>46182</v>
      </c>
      <c r="B375" s="13" t="s">
        <v>102</v>
      </c>
      <c r="C375" s="13" t="s">
        <v>99</v>
      </c>
      <c r="D375" s="13" t="s">
        <v>97</v>
      </c>
      <c r="E375" s="14">
        <v>0.65</v>
      </c>
      <c r="F375" s="13" t="s">
        <v>55</v>
      </c>
      <c r="G375" s="15">
        <v>32.344999999999999</v>
      </c>
      <c r="H375" s="16">
        <v>32.53</v>
      </c>
      <c r="I375" s="16">
        <v>31.72</v>
      </c>
      <c r="K375" s="26">
        <f t="shared" si="20"/>
        <v>5.7195857164941194E-3</v>
      </c>
      <c r="L375" s="26">
        <f t="shared" si="21"/>
        <v>-1.9322924717885298E-2</v>
      </c>
      <c r="M375" s="26" t="str">
        <f t="shared" si="22"/>
        <v/>
      </c>
      <c r="N375" s="27" t="str">
        <f t="shared" si="23"/>
        <v>YES</v>
      </c>
    </row>
    <row r="376" spans="1:14" ht="15" customHeight="1" x14ac:dyDescent="0.25">
      <c r="A376" s="12">
        <v>46182</v>
      </c>
      <c r="B376" s="13" t="s">
        <v>117</v>
      </c>
      <c r="C376" s="13" t="s">
        <v>113</v>
      </c>
      <c r="D376" s="13" t="s">
        <v>97</v>
      </c>
      <c r="E376" s="14">
        <v>0.42</v>
      </c>
      <c r="F376" s="13" t="s">
        <v>57</v>
      </c>
      <c r="G376" s="15">
        <v>5.43</v>
      </c>
      <c r="H376" s="16">
        <v>5.0199999999999996</v>
      </c>
      <c r="I376" s="16">
        <v>4.6500000000000004</v>
      </c>
      <c r="K376" s="26">
        <f t="shared" si="20"/>
        <v>-7.5506445672191558E-2</v>
      </c>
      <c r="L376" s="26">
        <f t="shared" si="21"/>
        <v>-0.14364640883977889</v>
      </c>
      <c r="M376" s="26" t="str">
        <f t="shared" si="22"/>
        <v/>
      </c>
      <c r="N376" s="27" t="str">
        <f t="shared" si="23"/>
        <v>NO</v>
      </c>
    </row>
    <row r="377" spans="1:14" ht="15" customHeight="1" x14ac:dyDescent="0.25">
      <c r="A377" s="12">
        <v>46182</v>
      </c>
      <c r="B377" s="13" t="s">
        <v>95</v>
      </c>
      <c r="C377" s="13" t="s">
        <v>96</v>
      </c>
      <c r="D377" s="13" t="s">
        <v>97</v>
      </c>
      <c r="E377" s="14">
        <v>0.52</v>
      </c>
      <c r="F377" s="13" t="s">
        <v>56</v>
      </c>
      <c r="G377" s="15">
        <v>119.38</v>
      </c>
      <c r="H377" s="16">
        <v>121.03</v>
      </c>
      <c r="I377" s="16">
        <v>119</v>
      </c>
      <c r="K377" s="26">
        <f t="shared" si="20"/>
        <v>1.3821410621544695E-2</v>
      </c>
      <c r="L377" s="26">
        <f t="shared" si="21"/>
        <v>-3.183112749204184E-3</v>
      </c>
      <c r="M377" s="26" t="str">
        <f t="shared" si="22"/>
        <v/>
      </c>
      <c r="N377" s="27" t="str">
        <f t="shared" si="23"/>
        <v>YES</v>
      </c>
    </row>
    <row r="378" spans="1:14" ht="15" customHeight="1" x14ac:dyDescent="0.25">
      <c r="A378" s="12">
        <v>46182</v>
      </c>
      <c r="B378" s="13" t="s">
        <v>109</v>
      </c>
      <c r="C378" s="13" t="s">
        <v>99</v>
      </c>
      <c r="D378" s="13" t="s">
        <v>97</v>
      </c>
      <c r="E378" s="14">
        <v>0.52</v>
      </c>
      <c r="F378" s="13" t="s">
        <v>56</v>
      </c>
      <c r="G378" s="15">
        <v>43.664999999999999</v>
      </c>
      <c r="H378" s="16">
        <v>45.06</v>
      </c>
      <c r="I378" s="16">
        <v>45.54</v>
      </c>
      <c r="K378" s="26">
        <f t="shared" si="20"/>
        <v>3.194778426657513E-2</v>
      </c>
      <c r="L378" s="26">
        <f t="shared" si="21"/>
        <v>4.2940570250772934E-2</v>
      </c>
      <c r="M378" s="26" t="str">
        <f t="shared" si="22"/>
        <v/>
      </c>
      <c r="N378" s="27" t="str">
        <f t="shared" si="23"/>
        <v>NO</v>
      </c>
    </row>
    <row r="379" spans="1:14" ht="15" customHeight="1" x14ac:dyDescent="0.25">
      <c r="A379" s="12">
        <v>46182</v>
      </c>
      <c r="B379" s="13" t="s">
        <v>118</v>
      </c>
      <c r="C379" s="13" t="s">
        <v>119</v>
      </c>
      <c r="D379" s="13" t="s">
        <v>97</v>
      </c>
      <c r="E379" s="14">
        <v>0.52</v>
      </c>
      <c r="F379" s="13" t="s">
        <v>56</v>
      </c>
      <c r="G379" s="15">
        <v>740.96</v>
      </c>
      <c r="H379" s="16">
        <v>750.33</v>
      </c>
      <c r="I379" s="16">
        <v>733.24</v>
      </c>
      <c r="K379" s="26">
        <f t="shared" si="20"/>
        <v>1.2645756855970637E-2</v>
      </c>
      <c r="L379" s="26">
        <f t="shared" si="21"/>
        <v>-1.041891600086378E-2</v>
      </c>
      <c r="M379" s="26" t="str">
        <f t="shared" si="22"/>
        <v/>
      </c>
      <c r="N379" s="27" t="str">
        <f t="shared" si="23"/>
        <v>YES</v>
      </c>
    </row>
    <row r="380" spans="1:14" ht="15" customHeight="1" x14ac:dyDescent="0.25">
      <c r="A380" s="12">
        <v>46182</v>
      </c>
      <c r="B380" s="13" t="s">
        <v>120</v>
      </c>
      <c r="C380" s="13" t="s">
        <v>119</v>
      </c>
      <c r="D380" s="13" t="s">
        <v>97</v>
      </c>
      <c r="E380" s="14">
        <v>0.45</v>
      </c>
      <c r="F380" s="13" t="s">
        <v>56</v>
      </c>
      <c r="G380" s="15">
        <v>716.28</v>
      </c>
      <c r="H380" s="16">
        <v>729.86</v>
      </c>
      <c r="I380" s="16">
        <v>710.62</v>
      </c>
      <c r="K380" s="26">
        <f t="shared" si="20"/>
        <v>1.8959066286926958E-2</v>
      </c>
      <c r="L380" s="26">
        <f t="shared" si="21"/>
        <v>-7.9019377896911384E-3</v>
      </c>
      <c r="M380" s="26" t="str">
        <f t="shared" si="22"/>
        <v/>
      </c>
      <c r="N380" s="27" t="str">
        <f t="shared" si="23"/>
        <v>YES</v>
      </c>
    </row>
    <row r="381" spans="1:14" ht="15" customHeight="1" x14ac:dyDescent="0.25">
      <c r="A381" s="12">
        <v>46182</v>
      </c>
      <c r="B381" s="13" t="s">
        <v>121</v>
      </c>
      <c r="C381" s="13" t="s">
        <v>119</v>
      </c>
      <c r="D381" s="13" t="s">
        <v>97</v>
      </c>
      <c r="E381" s="14">
        <v>0.52</v>
      </c>
      <c r="F381" s="13" t="s">
        <v>56</v>
      </c>
      <c r="G381" s="15">
        <v>365.96</v>
      </c>
      <c r="H381" s="16">
        <v>370.37</v>
      </c>
      <c r="I381" s="16">
        <v>363.65</v>
      </c>
      <c r="K381" s="26">
        <f t="shared" si="20"/>
        <v>1.2050497322111775E-2</v>
      </c>
      <c r="L381" s="26">
        <f t="shared" si="21"/>
        <v>-6.3121652639632816E-3</v>
      </c>
      <c r="M381" s="26" t="str">
        <f t="shared" si="22"/>
        <v/>
      </c>
      <c r="N381" s="27" t="str">
        <f t="shared" si="23"/>
        <v>YES</v>
      </c>
    </row>
    <row r="382" spans="1:14" ht="15" customHeight="1" x14ac:dyDescent="0.25">
      <c r="A382" s="12">
        <v>46182</v>
      </c>
      <c r="B382" s="13" t="s">
        <v>122</v>
      </c>
      <c r="C382" s="13" t="s">
        <v>119</v>
      </c>
      <c r="D382" s="13" t="s">
        <v>124</v>
      </c>
      <c r="E382" s="14">
        <v>0.68</v>
      </c>
      <c r="F382" s="13" t="s">
        <v>56</v>
      </c>
      <c r="G382" s="15">
        <v>207.40010000000001</v>
      </c>
      <c r="H382" s="16">
        <v>207.41</v>
      </c>
      <c r="I382" s="16">
        <v>199</v>
      </c>
      <c r="K382" s="26">
        <f t="shared" si="20"/>
        <v>4.7733824622011197E-5</v>
      </c>
      <c r="L382" s="26">
        <f t="shared" si="21"/>
        <v>-4.0501909111905002E-2</v>
      </c>
      <c r="M382" s="26" t="str">
        <f t="shared" si="22"/>
        <v/>
      </c>
      <c r="N382" s="27" t="str">
        <f t="shared" si="23"/>
        <v>YES</v>
      </c>
    </row>
    <row r="383" spans="1:14" ht="15" customHeight="1" x14ac:dyDescent="0.25">
      <c r="A383" s="12">
        <v>46182</v>
      </c>
      <c r="B383" s="13" t="s">
        <v>123</v>
      </c>
      <c r="C383" s="13" t="s">
        <v>119</v>
      </c>
      <c r="D383" s="13" t="s">
        <v>97</v>
      </c>
      <c r="E383" s="14">
        <v>0.48</v>
      </c>
      <c r="F383" s="13" t="s">
        <v>56</v>
      </c>
      <c r="G383" s="15">
        <v>395.17</v>
      </c>
      <c r="H383" s="16">
        <v>397.64</v>
      </c>
      <c r="I383" s="16">
        <v>365.92</v>
      </c>
      <c r="K383" s="26">
        <f t="shared" si="20"/>
        <v>6.2504744793379311E-3</v>
      </c>
      <c r="L383" s="26">
        <f t="shared" si="21"/>
        <v>-7.40187767290027E-2</v>
      </c>
      <c r="M383" s="26" t="str">
        <f t="shared" si="22"/>
        <v/>
      </c>
      <c r="N383" s="27" t="str">
        <f t="shared" si="23"/>
        <v>YES</v>
      </c>
    </row>
    <row r="384" spans="1:14" ht="15" customHeight="1" x14ac:dyDescent="0.25">
      <c r="A384" s="12">
        <v>46183</v>
      </c>
      <c r="B384" s="13" t="s">
        <v>103</v>
      </c>
      <c r="C384" s="13" t="s">
        <v>99</v>
      </c>
      <c r="D384" s="13" t="s">
        <v>97</v>
      </c>
      <c r="E384" s="14">
        <v>0.55000000000000004</v>
      </c>
      <c r="F384" s="13" t="s">
        <v>56</v>
      </c>
      <c r="G384" s="15">
        <v>289.23500000000001</v>
      </c>
      <c r="H384" s="16">
        <v>295.95</v>
      </c>
      <c r="I384" s="16">
        <v>275.14999999999998</v>
      </c>
      <c r="K384" s="26">
        <f t="shared" si="20"/>
        <v>2.3216415717323195E-2</v>
      </c>
      <c r="L384" s="26">
        <f t="shared" si="21"/>
        <v>-4.8697425968503245E-2</v>
      </c>
      <c r="M384" s="26" t="str">
        <f t="shared" si="22"/>
        <v/>
      </c>
      <c r="N384" s="27" t="str">
        <f t="shared" si="23"/>
        <v>YES</v>
      </c>
    </row>
    <row r="385" spans="1:14" ht="15" customHeight="1" x14ac:dyDescent="0.25">
      <c r="A385" s="12">
        <v>46183</v>
      </c>
      <c r="B385" s="13" t="s">
        <v>112</v>
      </c>
      <c r="C385" s="13" t="s">
        <v>113</v>
      </c>
      <c r="D385" s="13" t="s">
        <v>97</v>
      </c>
      <c r="E385" s="14">
        <v>0.42</v>
      </c>
      <c r="F385" s="13" t="s">
        <v>56</v>
      </c>
      <c r="G385" s="15">
        <v>16.3</v>
      </c>
      <c r="H385" s="16">
        <v>18.55</v>
      </c>
      <c r="I385" s="16">
        <v>16.5</v>
      </c>
      <c r="K385" s="26">
        <f t="shared" si="20"/>
        <v>0.1380368098159509</v>
      </c>
      <c r="L385" s="26">
        <f t="shared" si="21"/>
        <v>1.2269938650306704E-2</v>
      </c>
      <c r="M385" s="26" t="str">
        <f t="shared" si="22"/>
        <v/>
      </c>
      <c r="N385" s="27" t="str">
        <f t="shared" si="23"/>
        <v>NO</v>
      </c>
    </row>
    <row r="386" spans="1:14" ht="15" customHeight="1" x14ac:dyDescent="0.25">
      <c r="A386" s="12">
        <v>46183</v>
      </c>
      <c r="B386" s="13" t="s">
        <v>105</v>
      </c>
      <c r="C386" s="13" t="s">
        <v>96</v>
      </c>
      <c r="D386" s="13" t="s">
        <v>97</v>
      </c>
      <c r="E386" s="14">
        <v>0.52</v>
      </c>
      <c r="F386" s="13" t="s">
        <v>56</v>
      </c>
      <c r="G386" s="15">
        <v>63.11</v>
      </c>
      <c r="H386" s="16">
        <v>64.33</v>
      </c>
      <c r="I386" s="16">
        <v>64.180000000000007</v>
      </c>
      <c r="K386" s="26">
        <f t="shared" si="20"/>
        <v>1.9331326255743922E-2</v>
      </c>
      <c r="L386" s="26">
        <f t="shared" si="21"/>
        <v>1.6954523847250949E-2</v>
      </c>
      <c r="M386" s="26" t="str">
        <f t="shared" si="22"/>
        <v/>
      </c>
      <c r="N386" s="27" t="str">
        <f t="shared" si="23"/>
        <v>YES</v>
      </c>
    </row>
    <row r="387" spans="1:14" ht="15" customHeight="1" x14ac:dyDescent="0.25">
      <c r="A387" s="12">
        <v>46183</v>
      </c>
      <c r="B387" s="13" t="s">
        <v>114</v>
      </c>
      <c r="C387" s="13" t="s">
        <v>113</v>
      </c>
      <c r="D387" s="13" t="s">
        <v>97</v>
      </c>
      <c r="E387" s="14">
        <v>0.52</v>
      </c>
      <c r="F387" s="13" t="s">
        <v>56</v>
      </c>
      <c r="G387" s="15">
        <v>248.29499999999999</v>
      </c>
      <c r="H387" s="16">
        <v>213.67</v>
      </c>
      <c r="I387" s="16">
        <v>168.52</v>
      </c>
      <c r="K387" s="26">
        <f t="shared" si="20"/>
        <v>-0.13945105620330656</v>
      </c>
      <c r="L387" s="26">
        <f t="shared" si="21"/>
        <v>-0.32129120602509104</v>
      </c>
      <c r="M387" s="26" t="str">
        <f t="shared" si="22"/>
        <v/>
      </c>
      <c r="N387" s="27" t="str">
        <f t="shared" si="23"/>
        <v>NO</v>
      </c>
    </row>
    <row r="388" spans="1:14" ht="15" customHeight="1" x14ac:dyDescent="0.25">
      <c r="A388" s="12">
        <v>46183</v>
      </c>
      <c r="B388" s="13" t="s">
        <v>116</v>
      </c>
      <c r="C388" s="13" t="s">
        <v>113</v>
      </c>
      <c r="D388" s="13" t="s">
        <v>97</v>
      </c>
      <c r="E388" s="14">
        <v>0.42</v>
      </c>
      <c r="F388" s="13" t="s">
        <v>57</v>
      </c>
      <c r="G388" s="15">
        <v>17.164999999999999</v>
      </c>
      <c r="H388" s="16">
        <v>17.149999999999999</v>
      </c>
      <c r="I388" s="16">
        <v>16.95</v>
      </c>
      <c r="K388" s="26">
        <f t="shared" si="20"/>
        <v>-8.7387124963592014E-4</v>
      </c>
      <c r="L388" s="26">
        <f t="shared" si="21"/>
        <v>-1.2525487911447706E-2</v>
      </c>
      <c r="M388" s="26" t="str">
        <f t="shared" si="22"/>
        <v/>
      </c>
      <c r="N388" s="27" t="str">
        <f t="shared" si="23"/>
        <v>YES</v>
      </c>
    </row>
    <row r="389" spans="1:14" ht="15" customHeight="1" x14ac:dyDescent="0.25">
      <c r="A389" s="12">
        <v>46183</v>
      </c>
      <c r="B389" s="13" t="s">
        <v>104</v>
      </c>
      <c r="C389" s="13" t="s">
        <v>96</v>
      </c>
      <c r="D389" s="13" t="s">
        <v>97</v>
      </c>
      <c r="E389" s="14">
        <v>0.42</v>
      </c>
      <c r="F389" s="13" t="s">
        <v>55</v>
      </c>
      <c r="G389" s="15">
        <v>33.83</v>
      </c>
      <c r="H389" s="16">
        <v>32.5</v>
      </c>
      <c r="I389" s="16">
        <v>29.31</v>
      </c>
      <c r="K389" s="26">
        <f t="shared" ref="K389:K452" si="24">IF(H389="","",(H389-G389)/G389)</f>
        <v>-3.9314218149571339E-2</v>
      </c>
      <c r="L389" s="26">
        <f t="shared" ref="L389:L452" si="25">IF(I389="","",(I389-G389)/G389)</f>
        <v>-0.13360922258350577</v>
      </c>
      <c r="M389" s="26" t="str">
        <f t="shared" ref="M389:M452" si="26">IF(J389="","",(J389-G389)/G389)</f>
        <v/>
      </c>
      <c r="N389" s="27" t="str">
        <f t="shared" ref="N389:N452" si="27">IF(H389="","",IF(D389="HOLD",IF(ABS(K389)&lt;0.03,"YES","NO"),IF(D389="BUY",IF(K389&gt;0,"YES","NO"),IF(D389="SELL",IF(K389&lt;0,"YES","NO"),""))))</f>
        <v>NO</v>
      </c>
    </row>
    <row r="390" spans="1:14" ht="15" customHeight="1" x14ac:dyDescent="0.25">
      <c r="A390" s="12">
        <v>46183</v>
      </c>
      <c r="B390" s="13" t="s">
        <v>111</v>
      </c>
      <c r="C390" s="13" t="s">
        <v>113</v>
      </c>
      <c r="D390" s="13" t="s">
        <v>97</v>
      </c>
      <c r="E390" s="14">
        <v>0.55000000000000004</v>
      </c>
      <c r="F390" s="13" t="s">
        <v>56</v>
      </c>
      <c r="G390" s="15">
        <v>69.66</v>
      </c>
      <c r="H390" s="16">
        <v>67.010000000000005</v>
      </c>
      <c r="I390" s="16">
        <v>67.03</v>
      </c>
      <c r="K390" s="26">
        <f t="shared" si="24"/>
        <v>-3.8041917886879009E-2</v>
      </c>
      <c r="L390" s="26">
        <f t="shared" si="25"/>
        <v>-3.7754809072638465E-2</v>
      </c>
      <c r="M390" s="26" t="str">
        <f t="shared" si="26"/>
        <v/>
      </c>
      <c r="N390" s="27" t="str">
        <f t="shared" si="27"/>
        <v>NO</v>
      </c>
    </row>
    <row r="391" spans="1:14" ht="15" customHeight="1" x14ac:dyDescent="0.25">
      <c r="A391" s="12">
        <v>46183</v>
      </c>
      <c r="B391" s="13" t="s">
        <v>107</v>
      </c>
      <c r="C391" s="13" t="s">
        <v>96</v>
      </c>
      <c r="D391" s="13" t="s">
        <v>97</v>
      </c>
      <c r="E391" s="14">
        <v>0.57999999999999996</v>
      </c>
      <c r="F391" s="13" t="s">
        <v>55</v>
      </c>
      <c r="G391" s="15">
        <v>81.454999999999998</v>
      </c>
      <c r="H391" s="16">
        <v>79.58</v>
      </c>
      <c r="I391" s="16">
        <v>78.53</v>
      </c>
      <c r="K391" s="26">
        <f t="shared" si="24"/>
        <v>-2.3018844760910932E-2</v>
      </c>
      <c r="L391" s="26">
        <f t="shared" si="25"/>
        <v>-3.5909397827021024E-2</v>
      </c>
      <c r="M391" s="26" t="str">
        <f t="shared" si="26"/>
        <v/>
      </c>
      <c r="N391" s="27" t="str">
        <f t="shared" si="27"/>
        <v>YES</v>
      </c>
    </row>
    <row r="392" spans="1:14" ht="15" customHeight="1" x14ac:dyDescent="0.25">
      <c r="A392" s="12">
        <v>46183</v>
      </c>
      <c r="B392" s="13" t="s">
        <v>106</v>
      </c>
      <c r="C392" s="13" t="s">
        <v>99</v>
      </c>
      <c r="D392" s="13" t="s">
        <v>97</v>
      </c>
      <c r="E392" s="14">
        <v>0.55000000000000004</v>
      </c>
      <c r="F392" s="13" t="s">
        <v>56</v>
      </c>
      <c r="G392" s="15">
        <v>312.83</v>
      </c>
      <c r="H392" s="16">
        <v>333.46</v>
      </c>
      <c r="I392" s="16">
        <v>335.12</v>
      </c>
      <c r="K392" s="26">
        <f t="shared" si="24"/>
        <v>6.5946360643160812E-2</v>
      </c>
      <c r="L392" s="26">
        <f t="shared" si="25"/>
        <v>7.1252757088514598E-2</v>
      </c>
      <c r="M392" s="26" t="str">
        <f t="shared" si="26"/>
        <v/>
      </c>
      <c r="N392" s="27" t="str">
        <f t="shared" si="27"/>
        <v>NO</v>
      </c>
    </row>
    <row r="393" spans="1:14" ht="15" customHeight="1" x14ac:dyDescent="0.25">
      <c r="A393" s="12">
        <v>46183</v>
      </c>
      <c r="B393" s="13" t="s">
        <v>100</v>
      </c>
      <c r="C393" s="13" t="s">
        <v>96</v>
      </c>
      <c r="D393" s="13" t="s">
        <v>97</v>
      </c>
      <c r="E393" s="14">
        <v>0.52</v>
      </c>
      <c r="F393" s="13" t="s">
        <v>55</v>
      </c>
      <c r="G393" s="15">
        <v>403.36</v>
      </c>
      <c r="H393" s="16">
        <v>378.91</v>
      </c>
      <c r="I393" s="16">
        <v>352.83</v>
      </c>
      <c r="K393" s="26">
        <f t="shared" si="24"/>
        <v>-6.061582705275681E-2</v>
      </c>
      <c r="L393" s="26">
        <f t="shared" si="25"/>
        <v>-0.12527270924236422</v>
      </c>
      <c r="M393" s="26" t="str">
        <f t="shared" si="26"/>
        <v/>
      </c>
      <c r="N393" s="27" t="str">
        <f t="shared" si="27"/>
        <v>NO</v>
      </c>
    </row>
    <row r="394" spans="1:14" ht="15" customHeight="1" x14ac:dyDescent="0.25">
      <c r="A394" s="12">
        <v>46183</v>
      </c>
      <c r="B394" s="13" t="s">
        <v>101</v>
      </c>
      <c r="C394" s="13" t="s">
        <v>99</v>
      </c>
      <c r="D394" s="13" t="s">
        <v>97</v>
      </c>
      <c r="E394" s="14">
        <v>0.45</v>
      </c>
      <c r="F394" s="13" t="s">
        <v>55</v>
      </c>
      <c r="G394" s="15">
        <v>44.38</v>
      </c>
      <c r="H394" s="16">
        <v>44.19</v>
      </c>
      <c r="I394" s="16">
        <v>40.9</v>
      </c>
      <c r="K394" s="26">
        <f t="shared" si="24"/>
        <v>-4.2812077512394053E-3</v>
      </c>
      <c r="L394" s="26">
        <f t="shared" si="25"/>
        <v>-7.8413699864804051E-2</v>
      </c>
      <c r="M394" s="26" t="str">
        <f t="shared" si="26"/>
        <v/>
      </c>
      <c r="N394" s="27" t="str">
        <f t="shared" si="27"/>
        <v>YES</v>
      </c>
    </row>
    <row r="395" spans="1:14" ht="15" customHeight="1" x14ac:dyDescent="0.25">
      <c r="A395" s="12">
        <v>46183</v>
      </c>
      <c r="B395" s="13" t="s">
        <v>98</v>
      </c>
      <c r="C395" s="13" t="s">
        <v>96</v>
      </c>
      <c r="D395" s="13" t="s">
        <v>97</v>
      </c>
      <c r="E395" s="14">
        <v>0.45</v>
      </c>
      <c r="F395" s="13" t="s">
        <v>56</v>
      </c>
      <c r="G395" s="15">
        <v>65.144999999999996</v>
      </c>
      <c r="H395" s="16">
        <v>64.28</v>
      </c>
      <c r="I395" s="16">
        <v>60.96</v>
      </c>
      <c r="K395" s="26">
        <f t="shared" si="24"/>
        <v>-1.3278071993245759E-2</v>
      </c>
      <c r="L395" s="26">
        <f t="shared" si="25"/>
        <v>-6.4241307851715335E-2</v>
      </c>
      <c r="M395" s="26" t="str">
        <f t="shared" si="26"/>
        <v/>
      </c>
      <c r="N395" s="27" t="str">
        <f t="shared" si="27"/>
        <v>YES</v>
      </c>
    </row>
    <row r="396" spans="1:14" ht="15" customHeight="1" x14ac:dyDescent="0.25">
      <c r="A396" s="12">
        <v>46183</v>
      </c>
      <c r="B396" s="13" t="s">
        <v>110</v>
      </c>
      <c r="C396" s="13" t="s">
        <v>99</v>
      </c>
      <c r="D396" s="13" t="s">
        <v>97</v>
      </c>
      <c r="E396" s="14">
        <v>0.65</v>
      </c>
      <c r="F396" s="13" t="s">
        <v>55</v>
      </c>
      <c r="G396" s="15">
        <v>179.685</v>
      </c>
      <c r="H396" s="16">
        <v>179.44</v>
      </c>
      <c r="I396" s="16">
        <v>178.93</v>
      </c>
      <c r="K396" s="26">
        <f t="shared" si="24"/>
        <v>-1.3634972312658515E-3</v>
      </c>
      <c r="L396" s="26">
        <f t="shared" si="25"/>
        <v>-4.2017975902273168E-3</v>
      </c>
      <c r="M396" s="26" t="str">
        <f t="shared" si="26"/>
        <v/>
      </c>
      <c r="N396" s="27" t="str">
        <f t="shared" si="27"/>
        <v>YES</v>
      </c>
    </row>
    <row r="397" spans="1:14" ht="15" customHeight="1" x14ac:dyDescent="0.25">
      <c r="A397" s="12">
        <v>46183</v>
      </c>
      <c r="B397" s="13" t="s">
        <v>108</v>
      </c>
      <c r="C397" s="13" t="s">
        <v>99</v>
      </c>
      <c r="D397" s="13" t="s">
        <v>97</v>
      </c>
      <c r="E397" s="14">
        <v>0.62</v>
      </c>
      <c r="F397" s="13" t="s">
        <v>55</v>
      </c>
      <c r="G397" s="15">
        <v>676.17</v>
      </c>
      <c r="H397" s="16">
        <v>714.85</v>
      </c>
      <c r="I397" s="16">
        <v>718.59</v>
      </c>
      <c r="K397" s="26">
        <f t="shared" si="24"/>
        <v>5.720454915184061E-2</v>
      </c>
      <c r="L397" s="26">
        <f t="shared" si="25"/>
        <v>6.2735702560007212E-2</v>
      </c>
      <c r="M397" s="26" t="str">
        <f t="shared" si="26"/>
        <v/>
      </c>
      <c r="N397" s="27" t="str">
        <f t="shared" si="27"/>
        <v>NO</v>
      </c>
    </row>
    <row r="398" spans="1:14" ht="15" customHeight="1" x14ac:dyDescent="0.25">
      <c r="A398" s="12">
        <v>46183</v>
      </c>
      <c r="B398" s="13" t="s">
        <v>115</v>
      </c>
      <c r="C398" s="13" t="s">
        <v>113</v>
      </c>
      <c r="D398" s="13" t="s">
        <v>97</v>
      </c>
      <c r="E398" s="14">
        <v>0.57999999999999996</v>
      </c>
      <c r="F398" s="13" t="s">
        <v>56</v>
      </c>
      <c r="G398" s="15">
        <v>179.22</v>
      </c>
      <c r="H398" s="16">
        <v>192.58</v>
      </c>
      <c r="I398" s="16">
        <v>186.59</v>
      </c>
      <c r="K398" s="26">
        <f t="shared" si="24"/>
        <v>7.4545251646021729E-2</v>
      </c>
      <c r="L398" s="26">
        <f t="shared" si="25"/>
        <v>4.1122642562214061E-2</v>
      </c>
      <c r="M398" s="26" t="str">
        <f t="shared" si="26"/>
        <v/>
      </c>
      <c r="N398" s="27" t="str">
        <f t="shared" si="27"/>
        <v>NO</v>
      </c>
    </row>
    <row r="399" spans="1:14" ht="15" customHeight="1" x14ac:dyDescent="0.25">
      <c r="A399" s="12">
        <v>46183</v>
      </c>
      <c r="B399" s="13" t="s">
        <v>102</v>
      </c>
      <c r="C399" s="13" t="s">
        <v>99</v>
      </c>
      <c r="D399" s="13" t="s">
        <v>97</v>
      </c>
      <c r="E399" s="14">
        <v>0.62</v>
      </c>
      <c r="F399" s="13" t="s">
        <v>55</v>
      </c>
      <c r="G399" s="15">
        <v>32.49</v>
      </c>
      <c r="H399" s="16">
        <v>31.93</v>
      </c>
      <c r="I399" s="16">
        <v>31.96</v>
      </c>
      <c r="K399" s="26">
        <f t="shared" si="24"/>
        <v>-1.7236072637734755E-2</v>
      </c>
      <c r="L399" s="26">
        <f t="shared" si="25"/>
        <v>-1.6312711603570364E-2</v>
      </c>
      <c r="M399" s="26" t="str">
        <f t="shared" si="26"/>
        <v/>
      </c>
      <c r="N399" s="27" t="str">
        <f t="shared" si="27"/>
        <v>YES</v>
      </c>
    </row>
    <row r="400" spans="1:14" ht="15" customHeight="1" x14ac:dyDescent="0.25">
      <c r="A400" s="12">
        <v>46183</v>
      </c>
      <c r="B400" s="13" t="s">
        <v>117</v>
      </c>
      <c r="C400" s="13" t="s">
        <v>113</v>
      </c>
      <c r="D400" s="13" t="s">
        <v>97</v>
      </c>
      <c r="E400" s="14">
        <v>0.42</v>
      </c>
      <c r="F400" s="13" t="s">
        <v>56</v>
      </c>
      <c r="G400" s="15">
        <v>5.35</v>
      </c>
      <c r="H400" s="16">
        <v>5.03</v>
      </c>
      <c r="I400" s="16">
        <v>4.7</v>
      </c>
      <c r="K400" s="26">
        <f t="shared" si="24"/>
        <v>-5.9813084112149424E-2</v>
      </c>
      <c r="L400" s="26">
        <f t="shared" si="25"/>
        <v>-0.12149532710280364</v>
      </c>
      <c r="M400" s="26" t="str">
        <f t="shared" si="26"/>
        <v/>
      </c>
      <c r="N400" s="27" t="str">
        <f t="shared" si="27"/>
        <v>NO</v>
      </c>
    </row>
    <row r="401" spans="1:14" ht="15" customHeight="1" x14ac:dyDescent="0.25">
      <c r="A401" s="12">
        <v>46183</v>
      </c>
      <c r="B401" s="13" t="s">
        <v>95</v>
      </c>
      <c r="C401" s="13" t="s">
        <v>96</v>
      </c>
      <c r="D401" s="13" t="s">
        <v>97</v>
      </c>
      <c r="E401" s="14">
        <v>0.52</v>
      </c>
      <c r="F401" s="13" t="s">
        <v>56</v>
      </c>
      <c r="G401" s="15">
        <v>118.62</v>
      </c>
      <c r="H401" s="16">
        <v>118.13</v>
      </c>
      <c r="I401" s="16">
        <v>115.78</v>
      </c>
      <c r="K401" s="26">
        <f t="shared" si="24"/>
        <v>-4.1308379699882738E-3</v>
      </c>
      <c r="L401" s="26">
        <f t="shared" si="25"/>
        <v>-2.3941999662788763E-2</v>
      </c>
      <c r="M401" s="26" t="str">
        <f t="shared" si="26"/>
        <v/>
      </c>
      <c r="N401" s="27" t="str">
        <f t="shared" si="27"/>
        <v>YES</v>
      </c>
    </row>
    <row r="402" spans="1:14" ht="15" customHeight="1" x14ac:dyDescent="0.25">
      <c r="A402" s="12">
        <v>46183</v>
      </c>
      <c r="B402" s="13" t="s">
        <v>109</v>
      </c>
      <c r="C402" s="13" t="s">
        <v>99</v>
      </c>
      <c r="D402" s="13" t="s">
        <v>97</v>
      </c>
      <c r="E402" s="14">
        <v>0.52</v>
      </c>
      <c r="F402" s="13" t="s">
        <v>56</v>
      </c>
      <c r="G402" s="15">
        <v>43.945</v>
      </c>
      <c r="H402" s="16">
        <v>44.46</v>
      </c>
      <c r="I402" s="16">
        <v>45.85</v>
      </c>
      <c r="K402" s="26">
        <f t="shared" si="24"/>
        <v>1.1719194447604974E-2</v>
      </c>
      <c r="L402" s="26">
        <f t="shared" si="25"/>
        <v>4.3349641597451388E-2</v>
      </c>
      <c r="M402" s="26" t="str">
        <f t="shared" si="26"/>
        <v/>
      </c>
      <c r="N402" s="27" t="str">
        <f t="shared" si="27"/>
        <v>YES</v>
      </c>
    </row>
    <row r="403" spans="1:14" ht="15" customHeight="1" x14ac:dyDescent="0.25">
      <c r="A403" s="12">
        <v>46183</v>
      </c>
      <c r="B403" s="13" t="s">
        <v>118</v>
      </c>
      <c r="C403" s="13" t="s">
        <v>119</v>
      </c>
      <c r="D403" s="13" t="s">
        <v>97</v>
      </c>
      <c r="E403" s="14">
        <v>0.45</v>
      </c>
      <c r="F403" s="13" t="s">
        <v>56</v>
      </c>
      <c r="G403" s="15">
        <v>736.96</v>
      </c>
      <c r="H403" s="16">
        <v>740.96</v>
      </c>
      <c r="I403" s="16">
        <v>734.3</v>
      </c>
      <c r="K403" s="26">
        <f t="shared" si="24"/>
        <v>5.4277029960920539E-3</v>
      </c>
      <c r="L403" s="26">
        <f t="shared" si="25"/>
        <v>-3.6094224924013269E-3</v>
      </c>
      <c r="M403" s="26" t="str">
        <f t="shared" si="26"/>
        <v/>
      </c>
      <c r="N403" s="27" t="str">
        <f t="shared" si="27"/>
        <v>YES</v>
      </c>
    </row>
    <row r="404" spans="1:14" ht="15" customHeight="1" x14ac:dyDescent="0.25">
      <c r="A404" s="12">
        <v>46183</v>
      </c>
      <c r="B404" s="13" t="s">
        <v>120</v>
      </c>
      <c r="C404" s="13" t="s">
        <v>119</v>
      </c>
      <c r="D404" s="13" t="s">
        <v>97</v>
      </c>
      <c r="E404" s="14">
        <v>0.45</v>
      </c>
      <c r="F404" s="13" t="s">
        <v>56</v>
      </c>
      <c r="G404" s="15">
        <v>709.35</v>
      </c>
      <c r="H404" s="16">
        <v>722.51</v>
      </c>
      <c r="I404" s="16">
        <v>716.38</v>
      </c>
      <c r="K404" s="26">
        <f t="shared" si="24"/>
        <v>1.8552195672094124E-2</v>
      </c>
      <c r="L404" s="26">
        <f t="shared" si="25"/>
        <v>9.9104814266581694E-3</v>
      </c>
      <c r="M404" s="26" t="str">
        <f t="shared" si="26"/>
        <v/>
      </c>
      <c r="N404" s="27" t="str">
        <f t="shared" si="27"/>
        <v>YES</v>
      </c>
    </row>
    <row r="405" spans="1:14" ht="15" customHeight="1" x14ac:dyDescent="0.25">
      <c r="A405" s="12">
        <v>46183</v>
      </c>
      <c r="B405" s="13" t="s">
        <v>121</v>
      </c>
      <c r="C405" s="13" t="s">
        <v>119</v>
      </c>
      <c r="D405" s="13" t="s">
        <v>97</v>
      </c>
      <c r="E405" s="14">
        <v>0.52</v>
      </c>
      <c r="F405" s="13" t="s">
        <v>56</v>
      </c>
      <c r="G405" s="15">
        <v>363.7</v>
      </c>
      <c r="H405" s="16">
        <v>365.76</v>
      </c>
      <c r="I405" s="16">
        <v>363.98</v>
      </c>
      <c r="K405" s="26">
        <f t="shared" si="24"/>
        <v>5.6640087984602761E-3</v>
      </c>
      <c r="L405" s="26">
        <f t="shared" si="25"/>
        <v>7.6986527357720527E-4</v>
      </c>
      <c r="M405" s="26" t="str">
        <f t="shared" si="26"/>
        <v/>
      </c>
      <c r="N405" s="27" t="str">
        <f t="shared" si="27"/>
        <v>YES</v>
      </c>
    </row>
    <row r="406" spans="1:14" ht="15" customHeight="1" x14ac:dyDescent="0.25">
      <c r="A406" s="12">
        <v>46183</v>
      </c>
      <c r="B406" s="13" t="s">
        <v>122</v>
      </c>
      <c r="C406" s="13" t="s">
        <v>119</v>
      </c>
      <c r="D406" s="13" t="s">
        <v>97</v>
      </c>
      <c r="E406" s="14">
        <v>0.52</v>
      </c>
      <c r="F406" s="13" t="s">
        <v>56</v>
      </c>
      <c r="G406" s="15">
        <v>205.63499999999999</v>
      </c>
      <c r="H406" s="16">
        <v>204.65</v>
      </c>
      <c r="I406" s="16">
        <v>195.74</v>
      </c>
      <c r="K406" s="26">
        <f t="shared" si="24"/>
        <v>-4.7900406059279074E-3</v>
      </c>
      <c r="L406" s="26">
        <f t="shared" si="25"/>
        <v>-4.8119240401682507E-2</v>
      </c>
      <c r="M406" s="26" t="str">
        <f t="shared" si="26"/>
        <v/>
      </c>
      <c r="N406" s="27" t="str">
        <f t="shared" si="27"/>
        <v>YES</v>
      </c>
    </row>
    <row r="407" spans="1:14" ht="15" customHeight="1" x14ac:dyDescent="0.25">
      <c r="A407" s="12">
        <v>46183</v>
      </c>
      <c r="B407" s="13" t="s">
        <v>123</v>
      </c>
      <c r="C407" s="13" t="s">
        <v>119</v>
      </c>
      <c r="D407" s="13" t="s">
        <v>97</v>
      </c>
      <c r="E407" s="14">
        <v>0.48</v>
      </c>
      <c r="F407" s="13" t="s">
        <v>56</v>
      </c>
      <c r="G407" s="15">
        <v>381.24</v>
      </c>
      <c r="H407" s="16">
        <v>388.6</v>
      </c>
      <c r="I407" s="16">
        <v>368.46</v>
      </c>
      <c r="K407" s="26">
        <f t="shared" si="24"/>
        <v>1.930542440457458E-2</v>
      </c>
      <c r="L407" s="26">
        <f t="shared" si="25"/>
        <v>-3.3522190745986856E-2</v>
      </c>
      <c r="M407" s="26" t="str">
        <f t="shared" si="26"/>
        <v/>
      </c>
      <c r="N407" s="27" t="str">
        <f t="shared" si="27"/>
        <v>YES</v>
      </c>
    </row>
    <row r="408" spans="1:14" ht="15" customHeight="1" x14ac:dyDescent="0.25">
      <c r="A408" s="12">
        <v>46184</v>
      </c>
      <c r="B408" s="13" t="s">
        <v>103</v>
      </c>
      <c r="C408" s="13" t="s">
        <v>99</v>
      </c>
      <c r="D408" s="13" t="s">
        <v>97</v>
      </c>
      <c r="E408" s="14">
        <v>0.55000000000000004</v>
      </c>
      <c r="F408" s="13" t="s">
        <v>56</v>
      </c>
      <c r="G408" s="15">
        <v>290.33</v>
      </c>
      <c r="H408" s="16">
        <v>298.01</v>
      </c>
      <c r="I408" s="16">
        <v>283.77999999999997</v>
      </c>
      <c r="K408" s="26">
        <f t="shared" si="24"/>
        <v>2.6452657320979601E-2</v>
      </c>
      <c r="L408" s="26">
        <f t="shared" si="25"/>
        <v>-2.2560534564116736E-2</v>
      </c>
      <c r="M408" s="26" t="str">
        <f t="shared" si="26"/>
        <v/>
      </c>
      <c r="N408" s="27" t="str">
        <f t="shared" si="27"/>
        <v>YES</v>
      </c>
    </row>
    <row r="409" spans="1:14" ht="15" customHeight="1" x14ac:dyDescent="0.25">
      <c r="A409" s="12">
        <v>46184</v>
      </c>
      <c r="B409" s="13" t="s">
        <v>112</v>
      </c>
      <c r="C409" s="13" t="s">
        <v>113</v>
      </c>
      <c r="D409" s="13" t="s">
        <v>97</v>
      </c>
      <c r="E409" s="14">
        <v>0.42</v>
      </c>
      <c r="F409" s="13" t="s">
        <v>56</v>
      </c>
      <c r="G409" s="15">
        <v>15.77</v>
      </c>
      <c r="H409" s="16">
        <v>18</v>
      </c>
      <c r="I409" s="16">
        <v>19.89</v>
      </c>
      <c r="K409" s="26">
        <f t="shared" si="24"/>
        <v>0.14140773620798988</v>
      </c>
      <c r="L409" s="26">
        <f t="shared" si="25"/>
        <v>0.26125554850982885</v>
      </c>
      <c r="M409" s="26" t="str">
        <f t="shared" si="26"/>
        <v/>
      </c>
      <c r="N409" s="27" t="str">
        <f t="shared" si="27"/>
        <v>NO</v>
      </c>
    </row>
    <row r="410" spans="1:14" ht="15" customHeight="1" x14ac:dyDescent="0.25">
      <c r="A410" s="12">
        <v>46184</v>
      </c>
      <c r="B410" s="13" t="s">
        <v>105</v>
      </c>
      <c r="C410" s="13" t="s">
        <v>96</v>
      </c>
      <c r="D410" s="13" t="s">
        <v>97</v>
      </c>
      <c r="E410" s="14">
        <v>0.52</v>
      </c>
      <c r="F410" s="13" t="s">
        <v>56</v>
      </c>
      <c r="G410" s="15">
        <v>61.43</v>
      </c>
      <c r="H410" s="16">
        <v>66.8</v>
      </c>
      <c r="I410" s="16">
        <v>63.15</v>
      </c>
      <c r="K410" s="26">
        <f t="shared" si="24"/>
        <v>8.7416571707634672E-2</v>
      </c>
      <c r="L410" s="26">
        <f t="shared" si="25"/>
        <v>2.7999348852352252E-2</v>
      </c>
      <c r="M410" s="26" t="str">
        <f t="shared" si="26"/>
        <v/>
      </c>
      <c r="N410" s="27" t="str">
        <f t="shared" si="27"/>
        <v>NO</v>
      </c>
    </row>
    <row r="411" spans="1:14" ht="15" customHeight="1" x14ac:dyDescent="0.25">
      <c r="A411" s="12">
        <v>46184</v>
      </c>
      <c r="B411" s="13" t="s">
        <v>114</v>
      </c>
      <c r="C411" s="13" t="s">
        <v>113</v>
      </c>
      <c r="D411" s="13" t="s">
        <v>97</v>
      </c>
      <c r="E411" s="14">
        <v>0.42</v>
      </c>
      <c r="F411" s="13" t="s">
        <v>56</v>
      </c>
      <c r="G411" s="15">
        <v>228.9</v>
      </c>
      <c r="H411" s="16">
        <v>234.71</v>
      </c>
      <c r="I411" s="16">
        <v>181.59</v>
      </c>
      <c r="K411" s="26">
        <f t="shared" si="24"/>
        <v>2.5382262996941907E-2</v>
      </c>
      <c r="L411" s="26">
        <f t="shared" si="25"/>
        <v>-0.20668414154652687</v>
      </c>
      <c r="M411" s="26" t="str">
        <f t="shared" si="26"/>
        <v/>
      </c>
      <c r="N411" s="27" t="str">
        <f t="shared" si="27"/>
        <v>YES</v>
      </c>
    </row>
    <row r="412" spans="1:14" ht="15" customHeight="1" x14ac:dyDescent="0.25">
      <c r="A412" s="12">
        <v>46184</v>
      </c>
      <c r="B412" s="13" t="s">
        <v>116</v>
      </c>
      <c r="C412" s="13" t="s">
        <v>113</v>
      </c>
      <c r="D412" s="13" t="s">
        <v>97</v>
      </c>
      <c r="E412" s="14">
        <v>0.38</v>
      </c>
      <c r="F412" s="13" t="s">
        <v>56</v>
      </c>
      <c r="G412" s="15">
        <v>16.945</v>
      </c>
      <c r="H412" s="16">
        <v>16.95</v>
      </c>
      <c r="I412" s="16">
        <v>16.86</v>
      </c>
      <c r="K412" s="26">
        <f t="shared" si="24"/>
        <v>2.9507229271165565E-4</v>
      </c>
      <c r="L412" s="26">
        <f t="shared" si="25"/>
        <v>-5.0162289760991947E-3</v>
      </c>
      <c r="M412" s="26" t="str">
        <f t="shared" si="26"/>
        <v/>
      </c>
      <c r="N412" s="27" t="str">
        <f t="shared" si="27"/>
        <v>YES</v>
      </c>
    </row>
    <row r="413" spans="1:14" ht="15" customHeight="1" x14ac:dyDescent="0.25">
      <c r="A413" s="12">
        <v>46184</v>
      </c>
      <c r="B413" s="13" t="s">
        <v>104</v>
      </c>
      <c r="C413" s="13" t="s">
        <v>96</v>
      </c>
      <c r="D413" s="13" t="s">
        <v>97</v>
      </c>
      <c r="E413" s="14">
        <v>0.42</v>
      </c>
      <c r="F413" s="13" t="s">
        <v>56</v>
      </c>
      <c r="G413" s="15">
        <v>34.723500000000001</v>
      </c>
      <c r="H413" s="16">
        <v>31.73</v>
      </c>
      <c r="I413" s="16">
        <v>29.04</v>
      </c>
      <c r="K413" s="26">
        <f t="shared" si="24"/>
        <v>-8.6209627485708554E-2</v>
      </c>
      <c r="L413" s="26">
        <f t="shared" si="25"/>
        <v>-0.1636787766210204</v>
      </c>
      <c r="M413" s="26" t="str">
        <f t="shared" si="26"/>
        <v/>
      </c>
      <c r="N413" s="27" t="str">
        <f t="shared" si="27"/>
        <v>NO</v>
      </c>
    </row>
    <row r="414" spans="1:14" ht="15" customHeight="1" x14ac:dyDescent="0.25">
      <c r="A414" s="12">
        <v>46184</v>
      </c>
      <c r="B414" s="13" t="s">
        <v>111</v>
      </c>
      <c r="C414" s="13" t="s">
        <v>113</v>
      </c>
      <c r="D414" s="13" t="s">
        <v>97</v>
      </c>
      <c r="E414" s="14">
        <v>0.57999999999999996</v>
      </c>
      <c r="F414" s="13" t="s">
        <v>56</v>
      </c>
      <c r="G414" s="15">
        <v>71.05</v>
      </c>
      <c r="H414" s="16">
        <v>65.17</v>
      </c>
      <c r="I414" s="16">
        <v>64.44</v>
      </c>
      <c r="K414" s="26">
        <f t="shared" si="24"/>
        <v>-8.2758620689655116E-2</v>
      </c>
      <c r="L414" s="26">
        <f t="shared" si="25"/>
        <v>-9.3033075299085152E-2</v>
      </c>
      <c r="M414" s="26" t="str">
        <f t="shared" si="26"/>
        <v/>
      </c>
      <c r="N414" s="27" t="str">
        <f t="shared" si="27"/>
        <v>NO</v>
      </c>
    </row>
    <row r="415" spans="1:14" ht="15" customHeight="1" x14ac:dyDescent="0.25">
      <c r="A415" s="12">
        <v>46184</v>
      </c>
      <c r="B415" s="13" t="s">
        <v>107</v>
      </c>
      <c r="C415" s="13" t="s">
        <v>96</v>
      </c>
      <c r="D415" s="13" t="s">
        <v>97</v>
      </c>
      <c r="E415" s="14">
        <v>0.52</v>
      </c>
      <c r="F415" s="13" t="s">
        <v>56</v>
      </c>
      <c r="G415" s="15">
        <v>79.489999999999995</v>
      </c>
      <c r="H415" s="16">
        <v>79.290000000000006</v>
      </c>
      <c r="I415" s="16">
        <v>78.099999999999994</v>
      </c>
      <c r="K415" s="26">
        <f t="shared" si="24"/>
        <v>-2.5160397534279614E-3</v>
      </c>
      <c r="L415" s="26">
        <f t="shared" si="25"/>
        <v>-1.7486476286325332E-2</v>
      </c>
      <c r="M415" s="26" t="str">
        <f t="shared" si="26"/>
        <v/>
      </c>
      <c r="N415" s="27" t="str">
        <f t="shared" si="27"/>
        <v>YES</v>
      </c>
    </row>
    <row r="416" spans="1:14" ht="15" customHeight="1" x14ac:dyDescent="0.25">
      <c r="A416" s="12">
        <v>46184</v>
      </c>
      <c r="B416" s="13" t="s">
        <v>106</v>
      </c>
      <c r="C416" s="13" t="s">
        <v>99</v>
      </c>
      <c r="D416" s="13" t="s">
        <v>97</v>
      </c>
      <c r="E416" s="14">
        <v>0.57999999999999996</v>
      </c>
      <c r="F416" s="13" t="s">
        <v>56</v>
      </c>
      <c r="G416" s="15">
        <v>310.7045</v>
      </c>
      <c r="H416" s="16">
        <v>325.22000000000003</v>
      </c>
      <c r="I416" s="16">
        <v>329.05</v>
      </c>
      <c r="K416" s="26">
        <f t="shared" si="24"/>
        <v>4.671802307337046E-2</v>
      </c>
      <c r="L416" s="26">
        <f t="shared" si="25"/>
        <v>5.9044848079123462E-2</v>
      </c>
      <c r="M416" s="26" t="str">
        <f t="shared" si="26"/>
        <v/>
      </c>
      <c r="N416" s="27" t="str">
        <f t="shared" si="27"/>
        <v>NO</v>
      </c>
    </row>
    <row r="417" spans="1:14" ht="15" customHeight="1" x14ac:dyDescent="0.25">
      <c r="A417" s="12">
        <v>46184</v>
      </c>
      <c r="B417" s="13" t="s">
        <v>100</v>
      </c>
      <c r="C417" s="13" t="s">
        <v>96</v>
      </c>
      <c r="D417" s="13" t="s">
        <v>97</v>
      </c>
      <c r="E417" s="14">
        <v>0.52</v>
      </c>
      <c r="F417" s="13" t="s">
        <v>56</v>
      </c>
      <c r="G417" s="15">
        <v>387.26</v>
      </c>
      <c r="H417" s="16">
        <v>379.4</v>
      </c>
      <c r="I417" s="16">
        <v>372.97</v>
      </c>
      <c r="K417" s="26">
        <f t="shared" si="24"/>
        <v>-2.0296441667097077E-2</v>
      </c>
      <c r="L417" s="26">
        <f t="shared" si="25"/>
        <v>-3.6900273717915516E-2</v>
      </c>
      <c r="M417" s="26" t="str">
        <f t="shared" si="26"/>
        <v/>
      </c>
      <c r="N417" s="27" t="str">
        <f t="shared" si="27"/>
        <v>YES</v>
      </c>
    </row>
    <row r="418" spans="1:14" ht="15" customHeight="1" x14ac:dyDescent="0.25">
      <c r="A418" s="12">
        <v>46184</v>
      </c>
      <c r="B418" s="13" t="s">
        <v>101</v>
      </c>
      <c r="C418" s="13" t="s">
        <v>99</v>
      </c>
      <c r="D418" s="13" t="s">
        <v>97</v>
      </c>
      <c r="E418" s="14">
        <v>0.42</v>
      </c>
      <c r="F418" s="13" t="s">
        <v>55</v>
      </c>
      <c r="G418" s="15">
        <v>44.555</v>
      </c>
      <c r="H418" s="16">
        <v>45.2</v>
      </c>
      <c r="I418" s="16">
        <v>40.75</v>
      </c>
      <c r="K418" s="26">
        <f t="shared" si="24"/>
        <v>1.4476489731792237E-2</v>
      </c>
      <c r="L418" s="26">
        <f t="shared" si="25"/>
        <v>-8.5400067332510377E-2</v>
      </c>
      <c r="M418" s="26" t="str">
        <f t="shared" si="26"/>
        <v/>
      </c>
      <c r="N418" s="27" t="str">
        <f t="shared" si="27"/>
        <v>YES</v>
      </c>
    </row>
    <row r="419" spans="1:14" ht="15" customHeight="1" x14ac:dyDescent="0.25">
      <c r="A419" s="12">
        <v>46184</v>
      </c>
      <c r="B419" s="13" t="s">
        <v>98</v>
      </c>
      <c r="C419" s="13" t="s">
        <v>96</v>
      </c>
      <c r="D419" s="13" t="s">
        <v>97</v>
      </c>
      <c r="E419" s="14">
        <v>0.48</v>
      </c>
      <c r="F419" s="13" t="s">
        <v>56</v>
      </c>
      <c r="G419" s="15">
        <v>66.239999999999995</v>
      </c>
      <c r="H419" s="16">
        <v>62.86</v>
      </c>
      <c r="I419" s="16">
        <v>60.98</v>
      </c>
      <c r="K419" s="26">
        <f t="shared" si="24"/>
        <v>-5.1026570048309114E-2</v>
      </c>
      <c r="L419" s="26">
        <f t="shared" si="25"/>
        <v>-7.9408212560386451E-2</v>
      </c>
      <c r="M419" s="26" t="str">
        <f t="shared" si="26"/>
        <v/>
      </c>
      <c r="N419" s="27" t="str">
        <f t="shared" si="27"/>
        <v>NO</v>
      </c>
    </row>
    <row r="420" spans="1:14" ht="15" customHeight="1" x14ac:dyDescent="0.25">
      <c r="A420" s="12">
        <v>46184</v>
      </c>
      <c r="B420" s="13" t="s">
        <v>110</v>
      </c>
      <c r="C420" s="13" t="s">
        <v>99</v>
      </c>
      <c r="D420" s="13" t="s">
        <v>97</v>
      </c>
      <c r="E420" s="14">
        <v>0.65</v>
      </c>
      <c r="F420" s="13" t="s">
        <v>55</v>
      </c>
      <c r="G420" s="15">
        <v>184.54</v>
      </c>
      <c r="H420" s="16">
        <v>178.4</v>
      </c>
      <c r="I420" s="16">
        <v>180.77</v>
      </c>
      <c r="K420" s="26">
        <f t="shared" si="24"/>
        <v>-3.3271919367074819E-2</v>
      </c>
      <c r="L420" s="26">
        <f t="shared" si="25"/>
        <v>-2.0429175246558913E-2</v>
      </c>
      <c r="M420" s="26" t="str">
        <f t="shared" si="26"/>
        <v/>
      </c>
      <c r="N420" s="27" t="str">
        <f t="shared" si="27"/>
        <v>NO</v>
      </c>
    </row>
    <row r="421" spans="1:14" ht="15" customHeight="1" x14ac:dyDescent="0.25">
      <c r="A421" s="12">
        <v>46184</v>
      </c>
      <c r="B421" s="13" t="s">
        <v>108</v>
      </c>
      <c r="C421" s="13" t="s">
        <v>99</v>
      </c>
      <c r="D421" s="13" t="s">
        <v>97</v>
      </c>
      <c r="E421" s="14">
        <v>0.52</v>
      </c>
      <c r="F421" s="13" t="s">
        <v>56</v>
      </c>
      <c r="G421" s="15">
        <v>666.15</v>
      </c>
      <c r="H421" s="16">
        <v>702.25</v>
      </c>
      <c r="I421" s="16">
        <v>687.87</v>
      </c>
      <c r="K421" s="26">
        <f t="shared" si="24"/>
        <v>5.4191998799069316E-2</v>
      </c>
      <c r="L421" s="26">
        <f t="shared" si="25"/>
        <v>3.2605269083539785E-2</v>
      </c>
      <c r="M421" s="26" t="str">
        <f t="shared" si="26"/>
        <v/>
      </c>
      <c r="N421" s="27" t="str">
        <f t="shared" si="27"/>
        <v>NO</v>
      </c>
    </row>
    <row r="422" spans="1:14" ht="15" customHeight="1" x14ac:dyDescent="0.25">
      <c r="A422" s="12">
        <v>46184</v>
      </c>
      <c r="B422" s="13" t="s">
        <v>115</v>
      </c>
      <c r="C422" s="13" t="s">
        <v>113</v>
      </c>
      <c r="D422" s="13" t="s">
        <v>97</v>
      </c>
      <c r="E422" s="14">
        <v>0.57999999999999996</v>
      </c>
      <c r="F422" s="13" t="s">
        <v>55</v>
      </c>
      <c r="G422" s="15">
        <v>181.29499999999999</v>
      </c>
      <c r="H422" s="16">
        <v>185.6</v>
      </c>
      <c r="I422" s="16">
        <v>187.99</v>
      </c>
      <c r="K422" s="26">
        <f t="shared" si="24"/>
        <v>2.3745828621859439E-2</v>
      </c>
      <c r="L422" s="26">
        <f t="shared" si="25"/>
        <v>3.6928762514134544E-2</v>
      </c>
      <c r="M422" s="26" t="str">
        <f t="shared" si="26"/>
        <v/>
      </c>
      <c r="N422" s="27" t="str">
        <f t="shared" si="27"/>
        <v>YES</v>
      </c>
    </row>
    <row r="423" spans="1:14" ht="15" customHeight="1" x14ac:dyDescent="0.25">
      <c r="A423" s="12">
        <v>46184</v>
      </c>
      <c r="B423" s="13" t="s">
        <v>102</v>
      </c>
      <c r="C423" s="13" t="s">
        <v>99</v>
      </c>
      <c r="D423" s="13" t="s">
        <v>97</v>
      </c>
      <c r="E423" s="14">
        <v>0.68</v>
      </c>
      <c r="F423" s="13" t="s">
        <v>55</v>
      </c>
      <c r="G423" s="15">
        <v>32.450000000000003</v>
      </c>
      <c r="H423" s="16">
        <v>31.86</v>
      </c>
      <c r="I423" s="16">
        <v>32.090000000000003</v>
      </c>
      <c r="K423" s="26">
        <f t="shared" si="24"/>
        <v>-1.8181818181818285E-2</v>
      </c>
      <c r="L423" s="26">
        <f t="shared" si="25"/>
        <v>-1.1093990755007686E-2</v>
      </c>
      <c r="M423" s="26" t="str">
        <f t="shared" si="26"/>
        <v/>
      </c>
      <c r="N423" s="27" t="str">
        <f t="shared" si="27"/>
        <v>YES</v>
      </c>
    </row>
    <row r="424" spans="1:14" ht="15" customHeight="1" x14ac:dyDescent="0.25">
      <c r="A424" s="12">
        <v>46184</v>
      </c>
      <c r="B424" s="13" t="s">
        <v>117</v>
      </c>
      <c r="C424" s="13" t="s">
        <v>113</v>
      </c>
      <c r="D424" s="13" t="s">
        <v>97</v>
      </c>
      <c r="E424" s="14">
        <v>0.42</v>
      </c>
      <c r="F424" s="13" t="s">
        <v>56</v>
      </c>
      <c r="G424" s="15">
        <v>5.2649999999999997</v>
      </c>
      <c r="H424" s="16">
        <v>4.79</v>
      </c>
      <c r="I424" s="16">
        <v>5.0199999999999996</v>
      </c>
      <c r="K424" s="26">
        <f t="shared" si="24"/>
        <v>-9.0218423551756827E-2</v>
      </c>
      <c r="L424" s="26">
        <f t="shared" si="25"/>
        <v>-4.6533713200379891E-2</v>
      </c>
      <c r="M424" s="26" t="str">
        <f t="shared" si="26"/>
        <v/>
      </c>
      <c r="N424" s="27" t="str">
        <f t="shared" si="27"/>
        <v>NO</v>
      </c>
    </row>
    <row r="425" spans="1:14" ht="15" customHeight="1" x14ac:dyDescent="0.25">
      <c r="A425" s="12">
        <v>46184</v>
      </c>
      <c r="B425" s="13" t="s">
        <v>95</v>
      </c>
      <c r="C425" s="13" t="s">
        <v>96</v>
      </c>
      <c r="D425" s="13" t="s">
        <v>97</v>
      </c>
      <c r="E425" s="14">
        <v>0.55000000000000004</v>
      </c>
      <c r="F425" s="13" t="s">
        <v>55</v>
      </c>
      <c r="G425" s="15">
        <v>120.88500000000001</v>
      </c>
      <c r="H425" s="16">
        <v>117.18</v>
      </c>
      <c r="I425" s="16">
        <v>115.69</v>
      </c>
      <c r="K425" s="26">
        <f t="shared" si="24"/>
        <v>-3.0648963891301634E-2</v>
      </c>
      <c r="L425" s="26">
        <f t="shared" si="25"/>
        <v>-4.2974728047317758E-2</v>
      </c>
      <c r="M425" s="26" t="str">
        <f t="shared" si="26"/>
        <v/>
      </c>
      <c r="N425" s="27" t="str">
        <f t="shared" si="27"/>
        <v>NO</v>
      </c>
    </row>
    <row r="426" spans="1:14" ht="15" customHeight="1" x14ac:dyDescent="0.25">
      <c r="A426" s="12">
        <v>46184</v>
      </c>
      <c r="B426" s="13" t="s">
        <v>109</v>
      </c>
      <c r="C426" s="13" t="s">
        <v>99</v>
      </c>
      <c r="D426" s="13" t="s">
        <v>97</v>
      </c>
      <c r="E426" s="14">
        <v>0.55000000000000004</v>
      </c>
      <c r="F426" s="13" t="s">
        <v>56</v>
      </c>
      <c r="G426" s="15">
        <v>44.465000000000003</v>
      </c>
      <c r="H426" s="16">
        <v>44.76</v>
      </c>
      <c r="I426" s="16">
        <v>46.2</v>
      </c>
      <c r="K426" s="26">
        <f t="shared" si="24"/>
        <v>6.6344315753962572E-3</v>
      </c>
      <c r="L426" s="26">
        <f t="shared" si="25"/>
        <v>3.9019453502754958E-2</v>
      </c>
      <c r="M426" s="26" t="str">
        <f t="shared" si="26"/>
        <v/>
      </c>
      <c r="N426" s="27" t="str">
        <f t="shared" si="27"/>
        <v>YES</v>
      </c>
    </row>
    <row r="427" spans="1:14" ht="15" customHeight="1" x14ac:dyDescent="0.25">
      <c r="A427" s="12">
        <v>46184</v>
      </c>
      <c r="B427" s="13" t="s">
        <v>118</v>
      </c>
      <c r="C427" s="13" t="s">
        <v>119</v>
      </c>
      <c r="D427" s="13" t="s">
        <v>97</v>
      </c>
      <c r="E427" s="14">
        <v>0.52</v>
      </c>
      <c r="F427" s="13" t="s">
        <v>56</v>
      </c>
      <c r="G427" s="15">
        <v>725.09</v>
      </c>
      <c r="H427" s="16">
        <v>746.74</v>
      </c>
      <c r="I427" s="16">
        <v>728.99</v>
      </c>
      <c r="K427" s="26">
        <f t="shared" si="24"/>
        <v>2.9858362410183532E-2</v>
      </c>
      <c r="L427" s="26">
        <f t="shared" si="25"/>
        <v>5.3786426512570538E-3</v>
      </c>
      <c r="M427" s="26" t="str">
        <f t="shared" si="26"/>
        <v/>
      </c>
      <c r="N427" s="27" t="str">
        <f t="shared" si="27"/>
        <v>YES</v>
      </c>
    </row>
    <row r="428" spans="1:14" ht="15" customHeight="1" x14ac:dyDescent="0.25">
      <c r="A428" s="12">
        <v>46184</v>
      </c>
      <c r="B428" s="13" t="s">
        <v>120</v>
      </c>
      <c r="C428" s="13" t="s">
        <v>119</v>
      </c>
      <c r="D428" s="13" t="s">
        <v>97</v>
      </c>
      <c r="E428" s="14">
        <v>0.47</v>
      </c>
      <c r="F428" s="13" t="s">
        <v>56</v>
      </c>
      <c r="G428" s="15">
        <v>695.83</v>
      </c>
      <c r="H428" s="16">
        <v>740.62</v>
      </c>
      <c r="I428" s="16">
        <v>706.52</v>
      </c>
      <c r="K428" s="26">
        <f t="shared" si="24"/>
        <v>6.436917063075745E-2</v>
      </c>
      <c r="L428" s="26">
        <f t="shared" si="25"/>
        <v>1.5362947846456664E-2</v>
      </c>
      <c r="M428" s="26" t="str">
        <f t="shared" si="26"/>
        <v/>
      </c>
      <c r="N428" s="27" t="str">
        <f t="shared" si="27"/>
        <v>NO</v>
      </c>
    </row>
    <row r="429" spans="1:14" ht="15" customHeight="1" x14ac:dyDescent="0.25">
      <c r="A429" s="12">
        <v>46184</v>
      </c>
      <c r="B429" s="13" t="s">
        <v>121</v>
      </c>
      <c r="C429" s="13" t="s">
        <v>119</v>
      </c>
      <c r="D429" s="13" t="s">
        <v>97</v>
      </c>
      <c r="E429" s="14">
        <v>0.52</v>
      </c>
      <c r="F429" s="13" t="s">
        <v>56</v>
      </c>
      <c r="G429" s="15">
        <v>358.25009999999997</v>
      </c>
      <c r="H429" s="16">
        <v>369.99</v>
      </c>
      <c r="I429" s="16">
        <v>362.22</v>
      </c>
      <c r="K429" s="26">
        <f t="shared" si="24"/>
        <v>3.2770123441696275E-2</v>
      </c>
      <c r="L429" s="26">
        <f t="shared" si="25"/>
        <v>1.1081364666751112E-2</v>
      </c>
      <c r="M429" s="26" t="str">
        <f t="shared" si="26"/>
        <v/>
      </c>
      <c r="N429" s="27" t="str">
        <f t="shared" si="27"/>
        <v>NO</v>
      </c>
    </row>
    <row r="430" spans="1:14" ht="15" customHeight="1" x14ac:dyDescent="0.25">
      <c r="A430" s="12">
        <v>46184</v>
      </c>
      <c r="B430" s="13" t="s">
        <v>122</v>
      </c>
      <c r="C430" s="13" t="s">
        <v>119</v>
      </c>
      <c r="D430" s="13" t="s">
        <v>124</v>
      </c>
      <c r="E430" s="14">
        <v>0.65</v>
      </c>
      <c r="F430" s="13" t="s">
        <v>56</v>
      </c>
      <c r="G430" s="15">
        <v>199.94</v>
      </c>
      <c r="H430" s="16">
        <v>210.15</v>
      </c>
      <c r="I430" s="16">
        <v>192.53</v>
      </c>
      <c r="K430" s="26">
        <f t="shared" si="24"/>
        <v>5.1065319595878803E-2</v>
      </c>
      <c r="L430" s="26">
        <f t="shared" si="25"/>
        <v>-3.7061118335500631E-2</v>
      </c>
      <c r="M430" s="26" t="str">
        <f t="shared" si="26"/>
        <v/>
      </c>
      <c r="N430" s="27" t="str">
        <f t="shared" si="27"/>
        <v>YES</v>
      </c>
    </row>
    <row r="431" spans="1:14" ht="15" customHeight="1" x14ac:dyDescent="0.25">
      <c r="A431" s="12">
        <v>46184</v>
      </c>
      <c r="B431" s="13" t="s">
        <v>123</v>
      </c>
      <c r="C431" s="13" t="s">
        <v>119</v>
      </c>
      <c r="D431" s="13" t="s">
        <v>97</v>
      </c>
      <c r="E431" s="14">
        <v>0.45</v>
      </c>
      <c r="F431" s="13" t="s">
        <v>56</v>
      </c>
      <c r="G431" s="15">
        <v>373.7568</v>
      </c>
      <c r="H431" s="16">
        <v>387.12</v>
      </c>
      <c r="I431" s="16">
        <v>373.63</v>
      </c>
      <c r="K431" s="26">
        <f t="shared" si="24"/>
        <v>3.5753730768242897E-2</v>
      </c>
      <c r="L431" s="26">
        <f t="shared" si="25"/>
        <v>-3.3925804159282965E-4</v>
      </c>
      <c r="M431" s="26" t="str">
        <f t="shared" si="26"/>
        <v/>
      </c>
      <c r="N431" s="27" t="str">
        <f t="shared" si="27"/>
        <v>NO</v>
      </c>
    </row>
    <row r="432" spans="1:14" ht="15" customHeight="1" x14ac:dyDescent="0.25">
      <c r="A432" s="12">
        <v>46185</v>
      </c>
      <c r="B432" s="13" t="s">
        <v>103</v>
      </c>
      <c r="C432" s="13" t="s">
        <v>99</v>
      </c>
      <c r="D432" s="13" t="s">
        <v>97</v>
      </c>
      <c r="E432" s="14">
        <v>0.52</v>
      </c>
      <c r="F432" s="13" t="s">
        <v>56</v>
      </c>
      <c r="G432" s="15">
        <v>292.07</v>
      </c>
      <c r="H432" s="16">
        <v>297.01</v>
      </c>
      <c r="I432" s="16">
        <v>281.74</v>
      </c>
      <c r="K432" s="26">
        <f t="shared" si="24"/>
        <v>1.6913753552230622E-2</v>
      </c>
      <c r="L432" s="26">
        <f t="shared" si="25"/>
        <v>-3.5368233642619866E-2</v>
      </c>
      <c r="M432" s="26" t="str">
        <f t="shared" si="26"/>
        <v/>
      </c>
      <c r="N432" s="27" t="str">
        <f t="shared" si="27"/>
        <v>YES</v>
      </c>
    </row>
    <row r="433" spans="1:14" ht="15" customHeight="1" x14ac:dyDescent="0.25">
      <c r="A433" s="12">
        <v>46185</v>
      </c>
      <c r="B433" s="13" t="s">
        <v>112</v>
      </c>
      <c r="C433" s="13" t="s">
        <v>113</v>
      </c>
      <c r="D433" s="13" t="s">
        <v>97</v>
      </c>
      <c r="E433" s="14">
        <v>0.42</v>
      </c>
      <c r="F433" s="13" t="s">
        <v>57</v>
      </c>
      <c r="G433" s="15">
        <v>17.2</v>
      </c>
      <c r="H433" s="16">
        <v>17.72</v>
      </c>
      <c r="I433" s="16">
        <v>16.809999999999999</v>
      </c>
      <c r="K433" s="26">
        <f t="shared" si="24"/>
        <v>3.0232558139534859E-2</v>
      </c>
      <c r="L433" s="26">
        <f t="shared" si="25"/>
        <v>-2.2674418604651195E-2</v>
      </c>
      <c r="M433" s="26" t="str">
        <f t="shared" si="26"/>
        <v/>
      </c>
      <c r="N433" s="27" t="str">
        <f t="shared" si="27"/>
        <v>NO</v>
      </c>
    </row>
    <row r="434" spans="1:14" ht="15" customHeight="1" x14ac:dyDescent="0.25">
      <c r="A434" s="12">
        <v>46185</v>
      </c>
      <c r="B434" s="13" t="s">
        <v>105</v>
      </c>
      <c r="C434" s="13" t="s">
        <v>96</v>
      </c>
      <c r="D434" s="13" t="s">
        <v>97</v>
      </c>
      <c r="E434" s="14">
        <v>0.55000000000000004</v>
      </c>
      <c r="F434" s="13" t="s">
        <v>56</v>
      </c>
      <c r="G434" s="15">
        <v>63.8</v>
      </c>
      <c r="H434" s="16">
        <v>67.09</v>
      </c>
      <c r="I434" s="16">
        <v>64.22</v>
      </c>
      <c r="K434" s="26">
        <f t="shared" si="24"/>
        <v>5.1567398119122358E-2</v>
      </c>
      <c r="L434" s="26">
        <f t="shared" si="25"/>
        <v>6.5830721003135063E-3</v>
      </c>
      <c r="M434" s="26" t="str">
        <f t="shared" si="26"/>
        <v/>
      </c>
      <c r="N434" s="27" t="str">
        <f t="shared" si="27"/>
        <v>NO</v>
      </c>
    </row>
    <row r="435" spans="1:14" ht="15" customHeight="1" x14ac:dyDescent="0.25">
      <c r="A435" s="12">
        <v>46185</v>
      </c>
      <c r="B435" s="13" t="s">
        <v>114</v>
      </c>
      <c r="C435" s="13" t="s">
        <v>113</v>
      </c>
      <c r="D435" s="13" t="s">
        <v>97</v>
      </c>
      <c r="E435" s="14">
        <v>0.38</v>
      </c>
      <c r="F435" s="13" t="s">
        <v>56</v>
      </c>
      <c r="G435" s="15">
        <v>213.9599</v>
      </c>
      <c r="H435" s="16">
        <v>224.43</v>
      </c>
      <c r="I435" s="16">
        <v>216.16</v>
      </c>
      <c r="K435" s="26">
        <f t="shared" si="24"/>
        <v>4.8934870506108862E-2</v>
      </c>
      <c r="L435" s="26">
        <f t="shared" si="25"/>
        <v>1.0282767939225957E-2</v>
      </c>
      <c r="M435" s="26" t="str">
        <f t="shared" si="26"/>
        <v/>
      </c>
      <c r="N435" s="27" t="str">
        <f t="shared" si="27"/>
        <v>NO</v>
      </c>
    </row>
    <row r="436" spans="1:14" ht="15" customHeight="1" x14ac:dyDescent="0.25">
      <c r="A436" s="12">
        <v>46185</v>
      </c>
      <c r="B436" s="13" t="s">
        <v>116</v>
      </c>
      <c r="C436" s="13" t="s">
        <v>113</v>
      </c>
      <c r="D436" s="13" t="s">
        <v>97</v>
      </c>
      <c r="E436" s="14">
        <v>0.42</v>
      </c>
      <c r="F436" s="13" t="s">
        <v>56</v>
      </c>
      <c r="G436" s="15">
        <v>16.887499999999999</v>
      </c>
      <c r="H436" s="16">
        <v>16.77</v>
      </c>
      <c r="I436" s="16">
        <v>16.46</v>
      </c>
      <c r="K436" s="26">
        <f t="shared" si="24"/>
        <v>-6.9578090303478741E-3</v>
      </c>
      <c r="L436" s="26">
        <f t="shared" si="25"/>
        <v>-2.5314581791265639E-2</v>
      </c>
      <c r="M436" s="26" t="str">
        <f t="shared" si="26"/>
        <v/>
      </c>
      <c r="N436" s="27" t="str">
        <f t="shared" si="27"/>
        <v>YES</v>
      </c>
    </row>
    <row r="437" spans="1:14" ht="15" customHeight="1" x14ac:dyDescent="0.25">
      <c r="A437" s="12">
        <v>46185</v>
      </c>
      <c r="B437" s="13" t="s">
        <v>104</v>
      </c>
      <c r="C437" s="13" t="s">
        <v>96</v>
      </c>
      <c r="D437" s="13" t="s">
        <v>97</v>
      </c>
      <c r="E437" s="14">
        <v>0.38</v>
      </c>
      <c r="F437" s="13" t="s">
        <v>55</v>
      </c>
      <c r="G437" s="15">
        <v>34.115000000000002</v>
      </c>
      <c r="H437" s="16">
        <v>30.79</v>
      </c>
      <c r="I437" s="16">
        <v>27.92</v>
      </c>
      <c r="K437" s="26">
        <f t="shared" si="24"/>
        <v>-9.7464458449362523E-2</v>
      </c>
      <c r="L437" s="26">
        <f t="shared" si="25"/>
        <v>-0.18159167521618055</v>
      </c>
      <c r="M437" s="26" t="str">
        <f t="shared" si="26"/>
        <v/>
      </c>
      <c r="N437" s="27" t="str">
        <f t="shared" si="27"/>
        <v>NO</v>
      </c>
    </row>
    <row r="438" spans="1:14" ht="15" customHeight="1" x14ac:dyDescent="0.25">
      <c r="A438" s="12">
        <v>46185</v>
      </c>
      <c r="B438" s="13" t="s">
        <v>111</v>
      </c>
      <c r="C438" s="13" t="s">
        <v>113</v>
      </c>
      <c r="D438" s="13" t="s">
        <v>97</v>
      </c>
      <c r="E438" s="14">
        <v>0.57999999999999996</v>
      </c>
      <c r="F438" s="13" t="s">
        <v>56</v>
      </c>
      <c r="G438" s="15">
        <v>70.25</v>
      </c>
      <c r="H438" s="16">
        <v>67.39</v>
      </c>
      <c r="I438" s="16">
        <v>65.23</v>
      </c>
      <c r="K438" s="26">
        <f t="shared" si="24"/>
        <v>-4.0711743772241987E-2</v>
      </c>
      <c r="L438" s="26">
        <f t="shared" si="25"/>
        <v>-7.1459074733096026E-2</v>
      </c>
      <c r="M438" s="26" t="str">
        <f t="shared" si="26"/>
        <v/>
      </c>
      <c r="N438" s="27" t="str">
        <f t="shared" si="27"/>
        <v>NO</v>
      </c>
    </row>
    <row r="439" spans="1:14" ht="15" customHeight="1" x14ac:dyDescent="0.25">
      <c r="A439" s="12">
        <v>46185</v>
      </c>
      <c r="B439" s="13" t="s">
        <v>107</v>
      </c>
      <c r="C439" s="13" t="s">
        <v>96</v>
      </c>
      <c r="D439" s="13" t="s">
        <v>97</v>
      </c>
      <c r="E439" s="14">
        <v>0.55000000000000004</v>
      </c>
      <c r="F439" s="13" t="s">
        <v>56</v>
      </c>
      <c r="G439" s="15">
        <v>81.045000000000002</v>
      </c>
      <c r="H439" s="16">
        <v>80.430000000000007</v>
      </c>
      <c r="I439" s="16">
        <v>77.34</v>
      </c>
      <c r="K439" s="26">
        <f t="shared" si="24"/>
        <v>-7.5883768276882582E-3</v>
      </c>
      <c r="L439" s="26">
        <f t="shared" si="25"/>
        <v>-4.5715343327780843E-2</v>
      </c>
      <c r="M439" s="26" t="str">
        <f t="shared" si="26"/>
        <v/>
      </c>
      <c r="N439" s="27" t="str">
        <f t="shared" si="27"/>
        <v>YES</v>
      </c>
    </row>
    <row r="440" spans="1:14" ht="15" customHeight="1" x14ac:dyDescent="0.25">
      <c r="A440" s="12">
        <v>46185</v>
      </c>
      <c r="B440" s="13" t="s">
        <v>106</v>
      </c>
      <c r="C440" s="13" t="s">
        <v>99</v>
      </c>
      <c r="D440" s="13" t="s">
        <v>97</v>
      </c>
      <c r="E440" s="14">
        <v>0.62</v>
      </c>
      <c r="F440" s="13" t="s">
        <v>56</v>
      </c>
      <c r="G440" s="15">
        <v>318.5</v>
      </c>
      <c r="H440" s="16">
        <v>331.48</v>
      </c>
      <c r="I440" s="16">
        <v>329.39</v>
      </c>
      <c r="K440" s="26">
        <f t="shared" si="24"/>
        <v>4.0753532182103668E-2</v>
      </c>
      <c r="L440" s="26">
        <f t="shared" si="25"/>
        <v>3.4191522762951294E-2</v>
      </c>
      <c r="M440" s="26" t="str">
        <f t="shared" si="26"/>
        <v/>
      </c>
      <c r="N440" s="27" t="str">
        <f t="shared" si="27"/>
        <v>NO</v>
      </c>
    </row>
    <row r="441" spans="1:14" ht="15" customHeight="1" x14ac:dyDescent="0.25">
      <c r="A441" s="12">
        <v>46185</v>
      </c>
      <c r="B441" s="13" t="s">
        <v>100</v>
      </c>
      <c r="C441" s="13" t="s">
        <v>96</v>
      </c>
      <c r="D441" s="13" t="s">
        <v>97</v>
      </c>
      <c r="E441" s="14">
        <v>0.52</v>
      </c>
      <c r="F441" s="13" t="s">
        <v>56</v>
      </c>
      <c r="G441" s="15">
        <v>384.57</v>
      </c>
      <c r="H441" s="16">
        <v>367.34</v>
      </c>
      <c r="I441" s="16">
        <v>368.57</v>
      </c>
      <c r="K441" s="26">
        <f t="shared" si="24"/>
        <v>-4.4803286787841012E-2</v>
      </c>
      <c r="L441" s="26">
        <f t="shared" si="25"/>
        <v>-4.1604909379306762E-2</v>
      </c>
      <c r="M441" s="26" t="str">
        <f t="shared" si="26"/>
        <v/>
      </c>
      <c r="N441" s="27" t="str">
        <f t="shared" si="27"/>
        <v>NO</v>
      </c>
    </row>
    <row r="442" spans="1:14" ht="15" customHeight="1" x14ac:dyDescent="0.25">
      <c r="A442" s="12">
        <v>46185</v>
      </c>
      <c r="B442" s="13" t="s">
        <v>101</v>
      </c>
      <c r="C442" s="13" t="s">
        <v>99</v>
      </c>
      <c r="D442" s="13" t="s">
        <v>97</v>
      </c>
      <c r="E442" s="14">
        <v>0.42</v>
      </c>
      <c r="F442" s="13" t="s">
        <v>55</v>
      </c>
      <c r="G442" s="15">
        <v>45.325000000000003</v>
      </c>
      <c r="H442" s="16">
        <v>43.19</v>
      </c>
      <c r="I442" s="16">
        <v>41.48</v>
      </c>
      <c r="K442" s="26">
        <f t="shared" si="24"/>
        <v>-4.7104247104247217E-2</v>
      </c>
      <c r="L442" s="26">
        <f t="shared" si="25"/>
        <v>-8.4831770546056381E-2</v>
      </c>
      <c r="M442" s="26" t="str">
        <f t="shared" si="26"/>
        <v/>
      </c>
      <c r="N442" s="27" t="str">
        <f t="shared" si="27"/>
        <v>NO</v>
      </c>
    </row>
    <row r="443" spans="1:14" ht="15" customHeight="1" x14ac:dyDescent="0.25">
      <c r="A443" s="12">
        <v>46185</v>
      </c>
      <c r="B443" s="13" t="s">
        <v>98</v>
      </c>
      <c r="C443" s="13" t="s">
        <v>96</v>
      </c>
      <c r="D443" s="13" t="s">
        <v>97</v>
      </c>
      <c r="E443" s="14">
        <v>0.52</v>
      </c>
      <c r="F443" s="13" t="s">
        <v>56</v>
      </c>
      <c r="G443" s="15">
        <v>67.3</v>
      </c>
      <c r="H443" s="16">
        <v>62.25</v>
      </c>
      <c r="I443" s="16">
        <v>61.18</v>
      </c>
      <c r="K443" s="26">
        <f t="shared" si="24"/>
        <v>-7.5037147102525958E-2</v>
      </c>
      <c r="L443" s="26">
        <f t="shared" si="25"/>
        <v>-9.0936106983655243E-2</v>
      </c>
      <c r="M443" s="26" t="str">
        <f t="shared" si="26"/>
        <v/>
      </c>
      <c r="N443" s="27" t="str">
        <f t="shared" si="27"/>
        <v>NO</v>
      </c>
    </row>
    <row r="444" spans="1:14" ht="15" customHeight="1" x14ac:dyDescent="0.25">
      <c r="A444" s="12">
        <v>46185</v>
      </c>
      <c r="B444" s="13" t="s">
        <v>110</v>
      </c>
      <c r="C444" s="13" t="s">
        <v>99</v>
      </c>
      <c r="D444" s="13" t="s">
        <v>97</v>
      </c>
      <c r="E444" s="14">
        <v>0.65</v>
      </c>
      <c r="F444" s="13" t="s">
        <v>55</v>
      </c>
      <c r="G444" s="15">
        <v>184.01</v>
      </c>
      <c r="H444" s="16">
        <v>173.17</v>
      </c>
      <c r="I444" s="16">
        <v>182.87</v>
      </c>
      <c r="K444" s="26">
        <f t="shared" si="24"/>
        <v>-5.8909841856420869E-2</v>
      </c>
      <c r="L444" s="26">
        <f t="shared" si="25"/>
        <v>-6.1953154719851444E-3</v>
      </c>
      <c r="M444" s="26" t="str">
        <f t="shared" si="26"/>
        <v/>
      </c>
      <c r="N444" s="27" t="str">
        <f t="shared" si="27"/>
        <v>NO</v>
      </c>
    </row>
    <row r="445" spans="1:14" ht="15" customHeight="1" x14ac:dyDescent="0.25">
      <c r="A445" s="12">
        <v>46185</v>
      </c>
      <c r="B445" s="13" t="s">
        <v>108</v>
      </c>
      <c r="C445" s="13" t="s">
        <v>99</v>
      </c>
      <c r="D445" s="13" t="s">
        <v>97</v>
      </c>
      <c r="E445" s="14">
        <v>0.62</v>
      </c>
      <c r="F445" s="13" t="s">
        <v>55</v>
      </c>
      <c r="G445" s="15">
        <v>705.27</v>
      </c>
      <c r="H445" s="16">
        <v>740.14</v>
      </c>
      <c r="I445" s="16">
        <v>714.45</v>
      </c>
      <c r="K445" s="26">
        <f t="shared" si="24"/>
        <v>4.9442057651679507E-2</v>
      </c>
      <c r="L445" s="26">
        <f t="shared" si="25"/>
        <v>1.301629163299171E-2</v>
      </c>
      <c r="M445" s="26" t="str">
        <f t="shared" si="26"/>
        <v/>
      </c>
      <c r="N445" s="27" t="str">
        <f t="shared" si="27"/>
        <v>NO</v>
      </c>
    </row>
    <row r="446" spans="1:14" ht="15" customHeight="1" x14ac:dyDescent="0.25">
      <c r="A446" s="12">
        <v>46185</v>
      </c>
      <c r="B446" s="13" t="s">
        <v>115</v>
      </c>
      <c r="C446" s="13" t="s">
        <v>113</v>
      </c>
      <c r="D446" s="13" t="s">
        <v>97</v>
      </c>
      <c r="E446" s="14">
        <v>0.57999999999999996</v>
      </c>
      <c r="F446" s="13" t="s">
        <v>56</v>
      </c>
      <c r="G446" s="15">
        <v>183.7</v>
      </c>
      <c r="H446" s="16">
        <v>181.83</v>
      </c>
      <c r="I446" s="16">
        <v>187.33</v>
      </c>
      <c r="K446" s="26">
        <f t="shared" si="24"/>
        <v>-1.0179640718562744E-2</v>
      </c>
      <c r="L446" s="26">
        <f t="shared" si="25"/>
        <v>1.9760479041916298E-2</v>
      </c>
      <c r="M446" s="26" t="str">
        <f t="shared" si="26"/>
        <v/>
      </c>
      <c r="N446" s="27" t="str">
        <f t="shared" si="27"/>
        <v>YES</v>
      </c>
    </row>
    <row r="447" spans="1:14" ht="15" customHeight="1" x14ac:dyDescent="0.25">
      <c r="A447" s="12">
        <v>46185</v>
      </c>
      <c r="B447" s="13" t="s">
        <v>102</v>
      </c>
      <c r="C447" s="13" t="s">
        <v>99</v>
      </c>
      <c r="D447" s="13" t="s">
        <v>97</v>
      </c>
      <c r="E447" s="14">
        <v>0.72</v>
      </c>
      <c r="F447" s="13" t="s">
        <v>55</v>
      </c>
      <c r="G447" s="15">
        <v>32.765000000000001</v>
      </c>
      <c r="H447" s="16">
        <v>31.89</v>
      </c>
      <c r="I447" s="16">
        <v>31.93</v>
      </c>
      <c r="K447" s="26">
        <f t="shared" si="24"/>
        <v>-2.6705325804974821E-2</v>
      </c>
      <c r="L447" s="26">
        <f t="shared" si="25"/>
        <v>-2.548451091103314E-2</v>
      </c>
      <c r="M447" s="26" t="str">
        <f t="shared" si="26"/>
        <v/>
      </c>
      <c r="N447" s="27" t="str">
        <f t="shared" si="27"/>
        <v>YES</v>
      </c>
    </row>
    <row r="448" spans="1:14" ht="15" customHeight="1" x14ac:dyDescent="0.25">
      <c r="A448" s="12">
        <v>46185</v>
      </c>
      <c r="B448" s="13" t="s">
        <v>117</v>
      </c>
      <c r="C448" s="13" t="s">
        <v>113</v>
      </c>
      <c r="D448" s="13" t="s">
        <v>97</v>
      </c>
      <c r="E448" s="14">
        <v>0.45</v>
      </c>
      <c r="F448" s="13" t="s">
        <v>57</v>
      </c>
      <c r="G448" s="15">
        <v>5.31</v>
      </c>
      <c r="H448" s="16">
        <v>4.6500000000000004</v>
      </c>
      <c r="I448" s="16">
        <v>5</v>
      </c>
      <c r="K448" s="26">
        <f t="shared" si="24"/>
        <v>-0.12429378531073433</v>
      </c>
      <c r="L448" s="26">
        <f t="shared" si="25"/>
        <v>-5.8380414312617632E-2</v>
      </c>
      <c r="M448" s="26" t="str">
        <f t="shared" si="26"/>
        <v/>
      </c>
      <c r="N448" s="27" t="str">
        <f t="shared" si="27"/>
        <v>NO</v>
      </c>
    </row>
    <row r="449" spans="1:14" ht="15" customHeight="1" x14ac:dyDescent="0.25">
      <c r="A449" s="12">
        <v>46185</v>
      </c>
      <c r="B449" s="13" t="s">
        <v>95</v>
      </c>
      <c r="C449" s="13" t="s">
        <v>96</v>
      </c>
      <c r="D449" s="13" t="s">
        <v>97</v>
      </c>
      <c r="E449" s="14">
        <v>0.52</v>
      </c>
      <c r="F449" s="13" t="s">
        <v>56</v>
      </c>
      <c r="G449" s="15">
        <v>120.155</v>
      </c>
      <c r="H449" s="16">
        <v>117.18</v>
      </c>
      <c r="I449" s="16">
        <v>114.6</v>
      </c>
      <c r="K449" s="26">
        <f t="shared" si="24"/>
        <v>-2.4759685406350082E-2</v>
      </c>
      <c r="L449" s="26">
        <f t="shared" si="25"/>
        <v>-4.623195039740341E-2</v>
      </c>
      <c r="M449" s="26" t="str">
        <f t="shared" si="26"/>
        <v/>
      </c>
      <c r="N449" s="27" t="str">
        <f t="shared" si="27"/>
        <v>YES</v>
      </c>
    </row>
    <row r="450" spans="1:14" ht="15" customHeight="1" x14ac:dyDescent="0.25">
      <c r="A450" s="12">
        <v>46185</v>
      </c>
      <c r="B450" s="13" t="s">
        <v>109</v>
      </c>
      <c r="C450" s="13" t="s">
        <v>99</v>
      </c>
      <c r="D450" s="13" t="s">
        <v>97</v>
      </c>
      <c r="E450" s="14">
        <v>0.55000000000000004</v>
      </c>
      <c r="F450" s="13" t="s">
        <v>56</v>
      </c>
      <c r="G450" s="15">
        <v>44.5</v>
      </c>
      <c r="H450" s="16">
        <v>44.72</v>
      </c>
      <c r="I450" s="16">
        <v>46.02</v>
      </c>
      <c r="K450" s="26">
        <f t="shared" si="24"/>
        <v>4.9438202247190756E-3</v>
      </c>
      <c r="L450" s="26">
        <f t="shared" si="25"/>
        <v>3.4157303370786589E-2</v>
      </c>
      <c r="M450" s="26" t="str">
        <f t="shared" si="26"/>
        <v/>
      </c>
      <c r="N450" s="27" t="str">
        <f t="shared" si="27"/>
        <v>YES</v>
      </c>
    </row>
    <row r="451" spans="1:14" ht="15" customHeight="1" x14ac:dyDescent="0.25">
      <c r="A451" s="12">
        <v>46185</v>
      </c>
      <c r="B451" s="13" t="s">
        <v>118</v>
      </c>
      <c r="C451" s="13" t="s">
        <v>119</v>
      </c>
      <c r="D451" s="13" t="s">
        <v>97</v>
      </c>
      <c r="E451" s="14">
        <v>0.52</v>
      </c>
      <c r="F451" s="13" t="s">
        <v>55</v>
      </c>
      <c r="G451" s="15">
        <v>739.74</v>
      </c>
      <c r="H451" s="16">
        <v>744.39</v>
      </c>
      <c r="I451" s="16">
        <v>741</v>
      </c>
      <c r="K451" s="26">
        <f t="shared" si="24"/>
        <v>6.285992375699539E-3</v>
      </c>
      <c r="L451" s="26">
        <f t="shared" si="25"/>
        <v>1.7033011598669679E-3</v>
      </c>
      <c r="M451" s="26" t="str">
        <f t="shared" si="26"/>
        <v/>
      </c>
      <c r="N451" s="27" t="str">
        <f t="shared" si="27"/>
        <v>YES</v>
      </c>
    </row>
    <row r="452" spans="1:14" ht="15" customHeight="1" x14ac:dyDescent="0.25">
      <c r="A452" s="12">
        <v>46185</v>
      </c>
      <c r="B452" s="13" t="s">
        <v>120</v>
      </c>
      <c r="C452" s="13" t="s">
        <v>119</v>
      </c>
      <c r="D452" s="13" t="s">
        <v>97</v>
      </c>
      <c r="E452" s="14">
        <v>0.45</v>
      </c>
      <c r="F452" s="13" t="s">
        <v>56</v>
      </c>
      <c r="G452" s="15">
        <v>718.54</v>
      </c>
      <c r="H452" s="16">
        <v>737.95</v>
      </c>
      <c r="I452" s="16">
        <v>724.08</v>
      </c>
      <c r="K452" s="26">
        <f t="shared" si="24"/>
        <v>2.7013109917332485E-2</v>
      </c>
      <c r="L452" s="26">
        <f t="shared" si="25"/>
        <v>7.71007877084098E-3</v>
      </c>
      <c r="M452" s="26" t="str">
        <f t="shared" si="26"/>
        <v/>
      </c>
      <c r="N452" s="27" t="str">
        <f t="shared" si="27"/>
        <v>YES</v>
      </c>
    </row>
    <row r="453" spans="1:14" ht="15" customHeight="1" x14ac:dyDescent="0.25">
      <c r="A453" s="12">
        <v>46185</v>
      </c>
      <c r="B453" s="13" t="s">
        <v>121</v>
      </c>
      <c r="C453" s="13" t="s">
        <v>119</v>
      </c>
      <c r="D453" s="13" t="s">
        <v>124</v>
      </c>
      <c r="E453" s="14">
        <v>0.68</v>
      </c>
      <c r="F453" s="13" t="s">
        <v>55</v>
      </c>
      <c r="G453" s="15">
        <v>365.62</v>
      </c>
      <c r="H453" s="16">
        <v>368.81</v>
      </c>
      <c r="I453" s="16">
        <v>367.12</v>
      </c>
      <c r="K453" s="26">
        <f t="shared" ref="K453:K516" si="28">IF(H453="","",(H453-G453)/G453)</f>
        <v>8.7249056397352386E-3</v>
      </c>
      <c r="L453" s="26">
        <f t="shared" ref="L453:L516" si="29">IF(I453="","",(I453-G453)/G453)</f>
        <v>4.1026202067720582E-3</v>
      </c>
      <c r="M453" s="26" t="str">
        <f t="shared" ref="M453:M516" si="30">IF(J453="","",(J453-G453)/G453)</f>
        <v/>
      </c>
      <c r="N453" s="27" t="str">
        <f t="shared" ref="N453:N516" si="31">IF(H453="","",IF(D453="HOLD",IF(ABS(K453)&lt;0.03,"YES","NO"),IF(D453="BUY",IF(K453&gt;0,"YES","NO"),IF(D453="SELL",IF(K453&lt;0,"YES","NO"),""))))</f>
        <v>YES</v>
      </c>
    </row>
    <row r="454" spans="1:14" ht="15" customHeight="1" x14ac:dyDescent="0.25">
      <c r="A454" s="12">
        <v>46185</v>
      </c>
      <c r="B454" s="13" t="s">
        <v>122</v>
      </c>
      <c r="C454" s="13" t="s">
        <v>119</v>
      </c>
      <c r="D454" s="13" t="s">
        <v>124</v>
      </c>
      <c r="E454" s="14">
        <v>0.62</v>
      </c>
      <c r="F454" s="13" t="s">
        <v>56</v>
      </c>
      <c r="G454" s="15">
        <v>205.59700000000001</v>
      </c>
      <c r="H454" s="16">
        <v>208.65</v>
      </c>
      <c r="I454" s="16">
        <v>194.97</v>
      </c>
      <c r="K454" s="26">
        <f t="shared" si="28"/>
        <v>1.4849438464569022E-2</v>
      </c>
      <c r="L454" s="26">
        <f t="shared" si="29"/>
        <v>-5.1688497400253941E-2</v>
      </c>
      <c r="M454" s="26" t="str">
        <f t="shared" si="30"/>
        <v/>
      </c>
      <c r="N454" s="27" t="str">
        <f t="shared" si="31"/>
        <v>YES</v>
      </c>
    </row>
    <row r="455" spans="1:14" ht="15" customHeight="1" x14ac:dyDescent="0.25">
      <c r="A455" s="12">
        <v>46185</v>
      </c>
      <c r="B455" s="13" t="s">
        <v>123</v>
      </c>
      <c r="C455" s="13" t="s">
        <v>119</v>
      </c>
      <c r="D455" s="13" t="s">
        <v>97</v>
      </c>
      <c r="E455" s="14">
        <v>0.48</v>
      </c>
      <c r="F455" s="13" t="s">
        <v>56</v>
      </c>
      <c r="G455" s="15">
        <v>384.33</v>
      </c>
      <c r="H455" s="16">
        <v>384.59</v>
      </c>
      <c r="I455" s="16">
        <v>368.58</v>
      </c>
      <c r="K455" s="26">
        <f t="shared" si="28"/>
        <v>6.7650196445760387E-4</v>
      </c>
      <c r="L455" s="26">
        <f t="shared" si="29"/>
        <v>-4.0980407462337054E-2</v>
      </c>
      <c r="M455" s="26" t="str">
        <f t="shared" si="30"/>
        <v/>
      </c>
      <c r="N455" s="27" t="str">
        <f t="shared" si="31"/>
        <v>YES</v>
      </c>
    </row>
    <row r="456" spans="1:14" ht="15" customHeight="1" x14ac:dyDescent="0.25">
      <c r="A456" s="12">
        <v>46188</v>
      </c>
      <c r="B456" s="13" t="s">
        <v>103</v>
      </c>
      <c r="C456" s="13" t="s">
        <v>99</v>
      </c>
      <c r="D456" s="13" t="s">
        <v>97</v>
      </c>
      <c r="E456" s="14">
        <v>0.57999999999999996</v>
      </c>
      <c r="F456" s="13" t="s">
        <v>55</v>
      </c>
      <c r="G456" s="15">
        <v>295.45999999999998</v>
      </c>
      <c r="H456" s="16">
        <v>294.3</v>
      </c>
      <c r="I456" s="16">
        <v>289.36</v>
      </c>
      <c r="K456" s="26">
        <f t="shared" si="28"/>
        <v>-3.9260813646516219E-3</v>
      </c>
      <c r="L456" s="26">
        <f t="shared" si="29"/>
        <v>-2.0645772693427083E-2</v>
      </c>
      <c r="M456" s="26" t="str">
        <f t="shared" si="30"/>
        <v/>
      </c>
      <c r="N456" s="27" t="str">
        <f t="shared" si="31"/>
        <v>YES</v>
      </c>
    </row>
    <row r="457" spans="1:14" ht="15" customHeight="1" x14ac:dyDescent="0.25">
      <c r="A457" s="12">
        <v>46188</v>
      </c>
      <c r="B457" s="13" t="s">
        <v>112</v>
      </c>
      <c r="C457" s="13" t="s">
        <v>113</v>
      </c>
      <c r="D457" s="13" t="s">
        <v>97</v>
      </c>
      <c r="E457" s="14">
        <v>0.52</v>
      </c>
      <c r="F457" s="13" t="s">
        <v>56</v>
      </c>
      <c r="G457" s="15">
        <v>19.239999999999998</v>
      </c>
      <c r="H457" s="16">
        <v>16.5</v>
      </c>
      <c r="I457" s="16">
        <v>16.96</v>
      </c>
      <c r="K457" s="26">
        <f t="shared" si="28"/>
        <v>-0.14241164241164234</v>
      </c>
      <c r="L457" s="26">
        <f t="shared" si="29"/>
        <v>-0.11850311850311838</v>
      </c>
      <c r="M457" s="26" t="str">
        <f t="shared" si="30"/>
        <v/>
      </c>
      <c r="N457" s="27" t="str">
        <f t="shared" si="31"/>
        <v>NO</v>
      </c>
    </row>
    <row r="458" spans="1:14" ht="15" customHeight="1" x14ac:dyDescent="0.25">
      <c r="A458" s="12">
        <v>46188</v>
      </c>
      <c r="B458" s="13" t="s">
        <v>105</v>
      </c>
      <c r="C458" s="13" t="s">
        <v>96</v>
      </c>
      <c r="D458" s="13" t="s">
        <v>97</v>
      </c>
      <c r="E458" s="14">
        <v>0.62</v>
      </c>
      <c r="F458" s="13" t="s">
        <v>55</v>
      </c>
      <c r="G458" s="15">
        <v>66.209999999999994</v>
      </c>
      <c r="H458" s="16">
        <v>63.35</v>
      </c>
      <c r="I458" s="16">
        <v>65.61</v>
      </c>
      <c r="K458" s="26">
        <f t="shared" si="28"/>
        <v>-4.3195891859235655E-2</v>
      </c>
      <c r="L458" s="26">
        <f t="shared" si="29"/>
        <v>-9.0620752152242006E-3</v>
      </c>
      <c r="M458" s="26" t="str">
        <f t="shared" si="30"/>
        <v/>
      </c>
      <c r="N458" s="27" t="str">
        <f t="shared" si="31"/>
        <v>NO</v>
      </c>
    </row>
    <row r="459" spans="1:14" ht="15" customHeight="1" x14ac:dyDescent="0.25">
      <c r="A459" s="12">
        <v>46188</v>
      </c>
      <c r="B459" s="13" t="s">
        <v>114</v>
      </c>
      <c r="C459" s="13" t="s">
        <v>113</v>
      </c>
      <c r="D459" s="13" t="s">
        <v>97</v>
      </c>
      <c r="E459" s="14">
        <v>0.42</v>
      </c>
      <c r="F459" s="13" t="s">
        <v>56</v>
      </c>
      <c r="G459" s="15">
        <v>214.0599</v>
      </c>
      <c r="H459" s="16">
        <v>226.72</v>
      </c>
      <c r="I459" s="16">
        <v>221</v>
      </c>
      <c r="K459" s="26">
        <f t="shared" si="28"/>
        <v>5.9142791340180946E-2</v>
      </c>
      <c r="L459" s="26">
        <f t="shared" si="29"/>
        <v>3.2421298898112169E-2</v>
      </c>
      <c r="M459" s="26" t="str">
        <f t="shared" si="30"/>
        <v/>
      </c>
      <c r="N459" s="27" t="str">
        <f t="shared" si="31"/>
        <v>NO</v>
      </c>
    </row>
    <row r="460" spans="1:14" ht="15" customHeight="1" x14ac:dyDescent="0.25">
      <c r="A460" s="12">
        <v>46188</v>
      </c>
      <c r="B460" s="13" t="s">
        <v>116</v>
      </c>
      <c r="C460" s="13" t="s">
        <v>113</v>
      </c>
      <c r="D460" s="13" t="s">
        <v>97</v>
      </c>
      <c r="E460" s="14">
        <v>0.42</v>
      </c>
      <c r="F460" s="13" t="s">
        <v>56</v>
      </c>
      <c r="G460" s="15">
        <v>16.88</v>
      </c>
      <c r="H460" s="16">
        <v>16.739999999999998</v>
      </c>
      <c r="I460" s="16">
        <v>16.75</v>
      </c>
      <c r="K460" s="26">
        <f t="shared" si="28"/>
        <v>-8.2938388625592753E-3</v>
      </c>
      <c r="L460" s="26">
        <f t="shared" si="29"/>
        <v>-7.7014218009478089E-3</v>
      </c>
      <c r="M460" s="26" t="str">
        <f t="shared" si="30"/>
        <v/>
      </c>
      <c r="N460" s="27" t="str">
        <f t="shared" si="31"/>
        <v>YES</v>
      </c>
    </row>
    <row r="461" spans="1:14" ht="15" customHeight="1" x14ac:dyDescent="0.25">
      <c r="A461" s="12">
        <v>46188</v>
      </c>
      <c r="B461" s="13" t="s">
        <v>104</v>
      </c>
      <c r="C461" s="13" t="s">
        <v>96</v>
      </c>
      <c r="D461" s="13" t="s">
        <v>97</v>
      </c>
      <c r="E461" s="14">
        <v>0.38</v>
      </c>
      <c r="F461" s="13" t="s">
        <v>56</v>
      </c>
      <c r="G461" s="15">
        <v>32.575000000000003</v>
      </c>
      <c r="H461" s="16">
        <v>30.33</v>
      </c>
      <c r="I461" s="16">
        <v>27.36</v>
      </c>
      <c r="K461" s="26">
        <f t="shared" si="28"/>
        <v>-6.8917881811205048E-2</v>
      </c>
      <c r="L461" s="26">
        <f t="shared" si="29"/>
        <v>-0.16009209516500392</v>
      </c>
      <c r="M461" s="26" t="str">
        <f t="shared" si="30"/>
        <v/>
      </c>
      <c r="N461" s="27" t="str">
        <f t="shared" si="31"/>
        <v>NO</v>
      </c>
    </row>
    <row r="462" spans="1:14" ht="15" customHeight="1" x14ac:dyDescent="0.25">
      <c r="A462" s="12">
        <v>46188</v>
      </c>
      <c r="B462" s="13" t="s">
        <v>111</v>
      </c>
      <c r="C462" s="13" t="s">
        <v>113</v>
      </c>
      <c r="D462" s="13" t="s">
        <v>97</v>
      </c>
      <c r="E462" s="14">
        <v>0.62</v>
      </c>
      <c r="F462" s="13" t="s">
        <v>55</v>
      </c>
      <c r="G462" s="15">
        <v>69.459999999999994</v>
      </c>
      <c r="H462" s="16">
        <v>66.14</v>
      </c>
      <c r="I462" s="16">
        <v>66.3</v>
      </c>
      <c r="K462" s="26">
        <f t="shared" si="28"/>
        <v>-4.7797293406276899E-2</v>
      </c>
      <c r="L462" s="26">
        <f t="shared" si="29"/>
        <v>-4.5493809386697337E-2</v>
      </c>
      <c r="M462" s="26" t="str">
        <f t="shared" si="30"/>
        <v/>
      </c>
      <c r="N462" s="27" t="str">
        <f t="shared" si="31"/>
        <v>NO</v>
      </c>
    </row>
    <row r="463" spans="1:14" ht="15" customHeight="1" x14ac:dyDescent="0.25">
      <c r="A463" s="12">
        <v>46188</v>
      </c>
      <c r="B463" s="13" t="s">
        <v>107</v>
      </c>
      <c r="C463" s="13" t="s">
        <v>96</v>
      </c>
      <c r="D463" s="13" t="s">
        <v>97</v>
      </c>
      <c r="E463" s="14">
        <v>0.57999999999999996</v>
      </c>
      <c r="F463" s="13" t="s">
        <v>56</v>
      </c>
      <c r="G463" s="15">
        <v>83.474999999999994</v>
      </c>
      <c r="H463" s="16">
        <v>78.95</v>
      </c>
      <c r="I463" s="16">
        <v>77.08</v>
      </c>
      <c r="K463" s="26">
        <f t="shared" si="28"/>
        <v>-5.4207846660676753E-2</v>
      </c>
      <c r="L463" s="26">
        <f t="shared" si="29"/>
        <v>-7.6609763402216188E-2</v>
      </c>
      <c r="M463" s="26" t="str">
        <f t="shared" si="30"/>
        <v/>
      </c>
      <c r="N463" s="27" t="str">
        <f t="shared" si="31"/>
        <v>NO</v>
      </c>
    </row>
    <row r="464" spans="1:14" ht="15" customHeight="1" x14ac:dyDescent="0.25">
      <c r="A464" s="12">
        <v>46188</v>
      </c>
      <c r="B464" s="13" t="s">
        <v>106</v>
      </c>
      <c r="C464" s="13" t="s">
        <v>99</v>
      </c>
      <c r="D464" s="13" t="s">
        <v>97</v>
      </c>
      <c r="E464" s="14">
        <v>0.63</v>
      </c>
      <c r="F464" s="13" t="s">
        <v>55</v>
      </c>
      <c r="G464" s="15">
        <v>321.52</v>
      </c>
      <c r="H464" s="16">
        <v>334.14</v>
      </c>
      <c r="I464" s="16">
        <v>327.33</v>
      </c>
      <c r="K464" s="26">
        <f t="shared" si="28"/>
        <v>3.925105747698434E-2</v>
      </c>
      <c r="L464" s="26">
        <f t="shared" si="29"/>
        <v>1.807041552625032E-2</v>
      </c>
      <c r="M464" s="26" t="str">
        <f t="shared" si="30"/>
        <v/>
      </c>
      <c r="N464" s="27" t="str">
        <f t="shared" si="31"/>
        <v>NO</v>
      </c>
    </row>
    <row r="465" spans="1:14" ht="15" customHeight="1" x14ac:dyDescent="0.25">
      <c r="A465" s="12">
        <v>46188</v>
      </c>
      <c r="B465" s="13" t="s">
        <v>100</v>
      </c>
      <c r="C465" s="13" t="s">
        <v>96</v>
      </c>
      <c r="D465" s="13" t="s">
        <v>97</v>
      </c>
      <c r="E465" s="14">
        <v>0.55000000000000004</v>
      </c>
      <c r="F465" s="13" t="s">
        <v>55</v>
      </c>
      <c r="G465" s="15">
        <v>397.87</v>
      </c>
      <c r="H465" s="16">
        <v>373.94</v>
      </c>
      <c r="I465" s="16">
        <v>373.02</v>
      </c>
      <c r="K465" s="26">
        <f t="shared" si="28"/>
        <v>-6.0145273581823228E-2</v>
      </c>
      <c r="L465" s="26">
        <f t="shared" si="29"/>
        <v>-6.245758664890548E-2</v>
      </c>
      <c r="M465" s="26" t="str">
        <f t="shared" si="30"/>
        <v/>
      </c>
      <c r="N465" s="27" t="str">
        <f t="shared" si="31"/>
        <v>NO</v>
      </c>
    </row>
    <row r="466" spans="1:14" ht="15" customHeight="1" x14ac:dyDescent="0.25">
      <c r="A466" s="12">
        <v>46188</v>
      </c>
      <c r="B466" s="13" t="s">
        <v>101</v>
      </c>
      <c r="C466" s="13" t="s">
        <v>99</v>
      </c>
      <c r="D466" s="13" t="s">
        <v>97</v>
      </c>
      <c r="E466" s="14">
        <v>0.52</v>
      </c>
      <c r="F466" s="13" t="s">
        <v>55</v>
      </c>
      <c r="G466" s="15">
        <v>45.56</v>
      </c>
      <c r="H466" s="16">
        <v>42.38</v>
      </c>
      <c r="I466" s="16">
        <v>41.05</v>
      </c>
      <c r="K466" s="26">
        <f t="shared" si="28"/>
        <v>-6.9798068481123784E-2</v>
      </c>
      <c r="L466" s="26">
        <f t="shared" si="29"/>
        <v>-9.8990342405619075E-2</v>
      </c>
      <c r="M466" s="26" t="str">
        <f t="shared" si="30"/>
        <v/>
      </c>
      <c r="N466" s="27" t="str">
        <f t="shared" si="31"/>
        <v>NO</v>
      </c>
    </row>
    <row r="467" spans="1:14" ht="15" customHeight="1" x14ac:dyDescent="0.25">
      <c r="A467" s="12">
        <v>46188</v>
      </c>
      <c r="B467" s="13" t="s">
        <v>98</v>
      </c>
      <c r="C467" s="13" t="s">
        <v>96</v>
      </c>
      <c r="D467" s="13" t="s">
        <v>97</v>
      </c>
      <c r="E467" s="14">
        <v>0.52</v>
      </c>
      <c r="F467" s="13" t="s">
        <v>55</v>
      </c>
      <c r="G467" s="15">
        <v>66.430000000000007</v>
      </c>
      <c r="H467" s="16">
        <v>61.54</v>
      </c>
      <c r="I467" s="16">
        <v>62.95</v>
      </c>
      <c r="K467" s="26">
        <f t="shared" si="28"/>
        <v>-7.3611320186662763E-2</v>
      </c>
      <c r="L467" s="26">
        <f t="shared" si="29"/>
        <v>-5.2385970194189425E-2</v>
      </c>
      <c r="M467" s="26" t="str">
        <f t="shared" si="30"/>
        <v/>
      </c>
      <c r="N467" s="27" t="str">
        <f t="shared" si="31"/>
        <v>NO</v>
      </c>
    </row>
    <row r="468" spans="1:14" ht="15" customHeight="1" x14ac:dyDescent="0.25">
      <c r="A468" s="12">
        <v>46188</v>
      </c>
      <c r="B468" s="13" t="s">
        <v>110</v>
      </c>
      <c r="C468" s="13" t="s">
        <v>99</v>
      </c>
      <c r="D468" s="13" t="s">
        <v>97</v>
      </c>
      <c r="E468" s="14">
        <v>0.65</v>
      </c>
      <c r="F468" s="13" t="s">
        <v>55</v>
      </c>
      <c r="G468" s="15">
        <v>182.8</v>
      </c>
      <c r="H468" s="16">
        <v>178.69</v>
      </c>
      <c r="I468" s="16">
        <v>180.91</v>
      </c>
      <c r="K468" s="26">
        <f t="shared" si="28"/>
        <v>-2.2483588621444273E-2</v>
      </c>
      <c r="L468" s="26">
        <f t="shared" si="29"/>
        <v>-1.0339168490153252E-2</v>
      </c>
      <c r="M468" s="26" t="str">
        <f t="shared" si="30"/>
        <v/>
      </c>
      <c r="N468" s="27" t="str">
        <f t="shared" si="31"/>
        <v>YES</v>
      </c>
    </row>
    <row r="469" spans="1:14" ht="15" customHeight="1" x14ac:dyDescent="0.25">
      <c r="A469" s="12">
        <v>46188</v>
      </c>
      <c r="B469" s="13" t="s">
        <v>108</v>
      </c>
      <c r="C469" s="13" t="s">
        <v>99</v>
      </c>
      <c r="D469" s="13" t="s">
        <v>97</v>
      </c>
      <c r="E469" s="14">
        <v>0.62</v>
      </c>
      <c r="F469" s="13" t="s">
        <v>55</v>
      </c>
      <c r="G469" s="15">
        <v>721.55</v>
      </c>
      <c r="H469" s="16">
        <v>702.29</v>
      </c>
      <c r="I469" s="16">
        <v>720.04</v>
      </c>
      <c r="K469" s="26">
        <f t="shared" si="28"/>
        <v>-2.6692536899729738E-2</v>
      </c>
      <c r="L469" s="26">
        <f t="shared" si="29"/>
        <v>-2.0927170674242823E-3</v>
      </c>
      <c r="M469" s="26" t="str">
        <f t="shared" si="30"/>
        <v/>
      </c>
      <c r="N469" s="27" t="str">
        <f t="shared" si="31"/>
        <v>YES</v>
      </c>
    </row>
    <row r="470" spans="1:14" ht="15" customHeight="1" x14ac:dyDescent="0.25">
      <c r="A470" s="12">
        <v>46188</v>
      </c>
      <c r="B470" s="13" t="s">
        <v>115</v>
      </c>
      <c r="C470" s="13" t="s">
        <v>113</v>
      </c>
      <c r="D470" s="13" t="s">
        <v>97</v>
      </c>
      <c r="E470" s="14">
        <v>0.57999999999999996</v>
      </c>
      <c r="F470" s="13" t="s">
        <v>55</v>
      </c>
      <c r="G470" s="15">
        <v>184.745</v>
      </c>
      <c r="H470" s="16">
        <v>186.39</v>
      </c>
      <c r="I470" s="16">
        <v>189.73</v>
      </c>
      <c r="K470" s="26">
        <f t="shared" si="28"/>
        <v>8.9041652006819228E-3</v>
      </c>
      <c r="L470" s="26">
        <f t="shared" si="29"/>
        <v>2.6983138921215649E-2</v>
      </c>
      <c r="M470" s="26" t="str">
        <f t="shared" si="30"/>
        <v/>
      </c>
      <c r="N470" s="27" t="str">
        <f t="shared" si="31"/>
        <v>YES</v>
      </c>
    </row>
    <row r="471" spans="1:14" ht="15" customHeight="1" x14ac:dyDescent="0.25">
      <c r="A471" s="12">
        <v>46188</v>
      </c>
      <c r="B471" s="13" t="s">
        <v>102</v>
      </c>
      <c r="C471" s="13" t="s">
        <v>99</v>
      </c>
      <c r="D471" s="13" t="s">
        <v>97</v>
      </c>
      <c r="E471" s="14">
        <v>0.68</v>
      </c>
      <c r="F471" s="13" t="s">
        <v>55</v>
      </c>
      <c r="G471" s="15">
        <v>32.74</v>
      </c>
      <c r="H471" s="16">
        <v>32.020000000000003</v>
      </c>
      <c r="I471" s="16">
        <v>31.71</v>
      </c>
      <c r="K471" s="26">
        <f t="shared" si="28"/>
        <v>-2.199144777031151E-2</v>
      </c>
      <c r="L471" s="26">
        <f t="shared" si="29"/>
        <v>-3.145998778252905E-2</v>
      </c>
      <c r="M471" s="26" t="str">
        <f t="shared" si="30"/>
        <v/>
      </c>
      <c r="N471" s="27" t="str">
        <f t="shared" si="31"/>
        <v>YES</v>
      </c>
    </row>
    <row r="472" spans="1:14" ht="15" customHeight="1" x14ac:dyDescent="0.25">
      <c r="A472" s="12">
        <v>46188</v>
      </c>
      <c r="B472" s="13" t="s">
        <v>117</v>
      </c>
      <c r="C472" s="13" t="s">
        <v>113</v>
      </c>
      <c r="D472" s="13" t="s">
        <v>97</v>
      </c>
      <c r="E472" s="14">
        <v>0.52</v>
      </c>
      <c r="F472" s="13" t="s">
        <v>56</v>
      </c>
      <c r="G472" s="15">
        <v>5.07</v>
      </c>
      <c r="H472" s="16">
        <v>4.74</v>
      </c>
      <c r="I472" s="16">
        <v>5.01</v>
      </c>
      <c r="K472" s="26">
        <f t="shared" si="28"/>
        <v>-6.5088757396449717E-2</v>
      </c>
      <c r="L472" s="26">
        <f t="shared" si="29"/>
        <v>-1.1834319526627316E-2</v>
      </c>
      <c r="M472" s="26" t="str">
        <f t="shared" si="30"/>
        <v/>
      </c>
      <c r="N472" s="27" t="str">
        <f t="shared" si="31"/>
        <v>NO</v>
      </c>
    </row>
    <row r="473" spans="1:14" ht="15" customHeight="1" x14ac:dyDescent="0.25">
      <c r="A473" s="12">
        <v>46188</v>
      </c>
      <c r="B473" s="13" t="s">
        <v>95</v>
      </c>
      <c r="C473" s="13" t="s">
        <v>96</v>
      </c>
      <c r="D473" s="13" t="s">
        <v>97</v>
      </c>
      <c r="E473" s="14">
        <v>0.55000000000000004</v>
      </c>
      <c r="F473" s="13" t="s">
        <v>55</v>
      </c>
      <c r="G473" s="15">
        <v>120.3</v>
      </c>
      <c r="H473" s="16">
        <v>119.42</v>
      </c>
      <c r="I473" s="16">
        <v>113.26</v>
      </c>
      <c r="K473" s="26">
        <f t="shared" si="28"/>
        <v>-7.315045719035706E-3</v>
      </c>
      <c r="L473" s="26">
        <f t="shared" si="29"/>
        <v>-5.8520365752285884E-2</v>
      </c>
      <c r="M473" s="26" t="str">
        <f t="shared" si="30"/>
        <v/>
      </c>
      <c r="N473" s="27" t="str">
        <f t="shared" si="31"/>
        <v>YES</v>
      </c>
    </row>
    <row r="474" spans="1:14" ht="15" customHeight="1" x14ac:dyDescent="0.25">
      <c r="A474" s="12">
        <v>46188</v>
      </c>
      <c r="B474" s="13" t="s">
        <v>109</v>
      </c>
      <c r="C474" s="13" t="s">
        <v>99</v>
      </c>
      <c r="D474" s="13" t="s">
        <v>97</v>
      </c>
      <c r="E474" s="14">
        <v>0.57999999999999996</v>
      </c>
      <c r="F474" s="13" t="s">
        <v>55</v>
      </c>
      <c r="G474" s="15">
        <v>44.795000000000002</v>
      </c>
      <c r="H474" s="16">
        <v>45.07</v>
      </c>
      <c r="I474" s="16">
        <v>45.34</v>
      </c>
      <c r="K474" s="26">
        <f t="shared" si="28"/>
        <v>6.1390780221006486E-3</v>
      </c>
      <c r="L474" s="26">
        <f t="shared" si="29"/>
        <v>1.2166536443799569E-2</v>
      </c>
      <c r="M474" s="26" t="str">
        <f t="shared" si="30"/>
        <v/>
      </c>
      <c r="N474" s="27" t="str">
        <f t="shared" si="31"/>
        <v>YES</v>
      </c>
    </row>
    <row r="475" spans="1:14" ht="15" customHeight="1" x14ac:dyDescent="0.25">
      <c r="A475" s="12">
        <v>46188</v>
      </c>
      <c r="B475" s="13" t="s">
        <v>118</v>
      </c>
      <c r="C475" s="13" t="s">
        <v>119</v>
      </c>
      <c r="D475" s="13" t="s">
        <v>97</v>
      </c>
      <c r="E475" s="14">
        <v>0.52</v>
      </c>
      <c r="F475" s="13" t="s">
        <v>55</v>
      </c>
      <c r="G475" s="15">
        <v>753.25</v>
      </c>
      <c r="H475" s="16">
        <v>733.58</v>
      </c>
      <c r="I475" s="16">
        <v>746.77</v>
      </c>
      <c r="K475" s="26">
        <f t="shared" si="28"/>
        <v>-2.6113508131430412E-2</v>
      </c>
      <c r="L475" s="26">
        <f t="shared" si="29"/>
        <v>-8.6027215399933857E-3</v>
      </c>
      <c r="M475" s="26" t="str">
        <f t="shared" si="30"/>
        <v/>
      </c>
      <c r="N475" s="27" t="str">
        <f t="shared" si="31"/>
        <v>YES</v>
      </c>
    </row>
    <row r="476" spans="1:14" ht="15" customHeight="1" x14ac:dyDescent="0.25">
      <c r="A476" s="12">
        <v>46188</v>
      </c>
      <c r="B476" s="13" t="s">
        <v>120</v>
      </c>
      <c r="C476" s="13" t="s">
        <v>119</v>
      </c>
      <c r="D476" s="13" t="s">
        <v>97</v>
      </c>
      <c r="E476" s="14">
        <v>0.52</v>
      </c>
      <c r="F476" s="13" t="s">
        <v>55</v>
      </c>
      <c r="G476" s="15">
        <v>740.45</v>
      </c>
      <c r="H476" s="16">
        <v>713.65</v>
      </c>
      <c r="I476" s="16">
        <v>736.4</v>
      </c>
      <c r="K476" s="26">
        <f t="shared" si="28"/>
        <v>-3.619420622594377E-2</v>
      </c>
      <c r="L476" s="26">
        <f t="shared" si="29"/>
        <v>-5.4696468363833722E-3</v>
      </c>
      <c r="M476" s="26" t="str">
        <f t="shared" si="30"/>
        <v/>
      </c>
      <c r="N476" s="27" t="str">
        <f t="shared" si="31"/>
        <v>NO</v>
      </c>
    </row>
    <row r="477" spans="1:14" ht="15" customHeight="1" x14ac:dyDescent="0.25">
      <c r="A477" s="12">
        <v>46188</v>
      </c>
      <c r="B477" s="13" t="s">
        <v>121</v>
      </c>
      <c r="C477" s="13" t="s">
        <v>119</v>
      </c>
      <c r="D477" s="13" t="s">
        <v>97</v>
      </c>
      <c r="E477" s="14">
        <v>0.57999999999999996</v>
      </c>
      <c r="F477" s="13" t="s">
        <v>55</v>
      </c>
      <c r="G477" s="15">
        <v>372.05</v>
      </c>
      <c r="H477" s="16">
        <v>363.7</v>
      </c>
      <c r="I477" s="16">
        <v>370.04</v>
      </c>
      <c r="K477" s="26">
        <f t="shared" si="28"/>
        <v>-2.2443219997312251E-2</v>
      </c>
      <c r="L477" s="26">
        <f t="shared" si="29"/>
        <v>-5.4024996640236285E-3</v>
      </c>
      <c r="M477" s="26" t="str">
        <f t="shared" si="30"/>
        <v/>
      </c>
      <c r="N477" s="27" t="str">
        <f t="shared" si="31"/>
        <v>YES</v>
      </c>
    </row>
    <row r="478" spans="1:14" ht="15" customHeight="1" x14ac:dyDescent="0.25">
      <c r="A478" s="12">
        <v>46188</v>
      </c>
      <c r="B478" s="13" t="s">
        <v>122</v>
      </c>
      <c r="C478" s="13" t="s">
        <v>119</v>
      </c>
      <c r="D478" s="13" t="s">
        <v>97</v>
      </c>
      <c r="E478" s="14">
        <v>0.55000000000000004</v>
      </c>
      <c r="F478" s="13" t="s">
        <v>55</v>
      </c>
      <c r="G478" s="15">
        <v>209.97</v>
      </c>
      <c r="H478" s="16">
        <v>200.04</v>
      </c>
      <c r="I478" s="16">
        <v>200.09</v>
      </c>
      <c r="K478" s="26">
        <f t="shared" si="28"/>
        <v>-4.7292470352907588E-2</v>
      </c>
      <c r="L478" s="26">
        <f t="shared" si="29"/>
        <v>-4.7054341096347076E-2</v>
      </c>
      <c r="M478" s="26" t="str">
        <f t="shared" si="30"/>
        <v/>
      </c>
      <c r="N478" s="27" t="str">
        <f t="shared" si="31"/>
        <v>NO</v>
      </c>
    </row>
    <row r="479" spans="1:14" ht="15" customHeight="1" x14ac:dyDescent="0.25">
      <c r="A479" s="12">
        <v>46188</v>
      </c>
      <c r="B479" s="13" t="s">
        <v>123</v>
      </c>
      <c r="C479" s="13" t="s">
        <v>119</v>
      </c>
      <c r="D479" s="13" t="s">
        <v>97</v>
      </c>
      <c r="E479" s="14">
        <v>0.52</v>
      </c>
      <c r="F479" s="13" t="s">
        <v>56</v>
      </c>
      <c r="G479" s="15">
        <v>400.17</v>
      </c>
      <c r="H479" s="16">
        <v>377.32</v>
      </c>
      <c r="I479" s="16">
        <v>368.38</v>
      </c>
      <c r="K479" s="26">
        <f t="shared" si="28"/>
        <v>-5.7100732188819808E-2</v>
      </c>
      <c r="L479" s="26">
        <f t="shared" si="29"/>
        <v>-7.944123747407357E-2</v>
      </c>
      <c r="M479" s="26" t="str">
        <f t="shared" si="30"/>
        <v/>
      </c>
      <c r="N479" s="27" t="str">
        <f t="shared" si="31"/>
        <v>NO</v>
      </c>
    </row>
    <row r="480" spans="1:14" ht="15" customHeight="1" x14ac:dyDescent="0.25">
      <c r="A480" s="12">
        <v>46189</v>
      </c>
      <c r="B480" s="13" t="s">
        <v>103</v>
      </c>
      <c r="C480" s="13" t="s">
        <v>99</v>
      </c>
      <c r="D480" s="13" t="s">
        <v>97</v>
      </c>
      <c r="E480" s="14">
        <v>0.62</v>
      </c>
      <c r="F480" s="13" t="s">
        <v>56</v>
      </c>
      <c r="G480" s="15">
        <v>297.17500000000001</v>
      </c>
      <c r="H480" s="16">
        <v>293.08</v>
      </c>
      <c r="I480" s="16">
        <v>294.38</v>
      </c>
      <c r="K480" s="26">
        <f t="shared" si="28"/>
        <v>-1.3779759401026423E-2</v>
      </c>
      <c r="L480" s="26">
        <f t="shared" si="29"/>
        <v>-9.405232607049771E-3</v>
      </c>
      <c r="M480" s="26" t="str">
        <f t="shared" si="30"/>
        <v/>
      </c>
      <c r="N480" s="27" t="str">
        <f t="shared" si="31"/>
        <v>YES</v>
      </c>
    </row>
    <row r="481" spans="1:14" ht="15" customHeight="1" x14ac:dyDescent="0.25">
      <c r="A481" s="12">
        <v>46189</v>
      </c>
      <c r="B481" s="13" t="s">
        <v>112</v>
      </c>
      <c r="C481" s="13" t="s">
        <v>113</v>
      </c>
      <c r="D481" s="13" t="s">
        <v>97</v>
      </c>
      <c r="E481" s="14">
        <v>0.52</v>
      </c>
      <c r="F481" s="13" t="s">
        <v>56</v>
      </c>
      <c r="G481" s="15">
        <v>18.88</v>
      </c>
      <c r="H481" s="16">
        <v>16.059999999999999</v>
      </c>
      <c r="I481" s="16">
        <v>17.04</v>
      </c>
      <c r="K481" s="26">
        <f t="shared" si="28"/>
        <v>-0.14936440677966104</v>
      </c>
      <c r="L481" s="26">
        <f t="shared" si="29"/>
        <v>-9.7457627118644072E-2</v>
      </c>
      <c r="M481" s="26" t="str">
        <f t="shared" si="30"/>
        <v/>
      </c>
      <c r="N481" s="27" t="str">
        <f t="shared" si="31"/>
        <v>NO</v>
      </c>
    </row>
    <row r="482" spans="1:14" ht="15" customHeight="1" x14ac:dyDescent="0.25">
      <c r="A482" s="12">
        <v>46189</v>
      </c>
      <c r="B482" s="13" t="s">
        <v>105</v>
      </c>
      <c r="C482" s="13" t="s">
        <v>96</v>
      </c>
      <c r="D482" s="13" t="s">
        <v>97</v>
      </c>
      <c r="E482" s="14">
        <v>0.62</v>
      </c>
      <c r="F482" s="13" t="s">
        <v>55</v>
      </c>
      <c r="G482" s="15">
        <v>65.44</v>
      </c>
      <c r="H482" s="16">
        <v>63.39</v>
      </c>
      <c r="I482" s="16">
        <v>63.63</v>
      </c>
      <c r="K482" s="26">
        <f t="shared" si="28"/>
        <v>-3.1326405867970621E-2</v>
      </c>
      <c r="L482" s="26">
        <f t="shared" si="29"/>
        <v>-2.7658924205378899E-2</v>
      </c>
      <c r="M482" s="26" t="str">
        <f t="shared" si="30"/>
        <v/>
      </c>
      <c r="N482" s="27" t="str">
        <f t="shared" si="31"/>
        <v>NO</v>
      </c>
    </row>
    <row r="483" spans="1:14" ht="15" customHeight="1" x14ac:dyDescent="0.25">
      <c r="A483" s="12">
        <v>46189</v>
      </c>
      <c r="B483" s="13" t="s">
        <v>114</v>
      </c>
      <c r="C483" s="13" t="s">
        <v>113</v>
      </c>
      <c r="D483" s="13" t="s">
        <v>97</v>
      </c>
      <c r="E483" s="14">
        <v>0.38</v>
      </c>
      <c r="F483" s="13" t="s">
        <v>56</v>
      </c>
      <c r="G483" s="15">
        <v>203.465</v>
      </c>
      <c r="H483" s="16">
        <v>182.26</v>
      </c>
      <c r="I483" s="16">
        <v>221.27</v>
      </c>
      <c r="K483" s="26">
        <f t="shared" si="28"/>
        <v>-0.10421939891381816</v>
      </c>
      <c r="L483" s="26">
        <f t="shared" si="29"/>
        <v>8.7508908166023677E-2</v>
      </c>
      <c r="M483" s="26" t="str">
        <f t="shared" si="30"/>
        <v/>
      </c>
      <c r="N483" s="27" t="str">
        <f t="shared" si="31"/>
        <v>NO</v>
      </c>
    </row>
    <row r="484" spans="1:14" ht="15" customHeight="1" x14ac:dyDescent="0.25">
      <c r="A484" s="12">
        <v>46189</v>
      </c>
      <c r="B484" s="13" t="s">
        <v>116</v>
      </c>
      <c r="C484" s="13" t="s">
        <v>113</v>
      </c>
      <c r="D484" s="13" t="s">
        <v>97</v>
      </c>
      <c r="E484" s="14">
        <v>0.42</v>
      </c>
      <c r="F484" s="13" t="s">
        <v>56</v>
      </c>
      <c r="G484" s="15">
        <v>16.940000000000001</v>
      </c>
      <c r="H484" s="16">
        <v>16.62</v>
      </c>
      <c r="I484" s="16">
        <v>16.95</v>
      </c>
      <c r="K484" s="26">
        <f t="shared" si="28"/>
        <v>-1.8890200708382543E-2</v>
      </c>
      <c r="L484" s="26">
        <f t="shared" si="29"/>
        <v>5.9031877213683651E-4</v>
      </c>
      <c r="M484" s="26" t="str">
        <f t="shared" si="30"/>
        <v/>
      </c>
      <c r="N484" s="27" t="str">
        <f t="shared" si="31"/>
        <v>YES</v>
      </c>
    </row>
    <row r="485" spans="1:14" ht="15" customHeight="1" x14ac:dyDescent="0.25">
      <c r="A485" s="12">
        <v>46189</v>
      </c>
      <c r="B485" s="13" t="s">
        <v>104</v>
      </c>
      <c r="C485" s="13" t="s">
        <v>96</v>
      </c>
      <c r="D485" s="13" t="s">
        <v>97</v>
      </c>
      <c r="E485" s="14">
        <v>0.38</v>
      </c>
      <c r="F485" s="13" t="s">
        <v>56</v>
      </c>
      <c r="G485" s="15">
        <v>32.78</v>
      </c>
      <c r="H485" s="16">
        <v>29.38</v>
      </c>
      <c r="I485" s="16">
        <v>27.02</v>
      </c>
      <c r="K485" s="26">
        <f t="shared" si="28"/>
        <v>-0.10372178157413063</v>
      </c>
      <c r="L485" s="26">
        <f t="shared" si="29"/>
        <v>-0.17571690054911535</v>
      </c>
      <c r="M485" s="26" t="str">
        <f t="shared" si="30"/>
        <v/>
      </c>
      <c r="N485" s="27" t="str">
        <f t="shared" si="31"/>
        <v>NO</v>
      </c>
    </row>
    <row r="486" spans="1:14" ht="15" customHeight="1" x14ac:dyDescent="0.25">
      <c r="A486" s="12">
        <v>46189</v>
      </c>
      <c r="B486" s="13" t="s">
        <v>111</v>
      </c>
      <c r="C486" s="13" t="s">
        <v>113</v>
      </c>
      <c r="D486" s="13" t="s">
        <v>97</v>
      </c>
      <c r="E486" s="14">
        <v>0.62</v>
      </c>
      <c r="F486" s="13" t="s">
        <v>56</v>
      </c>
      <c r="G486" s="15">
        <v>68.2</v>
      </c>
      <c r="H486" s="16">
        <v>64.290000000000006</v>
      </c>
      <c r="I486" s="16">
        <v>65.11</v>
      </c>
      <c r="K486" s="26">
        <f t="shared" si="28"/>
        <v>-5.7331378299120182E-2</v>
      </c>
      <c r="L486" s="26">
        <f t="shared" si="29"/>
        <v>-4.5307917888563101E-2</v>
      </c>
      <c r="M486" s="26" t="str">
        <f t="shared" si="30"/>
        <v/>
      </c>
      <c r="N486" s="27" t="str">
        <f t="shared" si="31"/>
        <v>NO</v>
      </c>
    </row>
    <row r="487" spans="1:14" ht="15" customHeight="1" x14ac:dyDescent="0.25">
      <c r="A487" s="12">
        <v>46189</v>
      </c>
      <c r="B487" s="13" t="s">
        <v>107</v>
      </c>
      <c r="C487" s="13" t="s">
        <v>96</v>
      </c>
      <c r="D487" s="13" t="s">
        <v>97</v>
      </c>
      <c r="E487" s="14">
        <v>0.62</v>
      </c>
      <c r="F487" s="13" t="s">
        <v>55</v>
      </c>
      <c r="G487" s="15">
        <v>84.38</v>
      </c>
      <c r="H487" s="16">
        <v>78.95</v>
      </c>
      <c r="I487" s="16">
        <v>75.52</v>
      </c>
      <c r="K487" s="26">
        <f t="shared" si="28"/>
        <v>-6.4351742118985464E-2</v>
      </c>
      <c r="L487" s="26">
        <f t="shared" si="29"/>
        <v>-0.10500118511495615</v>
      </c>
      <c r="M487" s="26" t="str">
        <f t="shared" si="30"/>
        <v/>
      </c>
      <c r="N487" s="27" t="str">
        <f t="shared" si="31"/>
        <v>NO</v>
      </c>
    </row>
    <row r="488" spans="1:14" ht="15" customHeight="1" x14ac:dyDescent="0.25">
      <c r="A488" s="12">
        <v>46189</v>
      </c>
      <c r="B488" s="13" t="s">
        <v>106</v>
      </c>
      <c r="C488" s="13" t="s">
        <v>99</v>
      </c>
      <c r="D488" s="13" t="s">
        <v>97</v>
      </c>
      <c r="E488" s="14">
        <v>0.65</v>
      </c>
      <c r="F488" s="13" t="s">
        <v>55</v>
      </c>
      <c r="G488" s="15">
        <v>328.92</v>
      </c>
      <c r="H488" s="16">
        <v>333.45</v>
      </c>
      <c r="I488" s="16">
        <v>334.07</v>
      </c>
      <c r="K488" s="26">
        <f t="shared" si="28"/>
        <v>1.3772345859175399E-2</v>
      </c>
      <c r="L488" s="26">
        <f t="shared" si="29"/>
        <v>1.5657302687583537E-2</v>
      </c>
      <c r="M488" s="26" t="str">
        <f t="shared" si="30"/>
        <v/>
      </c>
      <c r="N488" s="27" t="str">
        <f t="shared" si="31"/>
        <v>YES</v>
      </c>
    </row>
    <row r="489" spans="1:14" ht="15" customHeight="1" x14ac:dyDescent="0.25">
      <c r="A489" s="12">
        <v>46189</v>
      </c>
      <c r="B489" s="13" t="s">
        <v>100</v>
      </c>
      <c r="C489" s="13" t="s">
        <v>96</v>
      </c>
      <c r="D489" s="13" t="s">
        <v>97</v>
      </c>
      <c r="E489" s="14">
        <v>0.55000000000000004</v>
      </c>
      <c r="F489" s="13" t="s">
        <v>55</v>
      </c>
      <c r="G489" s="15">
        <v>392.65129999999999</v>
      </c>
      <c r="H489" s="16">
        <v>365.46</v>
      </c>
      <c r="I489" s="16">
        <v>384.28</v>
      </c>
      <c r="K489" s="26">
        <f t="shared" si="28"/>
        <v>-6.925050292715193E-2</v>
      </c>
      <c r="L489" s="26">
        <f t="shared" si="29"/>
        <v>-2.1319934506774892E-2</v>
      </c>
      <c r="M489" s="26" t="str">
        <f t="shared" si="30"/>
        <v/>
      </c>
      <c r="N489" s="27" t="str">
        <f t="shared" si="31"/>
        <v>NO</v>
      </c>
    </row>
    <row r="490" spans="1:14" ht="15" customHeight="1" x14ac:dyDescent="0.25">
      <c r="A490" s="12">
        <v>46189</v>
      </c>
      <c r="B490" s="13" t="s">
        <v>101</v>
      </c>
      <c r="C490" s="13" t="s">
        <v>99</v>
      </c>
      <c r="D490" s="13" t="s">
        <v>97</v>
      </c>
      <c r="E490" s="14">
        <v>0.52</v>
      </c>
      <c r="F490" s="13" t="s">
        <v>55</v>
      </c>
      <c r="G490" s="15">
        <v>45.73</v>
      </c>
      <c r="H490" s="16">
        <v>41.82</v>
      </c>
      <c r="I490" s="16">
        <v>43.06</v>
      </c>
      <c r="K490" s="26">
        <f t="shared" si="28"/>
        <v>-8.5501858736059408E-2</v>
      </c>
      <c r="L490" s="26">
        <f t="shared" si="29"/>
        <v>-5.838617975071058E-2</v>
      </c>
      <c r="M490" s="26" t="str">
        <f t="shared" si="30"/>
        <v/>
      </c>
      <c r="N490" s="27" t="str">
        <f t="shared" si="31"/>
        <v>NO</v>
      </c>
    </row>
    <row r="491" spans="1:14" ht="15" customHeight="1" x14ac:dyDescent="0.25">
      <c r="A491" s="12">
        <v>46189</v>
      </c>
      <c r="B491" s="13" t="s">
        <v>98</v>
      </c>
      <c r="C491" s="13" t="s">
        <v>96</v>
      </c>
      <c r="D491" s="13" t="s">
        <v>97</v>
      </c>
      <c r="E491" s="14">
        <v>0.52</v>
      </c>
      <c r="F491" s="13" t="s">
        <v>56</v>
      </c>
      <c r="G491" s="15">
        <v>65.504999999999995</v>
      </c>
      <c r="H491" s="16">
        <v>60.37</v>
      </c>
      <c r="I491" s="16">
        <v>63.57</v>
      </c>
      <c r="K491" s="26">
        <f t="shared" si="28"/>
        <v>-7.8390962521944871E-2</v>
      </c>
      <c r="L491" s="26">
        <f t="shared" si="29"/>
        <v>-2.9539729791618889E-2</v>
      </c>
      <c r="M491" s="26" t="str">
        <f t="shared" si="30"/>
        <v/>
      </c>
      <c r="N491" s="27" t="str">
        <f t="shared" si="31"/>
        <v>NO</v>
      </c>
    </row>
    <row r="492" spans="1:14" ht="15" customHeight="1" x14ac:dyDescent="0.25">
      <c r="A492" s="12">
        <v>46189</v>
      </c>
      <c r="B492" s="13" t="s">
        <v>110</v>
      </c>
      <c r="C492" s="13" t="s">
        <v>99</v>
      </c>
      <c r="D492" s="13" t="s">
        <v>97</v>
      </c>
      <c r="E492" s="14">
        <v>0.65</v>
      </c>
      <c r="F492" s="13" t="s">
        <v>55</v>
      </c>
      <c r="G492" s="15">
        <v>184.345</v>
      </c>
      <c r="H492" s="16">
        <v>178.78</v>
      </c>
      <c r="I492" s="16">
        <v>177.69</v>
      </c>
      <c r="K492" s="26">
        <f t="shared" si="28"/>
        <v>-3.0187962787165356E-2</v>
      </c>
      <c r="L492" s="26">
        <f t="shared" si="29"/>
        <v>-3.6100789280967757E-2</v>
      </c>
      <c r="M492" s="26" t="str">
        <f t="shared" si="30"/>
        <v/>
      </c>
      <c r="N492" s="27" t="str">
        <f t="shared" si="31"/>
        <v>NO</v>
      </c>
    </row>
    <row r="493" spans="1:14" ht="15" customHeight="1" x14ac:dyDescent="0.25">
      <c r="A493" s="12">
        <v>46189</v>
      </c>
      <c r="B493" s="13" t="s">
        <v>108</v>
      </c>
      <c r="C493" s="13" t="s">
        <v>99</v>
      </c>
      <c r="D493" s="13" t="s">
        <v>97</v>
      </c>
      <c r="E493" s="14">
        <v>0.62</v>
      </c>
      <c r="F493" s="13" t="s">
        <v>55</v>
      </c>
      <c r="G493" s="15">
        <v>727.93</v>
      </c>
      <c r="H493" s="16">
        <v>701.88</v>
      </c>
      <c r="I493" s="16">
        <v>691.4</v>
      </c>
      <c r="K493" s="26">
        <f t="shared" si="28"/>
        <v>-3.5786408033739447E-2</v>
      </c>
      <c r="L493" s="26">
        <f t="shared" si="29"/>
        <v>-5.018339675518247E-2</v>
      </c>
      <c r="M493" s="26" t="str">
        <f t="shared" si="30"/>
        <v/>
      </c>
      <c r="N493" s="27" t="str">
        <f t="shared" si="31"/>
        <v>NO</v>
      </c>
    </row>
    <row r="494" spans="1:14" ht="15" customHeight="1" x14ac:dyDescent="0.25">
      <c r="A494" s="12">
        <v>46189</v>
      </c>
      <c r="B494" s="13" t="s">
        <v>115</v>
      </c>
      <c r="C494" s="13" t="s">
        <v>113</v>
      </c>
      <c r="D494" s="13" t="s">
        <v>97</v>
      </c>
      <c r="E494" s="14">
        <v>0.62</v>
      </c>
      <c r="F494" s="13" t="s">
        <v>55</v>
      </c>
      <c r="G494" s="15">
        <v>184.4</v>
      </c>
      <c r="H494" s="16">
        <v>185.06</v>
      </c>
      <c r="I494" s="16">
        <v>191.78</v>
      </c>
      <c r="K494" s="26">
        <f t="shared" si="28"/>
        <v>3.5791757049891356E-3</v>
      </c>
      <c r="L494" s="26">
        <f t="shared" si="29"/>
        <v>4.0021691973969604E-2</v>
      </c>
      <c r="M494" s="26" t="str">
        <f t="shared" si="30"/>
        <v/>
      </c>
      <c r="N494" s="27" t="str">
        <f t="shared" si="31"/>
        <v>YES</v>
      </c>
    </row>
    <row r="495" spans="1:14" ht="15" customHeight="1" x14ac:dyDescent="0.25">
      <c r="A495" s="12">
        <v>46189</v>
      </c>
      <c r="B495" s="13" t="s">
        <v>102</v>
      </c>
      <c r="C495" s="13" t="s">
        <v>99</v>
      </c>
      <c r="D495" s="13" t="s">
        <v>97</v>
      </c>
      <c r="E495" s="14">
        <v>0.68</v>
      </c>
      <c r="F495" s="13" t="s">
        <v>55</v>
      </c>
      <c r="G495" s="15">
        <v>32.758600000000001</v>
      </c>
      <c r="H495" s="16">
        <v>31.72</v>
      </c>
      <c r="I495" s="16">
        <v>31.85</v>
      </c>
      <c r="K495" s="26">
        <f t="shared" si="28"/>
        <v>-3.1704651602937929E-2</v>
      </c>
      <c r="L495" s="26">
        <f t="shared" si="29"/>
        <v>-2.7736228043933497E-2</v>
      </c>
      <c r="M495" s="26" t="str">
        <f t="shared" si="30"/>
        <v/>
      </c>
      <c r="N495" s="27" t="str">
        <f t="shared" si="31"/>
        <v>NO</v>
      </c>
    </row>
    <row r="496" spans="1:14" ht="15" customHeight="1" x14ac:dyDescent="0.25">
      <c r="A496" s="12">
        <v>46189</v>
      </c>
      <c r="B496" s="13" t="s">
        <v>117</v>
      </c>
      <c r="C496" s="13" t="s">
        <v>113</v>
      </c>
      <c r="D496" s="13" t="s">
        <v>97</v>
      </c>
      <c r="E496" s="14">
        <v>0.52</v>
      </c>
      <c r="F496" s="13" t="s">
        <v>56</v>
      </c>
      <c r="G496" s="15">
        <v>5.07</v>
      </c>
      <c r="H496" s="16">
        <v>4.6500000000000004</v>
      </c>
      <c r="I496" s="16">
        <v>4.7300000000000004</v>
      </c>
      <c r="K496" s="26">
        <f t="shared" si="28"/>
        <v>-8.2840236686390512E-2</v>
      </c>
      <c r="L496" s="26">
        <f t="shared" si="29"/>
        <v>-6.7061143984220875E-2</v>
      </c>
      <c r="M496" s="26" t="str">
        <f t="shared" si="30"/>
        <v/>
      </c>
      <c r="N496" s="27" t="str">
        <f t="shared" si="31"/>
        <v>NO</v>
      </c>
    </row>
    <row r="497" spans="1:14" ht="15" customHeight="1" x14ac:dyDescent="0.25">
      <c r="A497" s="12">
        <v>46189</v>
      </c>
      <c r="B497" s="13" t="s">
        <v>95</v>
      </c>
      <c r="C497" s="13" t="s">
        <v>96</v>
      </c>
      <c r="D497" s="13" t="s">
        <v>97</v>
      </c>
      <c r="E497" s="14">
        <v>0.55000000000000004</v>
      </c>
      <c r="F497" s="13" t="s">
        <v>55</v>
      </c>
      <c r="G497" s="15">
        <v>122.05</v>
      </c>
      <c r="H497" s="16">
        <v>119</v>
      </c>
      <c r="I497" s="16">
        <v>108.82</v>
      </c>
      <c r="K497" s="26">
        <f t="shared" si="28"/>
        <v>-2.4989758295780394E-2</v>
      </c>
      <c r="L497" s="26">
        <f t="shared" si="29"/>
        <v>-0.10839819746005738</v>
      </c>
      <c r="M497" s="26" t="str">
        <f t="shared" si="30"/>
        <v/>
      </c>
      <c r="N497" s="27" t="str">
        <f t="shared" si="31"/>
        <v>YES</v>
      </c>
    </row>
    <row r="498" spans="1:14" ht="15" customHeight="1" x14ac:dyDescent="0.25">
      <c r="A498" s="12">
        <v>46189</v>
      </c>
      <c r="B498" s="13" t="s">
        <v>109</v>
      </c>
      <c r="C498" s="13" t="s">
        <v>99</v>
      </c>
      <c r="D498" s="13" t="s">
        <v>97</v>
      </c>
      <c r="E498" s="14">
        <v>0.57999999999999996</v>
      </c>
      <c r="F498" s="13" t="s">
        <v>55</v>
      </c>
      <c r="G498" s="15">
        <v>45.274999999999999</v>
      </c>
      <c r="H498" s="16">
        <v>45.54</v>
      </c>
      <c r="I498" s="16">
        <v>44.77</v>
      </c>
      <c r="K498" s="26">
        <f t="shared" si="28"/>
        <v>5.8531198233020554E-3</v>
      </c>
      <c r="L498" s="26">
        <f t="shared" si="29"/>
        <v>-1.1154058531198134E-2</v>
      </c>
      <c r="M498" s="26" t="str">
        <f t="shared" si="30"/>
        <v/>
      </c>
      <c r="N498" s="27" t="str">
        <f t="shared" si="31"/>
        <v>YES</v>
      </c>
    </row>
    <row r="499" spans="1:14" ht="15" customHeight="1" x14ac:dyDescent="0.25">
      <c r="A499" s="12">
        <v>46189</v>
      </c>
      <c r="B499" s="13" t="s">
        <v>118</v>
      </c>
      <c r="C499" s="13" t="s">
        <v>119</v>
      </c>
      <c r="D499" s="13" t="s">
        <v>97</v>
      </c>
      <c r="E499" s="14">
        <v>0.55000000000000004</v>
      </c>
      <c r="F499" s="13" t="s">
        <v>55</v>
      </c>
      <c r="G499" s="15">
        <v>753.43</v>
      </c>
      <c r="H499" s="16">
        <v>733.24</v>
      </c>
      <c r="I499" s="16">
        <v>745.72</v>
      </c>
      <c r="K499" s="26">
        <f t="shared" si="28"/>
        <v>-2.6797446345380383E-2</v>
      </c>
      <c r="L499" s="26">
        <f t="shared" si="29"/>
        <v>-1.0233200164580548E-2</v>
      </c>
      <c r="M499" s="26" t="str">
        <f t="shared" si="30"/>
        <v/>
      </c>
      <c r="N499" s="27" t="str">
        <f t="shared" si="31"/>
        <v>YES</v>
      </c>
    </row>
    <row r="500" spans="1:14" ht="15" customHeight="1" x14ac:dyDescent="0.25">
      <c r="A500" s="12">
        <v>46189</v>
      </c>
      <c r="B500" s="13" t="s">
        <v>120</v>
      </c>
      <c r="C500" s="13" t="s">
        <v>119</v>
      </c>
      <c r="D500" s="13" t="s">
        <v>97</v>
      </c>
      <c r="E500" s="14">
        <v>0.52</v>
      </c>
      <c r="F500" s="13" t="s">
        <v>55</v>
      </c>
      <c r="G500" s="15">
        <v>738.63</v>
      </c>
      <c r="H500" s="16">
        <v>710.62</v>
      </c>
      <c r="I500" s="16">
        <v>725.23</v>
      </c>
      <c r="K500" s="26">
        <f t="shared" si="28"/>
        <v>-3.7921557478033642E-2</v>
      </c>
      <c r="L500" s="26">
        <f t="shared" si="29"/>
        <v>-1.8141694759216356E-2</v>
      </c>
      <c r="M500" s="26" t="str">
        <f t="shared" si="30"/>
        <v/>
      </c>
      <c r="N500" s="27" t="str">
        <f t="shared" si="31"/>
        <v>NO</v>
      </c>
    </row>
    <row r="501" spans="1:14" ht="15" customHeight="1" x14ac:dyDescent="0.25">
      <c r="A501" s="12">
        <v>46189</v>
      </c>
      <c r="B501" s="13" t="s">
        <v>121</v>
      </c>
      <c r="C501" s="13" t="s">
        <v>119</v>
      </c>
      <c r="D501" s="13" t="s">
        <v>124</v>
      </c>
      <c r="E501" s="14">
        <v>0.68</v>
      </c>
      <c r="F501" s="13" t="s">
        <v>55</v>
      </c>
      <c r="G501" s="15">
        <v>372.15</v>
      </c>
      <c r="H501" s="16">
        <v>363.65</v>
      </c>
      <c r="I501" s="16">
        <v>369.27</v>
      </c>
      <c r="K501" s="26">
        <f t="shared" si="28"/>
        <v>-2.2840252586322721E-2</v>
      </c>
      <c r="L501" s="26">
        <f t="shared" si="29"/>
        <v>-7.738814993954039E-3</v>
      </c>
      <c r="M501" s="26" t="str">
        <f t="shared" si="30"/>
        <v/>
      </c>
      <c r="N501" s="27" t="str">
        <f t="shared" si="31"/>
        <v>NO</v>
      </c>
    </row>
    <row r="502" spans="1:14" ht="15" customHeight="1" x14ac:dyDescent="0.25">
      <c r="A502" s="12">
        <v>46189</v>
      </c>
      <c r="B502" s="13" t="s">
        <v>122</v>
      </c>
      <c r="C502" s="13" t="s">
        <v>119</v>
      </c>
      <c r="D502" s="13" t="s">
        <v>124</v>
      </c>
      <c r="E502" s="14">
        <v>0.65</v>
      </c>
      <c r="F502" s="13" t="s">
        <v>56</v>
      </c>
      <c r="G502" s="15">
        <v>209.12</v>
      </c>
      <c r="H502" s="16">
        <v>199</v>
      </c>
      <c r="I502" s="16">
        <v>197.58</v>
      </c>
      <c r="K502" s="26">
        <f t="shared" si="28"/>
        <v>-4.8393267023718461E-2</v>
      </c>
      <c r="L502" s="26">
        <f t="shared" si="29"/>
        <v>-5.518362662586071E-2</v>
      </c>
      <c r="M502" s="26" t="str">
        <f t="shared" si="30"/>
        <v/>
      </c>
      <c r="N502" s="27" t="str">
        <f t="shared" si="31"/>
        <v>NO</v>
      </c>
    </row>
    <row r="503" spans="1:14" ht="15" customHeight="1" x14ac:dyDescent="0.25">
      <c r="A503" s="12">
        <v>46189</v>
      </c>
      <c r="B503" s="13" t="s">
        <v>123</v>
      </c>
      <c r="C503" s="13" t="s">
        <v>119</v>
      </c>
      <c r="D503" s="13" t="s">
        <v>97</v>
      </c>
      <c r="E503" s="14">
        <v>0.52</v>
      </c>
      <c r="F503" s="13" t="s">
        <v>55</v>
      </c>
      <c r="G503" s="15">
        <v>396.97</v>
      </c>
      <c r="H503" s="16">
        <v>365.92</v>
      </c>
      <c r="I503" s="16">
        <v>370.6</v>
      </c>
      <c r="K503" s="26">
        <f t="shared" si="28"/>
        <v>-7.8217497543895023E-2</v>
      </c>
      <c r="L503" s="26">
        <f t="shared" si="29"/>
        <v>-6.6428193566264462E-2</v>
      </c>
      <c r="M503" s="26" t="str">
        <f t="shared" si="30"/>
        <v/>
      </c>
      <c r="N503" s="27" t="str">
        <f t="shared" si="31"/>
        <v>NO</v>
      </c>
    </row>
    <row r="504" spans="1:14" ht="15" customHeight="1" x14ac:dyDescent="0.25">
      <c r="A504" s="12">
        <v>46190</v>
      </c>
      <c r="B504" s="13" t="s">
        <v>103</v>
      </c>
      <c r="C504" s="13" t="s">
        <v>99</v>
      </c>
      <c r="D504" s="13" t="s">
        <v>97</v>
      </c>
      <c r="E504" s="14">
        <v>0.62</v>
      </c>
      <c r="F504" s="13" t="s">
        <v>55</v>
      </c>
      <c r="G504" s="15">
        <v>300.43</v>
      </c>
      <c r="H504" s="16">
        <v>275.14999999999998</v>
      </c>
      <c r="I504" s="16">
        <v>308.63</v>
      </c>
      <c r="K504" s="26">
        <f t="shared" si="28"/>
        <v>-8.4146057317844525E-2</v>
      </c>
      <c r="L504" s="26">
        <f t="shared" si="29"/>
        <v>2.7294211629996967E-2</v>
      </c>
      <c r="M504" s="26" t="str">
        <f t="shared" si="30"/>
        <v/>
      </c>
      <c r="N504" s="27" t="str">
        <f t="shared" si="31"/>
        <v>NO</v>
      </c>
    </row>
    <row r="505" spans="1:14" ht="15" customHeight="1" x14ac:dyDescent="0.25">
      <c r="A505" s="12">
        <v>46190</v>
      </c>
      <c r="B505" s="13" t="s">
        <v>112</v>
      </c>
      <c r="C505" s="13" t="s">
        <v>113</v>
      </c>
      <c r="D505" s="13" t="s">
        <v>97</v>
      </c>
      <c r="E505" s="14">
        <v>0.52</v>
      </c>
      <c r="F505" s="13" t="s">
        <v>56</v>
      </c>
      <c r="G505" s="15">
        <v>19.95</v>
      </c>
      <c r="H505" s="16">
        <v>16.5</v>
      </c>
      <c r="I505" s="16">
        <v>17.82</v>
      </c>
      <c r="K505" s="26">
        <f t="shared" si="28"/>
        <v>-0.17293233082706763</v>
      </c>
      <c r="L505" s="26">
        <f t="shared" si="29"/>
        <v>-0.10676691729323304</v>
      </c>
      <c r="M505" s="26" t="str">
        <f t="shared" si="30"/>
        <v/>
      </c>
      <c r="N505" s="27" t="str">
        <f t="shared" si="31"/>
        <v>NO</v>
      </c>
    </row>
    <row r="506" spans="1:14" ht="15" customHeight="1" x14ac:dyDescent="0.25">
      <c r="A506" s="12">
        <v>46190</v>
      </c>
      <c r="B506" s="13" t="s">
        <v>105</v>
      </c>
      <c r="C506" s="13" t="s">
        <v>96</v>
      </c>
      <c r="D506" s="13" t="s">
        <v>97</v>
      </c>
      <c r="E506" s="14">
        <v>0.6</v>
      </c>
      <c r="F506" s="13" t="s">
        <v>55</v>
      </c>
      <c r="G506" s="15">
        <v>65.474999999999994</v>
      </c>
      <c r="H506" s="16">
        <v>64.180000000000007</v>
      </c>
      <c r="I506" s="16">
        <v>61.85</v>
      </c>
      <c r="K506" s="26">
        <f t="shared" si="28"/>
        <v>-1.9778541428025775E-2</v>
      </c>
      <c r="L506" s="26">
        <f t="shared" si="29"/>
        <v>-5.5364642993508871E-2</v>
      </c>
      <c r="M506" s="26" t="str">
        <f t="shared" si="30"/>
        <v/>
      </c>
      <c r="N506" s="27" t="str">
        <f t="shared" si="31"/>
        <v>YES</v>
      </c>
    </row>
    <row r="507" spans="1:14" ht="15" customHeight="1" x14ac:dyDescent="0.25">
      <c r="A507" s="12">
        <v>46190</v>
      </c>
      <c r="B507" s="13" t="s">
        <v>114</v>
      </c>
      <c r="C507" s="13" t="s">
        <v>113</v>
      </c>
      <c r="D507" s="13" t="s">
        <v>97</v>
      </c>
      <c r="E507" s="14">
        <v>0.42</v>
      </c>
      <c r="F507" s="13" t="s">
        <v>56</v>
      </c>
      <c r="G507" s="15">
        <v>223.79499999999999</v>
      </c>
      <c r="H507" s="16">
        <v>168.52</v>
      </c>
      <c r="I507" s="16">
        <v>204.86</v>
      </c>
      <c r="K507" s="26">
        <f t="shared" si="28"/>
        <v>-0.24698943229294659</v>
      </c>
      <c r="L507" s="26">
        <f t="shared" si="29"/>
        <v>-8.4608682052771403E-2</v>
      </c>
      <c r="M507" s="26" t="str">
        <f t="shared" si="30"/>
        <v/>
      </c>
      <c r="N507" s="27" t="str">
        <f t="shared" si="31"/>
        <v>NO</v>
      </c>
    </row>
    <row r="508" spans="1:14" ht="15" customHeight="1" x14ac:dyDescent="0.25">
      <c r="A508" s="12">
        <v>46190</v>
      </c>
      <c r="B508" s="13" t="s">
        <v>116</v>
      </c>
      <c r="C508" s="13" t="s">
        <v>113</v>
      </c>
      <c r="D508" s="13" t="s">
        <v>97</v>
      </c>
      <c r="E508" s="14">
        <v>0.45</v>
      </c>
      <c r="F508" s="13" t="s">
        <v>56</v>
      </c>
      <c r="G508" s="15">
        <v>17.04</v>
      </c>
      <c r="H508" s="16">
        <v>16.95</v>
      </c>
      <c r="I508" s="16">
        <v>16.86</v>
      </c>
      <c r="K508" s="26">
        <f t="shared" si="28"/>
        <v>-5.2816901408450625E-3</v>
      </c>
      <c r="L508" s="26">
        <f t="shared" si="29"/>
        <v>-1.0563380281690125E-2</v>
      </c>
      <c r="M508" s="26" t="str">
        <f t="shared" si="30"/>
        <v/>
      </c>
      <c r="N508" s="27" t="str">
        <f t="shared" si="31"/>
        <v>YES</v>
      </c>
    </row>
    <row r="509" spans="1:14" ht="15" customHeight="1" x14ac:dyDescent="0.25">
      <c r="A509" s="12">
        <v>46190</v>
      </c>
      <c r="B509" s="13" t="s">
        <v>104</v>
      </c>
      <c r="C509" s="13" t="s">
        <v>96</v>
      </c>
      <c r="D509" s="13" t="s">
        <v>97</v>
      </c>
      <c r="E509" s="14">
        <v>0.42</v>
      </c>
      <c r="F509" s="13" t="s">
        <v>56</v>
      </c>
      <c r="G509" s="15">
        <v>33.79</v>
      </c>
      <c r="H509" s="16">
        <v>29.31</v>
      </c>
      <c r="I509" s="16">
        <v>27.71</v>
      </c>
      <c r="K509" s="26">
        <f t="shared" si="28"/>
        <v>-0.13258360461675053</v>
      </c>
      <c r="L509" s="26">
        <f t="shared" si="29"/>
        <v>-0.17993489197987567</v>
      </c>
      <c r="M509" s="26" t="str">
        <f t="shared" si="30"/>
        <v/>
      </c>
      <c r="N509" s="27" t="str">
        <f t="shared" si="31"/>
        <v>NO</v>
      </c>
    </row>
    <row r="510" spans="1:14" ht="15" customHeight="1" x14ac:dyDescent="0.25">
      <c r="A510" s="12">
        <v>46190</v>
      </c>
      <c r="B510" s="13" t="s">
        <v>111</v>
      </c>
      <c r="C510" s="13" t="s">
        <v>113</v>
      </c>
      <c r="D510" s="13" t="s">
        <v>97</v>
      </c>
      <c r="E510" s="14">
        <v>0.57999999999999996</v>
      </c>
      <c r="F510" s="13" t="s">
        <v>56</v>
      </c>
      <c r="G510" s="15">
        <v>67.38</v>
      </c>
      <c r="H510" s="16">
        <v>67.03</v>
      </c>
      <c r="I510" s="16">
        <v>66.75</v>
      </c>
      <c r="K510" s="26">
        <f t="shared" si="28"/>
        <v>-5.1944197091124125E-3</v>
      </c>
      <c r="L510" s="26">
        <f t="shared" si="29"/>
        <v>-9.3499554764024263E-3</v>
      </c>
      <c r="M510" s="26" t="str">
        <f t="shared" si="30"/>
        <v/>
      </c>
      <c r="N510" s="27" t="str">
        <f t="shared" si="31"/>
        <v>YES</v>
      </c>
    </row>
    <row r="511" spans="1:14" ht="15" customHeight="1" x14ac:dyDescent="0.25">
      <c r="A511" s="12">
        <v>46190</v>
      </c>
      <c r="B511" s="13" t="s">
        <v>107</v>
      </c>
      <c r="C511" s="13" t="s">
        <v>96</v>
      </c>
      <c r="D511" s="13" t="s">
        <v>97</v>
      </c>
      <c r="E511" s="14">
        <v>0.62</v>
      </c>
      <c r="F511" s="13" t="s">
        <v>55</v>
      </c>
      <c r="G511" s="15">
        <v>82.81</v>
      </c>
      <c r="H511" s="16">
        <v>78.53</v>
      </c>
      <c r="I511" s="16">
        <v>76</v>
      </c>
      <c r="K511" s="26">
        <f t="shared" si="28"/>
        <v>-5.1684579157106642E-2</v>
      </c>
      <c r="L511" s="26">
        <f t="shared" si="29"/>
        <v>-8.2236444873807532E-2</v>
      </c>
      <c r="M511" s="26" t="str">
        <f t="shared" si="30"/>
        <v/>
      </c>
      <c r="N511" s="27" t="str">
        <f t="shared" si="31"/>
        <v>NO</v>
      </c>
    </row>
    <row r="512" spans="1:14" ht="15" customHeight="1" x14ac:dyDescent="0.25">
      <c r="A512" s="12">
        <v>46190</v>
      </c>
      <c r="B512" s="13" t="s">
        <v>106</v>
      </c>
      <c r="C512" s="13" t="s">
        <v>99</v>
      </c>
      <c r="D512" s="13" t="s">
        <v>97</v>
      </c>
      <c r="E512" s="14">
        <v>0.62</v>
      </c>
      <c r="F512" s="13" t="s">
        <v>55</v>
      </c>
      <c r="G512" s="15">
        <v>336.42</v>
      </c>
      <c r="H512" s="16">
        <v>335.12</v>
      </c>
      <c r="I512" s="16">
        <v>332.97</v>
      </c>
      <c r="K512" s="26">
        <f t="shared" si="28"/>
        <v>-3.8642173473634484E-3</v>
      </c>
      <c r="L512" s="26">
        <f t="shared" si="29"/>
        <v>-1.0255038344925952E-2</v>
      </c>
      <c r="M512" s="26" t="str">
        <f t="shared" si="30"/>
        <v/>
      </c>
      <c r="N512" s="27" t="str">
        <f t="shared" si="31"/>
        <v>YES</v>
      </c>
    </row>
    <row r="513" spans="1:14" ht="15" customHeight="1" x14ac:dyDescent="0.25">
      <c r="A513" s="12">
        <v>46190</v>
      </c>
      <c r="B513" s="13" t="s">
        <v>100</v>
      </c>
      <c r="C513" s="13" t="s">
        <v>96</v>
      </c>
      <c r="D513" s="13" t="s">
        <v>97</v>
      </c>
      <c r="E513" s="14">
        <v>0.55000000000000004</v>
      </c>
      <c r="F513" s="13" t="s">
        <v>55</v>
      </c>
      <c r="G513" s="15">
        <v>387.38</v>
      </c>
      <c r="H513" s="16">
        <v>352.83</v>
      </c>
      <c r="I513" s="16">
        <v>390.49</v>
      </c>
      <c r="K513" s="26">
        <f t="shared" si="28"/>
        <v>-8.9188910114099879E-2</v>
      </c>
      <c r="L513" s="26">
        <f t="shared" si="29"/>
        <v>8.0282926325572143E-3</v>
      </c>
      <c r="M513" s="26" t="str">
        <f t="shared" si="30"/>
        <v/>
      </c>
      <c r="N513" s="27" t="str">
        <f t="shared" si="31"/>
        <v>NO</v>
      </c>
    </row>
    <row r="514" spans="1:14" ht="15" customHeight="1" x14ac:dyDescent="0.25">
      <c r="A514" s="12">
        <v>46190</v>
      </c>
      <c r="B514" s="13" t="s">
        <v>101</v>
      </c>
      <c r="C514" s="13" t="s">
        <v>99</v>
      </c>
      <c r="D514" s="13" t="s">
        <v>97</v>
      </c>
      <c r="E514" s="14">
        <v>0.55000000000000004</v>
      </c>
      <c r="F514" s="13" t="s">
        <v>55</v>
      </c>
      <c r="G514" s="15">
        <v>45.33</v>
      </c>
      <c r="H514" s="16">
        <v>40.9</v>
      </c>
      <c r="I514" s="16">
        <v>44.09</v>
      </c>
      <c r="K514" s="26">
        <f t="shared" si="28"/>
        <v>-9.7727774101036835E-2</v>
      </c>
      <c r="L514" s="26">
        <f t="shared" si="29"/>
        <v>-2.7354952570041804E-2</v>
      </c>
      <c r="M514" s="26" t="str">
        <f t="shared" si="30"/>
        <v/>
      </c>
      <c r="N514" s="27" t="str">
        <f t="shared" si="31"/>
        <v>NO</v>
      </c>
    </row>
    <row r="515" spans="1:14" ht="15" customHeight="1" x14ac:dyDescent="0.25">
      <c r="A515" s="12">
        <v>46190</v>
      </c>
      <c r="B515" s="13" t="s">
        <v>98</v>
      </c>
      <c r="C515" s="13" t="s">
        <v>96</v>
      </c>
      <c r="D515" s="13" t="s">
        <v>97</v>
      </c>
      <c r="E515" s="14">
        <v>0.52</v>
      </c>
      <c r="F515" s="13" t="s">
        <v>55</v>
      </c>
      <c r="G515" s="15">
        <v>65.644999999999996</v>
      </c>
      <c r="H515" s="16">
        <v>60.96</v>
      </c>
      <c r="I515" s="16">
        <v>65.06</v>
      </c>
      <c r="K515" s="26">
        <f t="shared" si="28"/>
        <v>-7.1368725721684748E-2</v>
      </c>
      <c r="L515" s="26">
        <f t="shared" si="29"/>
        <v>-8.9115698072967289E-3</v>
      </c>
      <c r="M515" s="26" t="str">
        <f t="shared" si="30"/>
        <v/>
      </c>
      <c r="N515" s="27" t="str">
        <f t="shared" si="31"/>
        <v>NO</v>
      </c>
    </row>
    <row r="516" spans="1:14" ht="15" customHeight="1" x14ac:dyDescent="0.25">
      <c r="A516" s="12">
        <v>46190</v>
      </c>
      <c r="B516" s="13" t="s">
        <v>110</v>
      </c>
      <c r="C516" s="13" t="s">
        <v>99</v>
      </c>
      <c r="D516" s="13" t="s">
        <v>97</v>
      </c>
      <c r="E516" s="14">
        <v>0.65</v>
      </c>
      <c r="F516" s="13" t="s">
        <v>55</v>
      </c>
      <c r="G516" s="15">
        <v>180.45500000000001</v>
      </c>
      <c r="H516" s="16">
        <v>178.93</v>
      </c>
      <c r="I516" s="16">
        <v>182.27</v>
      </c>
      <c r="K516" s="26">
        <f t="shared" si="28"/>
        <v>-8.4508603252888836E-3</v>
      </c>
      <c r="L516" s="26">
        <f t="shared" si="29"/>
        <v>1.0057909174032294E-2</v>
      </c>
      <c r="M516" s="26" t="str">
        <f t="shared" si="30"/>
        <v/>
      </c>
      <c r="N516" s="27" t="str">
        <f t="shared" si="31"/>
        <v>YES</v>
      </c>
    </row>
    <row r="517" spans="1:14" ht="15" customHeight="1" x14ac:dyDescent="0.25">
      <c r="A517" s="12">
        <v>46190</v>
      </c>
      <c r="B517" s="13" t="s">
        <v>108</v>
      </c>
      <c r="C517" s="13" t="s">
        <v>99</v>
      </c>
      <c r="D517" s="13" t="s">
        <v>97</v>
      </c>
      <c r="E517" s="14">
        <v>0.62</v>
      </c>
      <c r="F517" s="13" t="s">
        <v>55</v>
      </c>
      <c r="G517" s="15">
        <v>716.89</v>
      </c>
      <c r="H517" s="16">
        <v>718.59</v>
      </c>
      <c r="I517" s="16">
        <v>668.31</v>
      </c>
      <c r="K517" s="26">
        <f t="shared" ref="K517:K580" si="32">IF(H517="","",(H517-G517)/G517)</f>
        <v>2.3713540431587071E-3</v>
      </c>
      <c r="L517" s="26">
        <f t="shared" ref="L517:L580" si="33">IF(I517="","",(I517-G517)/G517)</f>
        <v>-6.7764929068615878E-2</v>
      </c>
      <c r="M517" s="26" t="str">
        <f t="shared" ref="M517:M580" si="34">IF(J517="","",(J517-G517)/G517)</f>
        <v/>
      </c>
      <c r="N517" s="27" t="str">
        <f t="shared" ref="N517:N580" si="35">IF(H517="","",IF(D517="HOLD",IF(ABS(K517)&lt;0.03,"YES","NO"),IF(D517="BUY",IF(K517&gt;0,"YES","NO"),IF(D517="SELL",IF(K517&lt;0,"YES","NO"),""))))</f>
        <v>YES</v>
      </c>
    </row>
    <row r="518" spans="1:14" ht="15" customHeight="1" x14ac:dyDescent="0.25">
      <c r="A518" s="12">
        <v>46190</v>
      </c>
      <c r="B518" s="13" t="s">
        <v>115</v>
      </c>
      <c r="C518" s="13" t="s">
        <v>113</v>
      </c>
      <c r="D518" s="13" t="s">
        <v>97</v>
      </c>
      <c r="E518" s="14">
        <v>0.62</v>
      </c>
      <c r="F518" s="13" t="s">
        <v>55</v>
      </c>
      <c r="G518" s="15">
        <v>189.47</v>
      </c>
      <c r="H518" s="16">
        <v>186.59</v>
      </c>
      <c r="I518" s="16">
        <v>199.25</v>
      </c>
      <c r="K518" s="26">
        <f t="shared" si="32"/>
        <v>-1.5200295561302557E-2</v>
      </c>
      <c r="L518" s="26">
        <f t="shared" si="33"/>
        <v>5.1617670343590022E-2</v>
      </c>
      <c r="M518" s="26" t="str">
        <f t="shared" si="34"/>
        <v/>
      </c>
      <c r="N518" s="27" t="str">
        <f t="shared" si="35"/>
        <v>YES</v>
      </c>
    </row>
    <row r="519" spans="1:14" ht="15" customHeight="1" x14ac:dyDescent="0.25">
      <c r="A519" s="12">
        <v>46190</v>
      </c>
      <c r="B519" s="13" t="s">
        <v>102</v>
      </c>
      <c r="C519" s="13" t="s">
        <v>99</v>
      </c>
      <c r="D519" s="13" t="s">
        <v>97</v>
      </c>
      <c r="E519" s="14">
        <v>0.68</v>
      </c>
      <c r="F519" s="13" t="s">
        <v>55</v>
      </c>
      <c r="G519" s="15">
        <v>32.405000000000001</v>
      </c>
      <c r="H519" s="16">
        <v>31.96</v>
      </c>
      <c r="I519" s="16">
        <v>32.39</v>
      </c>
      <c r="K519" s="26">
        <f t="shared" si="32"/>
        <v>-1.3732448696188868E-2</v>
      </c>
      <c r="L519" s="26">
        <f t="shared" si="33"/>
        <v>-4.6289152908503527E-4</v>
      </c>
      <c r="M519" s="26" t="str">
        <f t="shared" si="34"/>
        <v/>
      </c>
      <c r="N519" s="27" t="str">
        <f t="shared" si="35"/>
        <v>YES</v>
      </c>
    </row>
    <row r="520" spans="1:14" ht="15" customHeight="1" x14ac:dyDescent="0.25">
      <c r="A520" s="12">
        <v>46190</v>
      </c>
      <c r="B520" s="13" t="s">
        <v>117</v>
      </c>
      <c r="C520" s="13" t="s">
        <v>113</v>
      </c>
      <c r="D520" s="13" t="s">
        <v>97</v>
      </c>
      <c r="E520" s="14">
        <v>0.52</v>
      </c>
      <c r="F520" s="13" t="s">
        <v>56</v>
      </c>
      <c r="G520" s="15">
        <v>5.1449999999999996</v>
      </c>
      <c r="H520" s="16">
        <v>4.7</v>
      </c>
      <c r="I520" s="16">
        <v>4.7</v>
      </c>
      <c r="K520" s="26">
        <f t="shared" si="32"/>
        <v>-8.6491739552963937E-2</v>
      </c>
      <c r="L520" s="26">
        <f t="shared" si="33"/>
        <v>-8.6491739552963937E-2</v>
      </c>
      <c r="M520" s="26" t="str">
        <f t="shared" si="34"/>
        <v/>
      </c>
      <c r="N520" s="27" t="str">
        <f t="shared" si="35"/>
        <v>NO</v>
      </c>
    </row>
    <row r="521" spans="1:14" ht="15" customHeight="1" x14ac:dyDescent="0.25">
      <c r="A521" s="12">
        <v>46190</v>
      </c>
      <c r="B521" s="13" t="s">
        <v>95</v>
      </c>
      <c r="C521" s="13" t="s">
        <v>96</v>
      </c>
      <c r="D521" s="13" t="s">
        <v>97</v>
      </c>
      <c r="E521" s="14">
        <v>0.55000000000000004</v>
      </c>
      <c r="F521" s="13" t="s">
        <v>55</v>
      </c>
      <c r="G521" s="15">
        <v>119.99</v>
      </c>
      <c r="H521" s="16">
        <v>115.78</v>
      </c>
      <c r="I521" s="16">
        <v>111.84</v>
      </c>
      <c r="K521" s="26">
        <f t="shared" si="32"/>
        <v>-3.5086257188098956E-2</v>
      </c>
      <c r="L521" s="26">
        <f t="shared" si="33"/>
        <v>-6.7922326860571647E-2</v>
      </c>
      <c r="M521" s="26" t="str">
        <f t="shared" si="34"/>
        <v/>
      </c>
      <c r="N521" s="27" t="str">
        <f t="shared" si="35"/>
        <v>NO</v>
      </c>
    </row>
    <row r="522" spans="1:14" ht="15" customHeight="1" x14ac:dyDescent="0.25">
      <c r="A522" s="12">
        <v>46190</v>
      </c>
      <c r="B522" s="13" t="s">
        <v>109</v>
      </c>
      <c r="C522" s="13" t="s">
        <v>99</v>
      </c>
      <c r="D522" s="13" t="s">
        <v>97</v>
      </c>
      <c r="E522" s="14">
        <v>0.55000000000000004</v>
      </c>
      <c r="F522" s="13" t="s">
        <v>55</v>
      </c>
      <c r="G522" s="15">
        <v>44.98</v>
      </c>
      <c r="H522" s="16">
        <v>45.85</v>
      </c>
      <c r="I522" s="16">
        <v>45.76</v>
      </c>
      <c r="K522" s="26">
        <f t="shared" si="32"/>
        <v>1.9341929746554125E-2</v>
      </c>
      <c r="L522" s="26">
        <f t="shared" si="33"/>
        <v>1.7341040462427772E-2</v>
      </c>
      <c r="M522" s="26" t="str">
        <f t="shared" si="34"/>
        <v/>
      </c>
      <c r="N522" s="27" t="str">
        <f t="shared" si="35"/>
        <v>YES</v>
      </c>
    </row>
    <row r="523" spans="1:14" ht="15" customHeight="1" x14ac:dyDescent="0.25">
      <c r="A523" s="12">
        <v>46190</v>
      </c>
      <c r="B523" s="13" t="s">
        <v>118</v>
      </c>
      <c r="C523" s="13" t="s">
        <v>119</v>
      </c>
      <c r="D523" s="13" t="s">
        <v>97</v>
      </c>
      <c r="E523" s="14">
        <v>0.55000000000000004</v>
      </c>
      <c r="F523" s="13" t="s">
        <v>55</v>
      </c>
      <c r="G523" s="15">
        <v>750.7</v>
      </c>
      <c r="H523" s="16">
        <v>734.3</v>
      </c>
      <c r="I523" s="16">
        <v>744.78</v>
      </c>
      <c r="K523" s="26">
        <f t="shared" si="32"/>
        <v>-2.1846276808312363E-2</v>
      </c>
      <c r="L523" s="26">
        <f t="shared" si="33"/>
        <v>-7.8859730917811011E-3</v>
      </c>
      <c r="M523" s="26" t="str">
        <f t="shared" si="34"/>
        <v/>
      </c>
      <c r="N523" s="27" t="str">
        <f t="shared" si="35"/>
        <v>YES</v>
      </c>
    </row>
    <row r="524" spans="1:14" ht="15" customHeight="1" x14ac:dyDescent="0.25">
      <c r="A524" s="12">
        <v>46190</v>
      </c>
      <c r="B524" s="13" t="s">
        <v>120</v>
      </c>
      <c r="C524" s="13" t="s">
        <v>119</v>
      </c>
      <c r="D524" s="13" t="s">
        <v>97</v>
      </c>
      <c r="E524" s="14">
        <v>0.52</v>
      </c>
      <c r="F524" s="13" t="s">
        <v>56</v>
      </c>
      <c r="G524" s="15">
        <v>733.63</v>
      </c>
      <c r="H524" s="16">
        <v>716.38</v>
      </c>
      <c r="I524" s="16">
        <v>712.6</v>
      </c>
      <c r="K524" s="26">
        <f t="shared" si="32"/>
        <v>-2.3513215108433405E-2</v>
      </c>
      <c r="L524" s="26">
        <f t="shared" si="33"/>
        <v>-2.8665676158281386E-2</v>
      </c>
      <c r="M524" s="26" t="str">
        <f t="shared" si="34"/>
        <v/>
      </c>
      <c r="N524" s="27" t="str">
        <f t="shared" si="35"/>
        <v>YES</v>
      </c>
    </row>
    <row r="525" spans="1:14" ht="15" customHeight="1" x14ac:dyDescent="0.25">
      <c r="A525" s="12">
        <v>46190</v>
      </c>
      <c r="B525" s="13" t="s">
        <v>121</v>
      </c>
      <c r="C525" s="13" t="s">
        <v>119</v>
      </c>
      <c r="D525" s="13" t="s">
        <v>97</v>
      </c>
      <c r="E525" s="14">
        <v>0.57999999999999996</v>
      </c>
      <c r="F525" s="13" t="s">
        <v>55</v>
      </c>
      <c r="G525" s="15">
        <v>370.80500000000001</v>
      </c>
      <c r="H525" s="16">
        <v>363.98</v>
      </c>
      <c r="I525" s="16">
        <v>368.76</v>
      </c>
      <c r="K525" s="26">
        <f t="shared" si="32"/>
        <v>-1.8405900675557203E-2</v>
      </c>
      <c r="L525" s="26">
        <f t="shared" si="33"/>
        <v>-5.515028114507668E-3</v>
      </c>
      <c r="M525" s="26" t="str">
        <f t="shared" si="34"/>
        <v/>
      </c>
      <c r="N525" s="27" t="str">
        <f t="shared" si="35"/>
        <v>YES</v>
      </c>
    </row>
    <row r="526" spans="1:14" ht="15" customHeight="1" x14ac:dyDescent="0.25">
      <c r="A526" s="12">
        <v>46190</v>
      </c>
      <c r="B526" s="13" t="s">
        <v>122</v>
      </c>
      <c r="C526" s="13" t="s">
        <v>119</v>
      </c>
      <c r="D526" s="13" t="s">
        <v>97</v>
      </c>
      <c r="E526" s="14">
        <v>0.55000000000000004</v>
      </c>
      <c r="F526" s="13" t="s">
        <v>55</v>
      </c>
      <c r="G526" s="15">
        <v>207.50149999999999</v>
      </c>
      <c r="H526" s="16">
        <v>195.74</v>
      </c>
      <c r="I526" s="16">
        <v>194.83</v>
      </c>
      <c r="K526" s="26">
        <f t="shared" si="32"/>
        <v>-5.6681517964930296E-2</v>
      </c>
      <c r="L526" s="26">
        <f t="shared" si="33"/>
        <v>-6.1067028431119684E-2</v>
      </c>
      <c r="M526" s="26" t="str">
        <f t="shared" si="34"/>
        <v/>
      </c>
      <c r="N526" s="27" t="str">
        <f t="shared" si="35"/>
        <v>NO</v>
      </c>
    </row>
    <row r="527" spans="1:14" ht="15" customHeight="1" x14ac:dyDescent="0.25">
      <c r="A527" s="12">
        <v>46190</v>
      </c>
      <c r="B527" s="13" t="s">
        <v>123</v>
      </c>
      <c r="C527" s="13" t="s">
        <v>119</v>
      </c>
      <c r="D527" s="13" t="s">
        <v>97</v>
      </c>
      <c r="E527" s="14">
        <v>0.55000000000000004</v>
      </c>
      <c r="F527" s="13" t="s">
        <v>55</v>
      </c>
      <c r="G527" s="15">
        <v>399.96</v>
      </c>
      <c r="H527" s="16">
        <v>368.46</v>
      </c>
      <c r="I527" s="16">
        <v>379.13</v>
      </c>
      <c r="K527" s="26">
        <f t="shared" si="32"/>
        <v>-7.8757875787578757E-2</v>
      </c>
      <c r="L527" s="26">
        <f t="shared" si="33"/>
        <v>-5.2080208020802043E-2</v>
      </c>
      <c r="M527" s="26" t="str">
        <f t="shared" si="34"/>
        <v/>
      </c>
      <c r="N527" s="27" t="str">
        <f t="shared" si="35"/>
        <v>NO</v>
      </c>
    </row>
    <row r="528" spans="1:14" ht="15" customHeight="1" x14ac:dyDescent="0.25">
      <c r="A528" s="12">
        <v>46191</v>
      </c>
      <c r="B528" s="13" t="s">
        <v>103</v>
      </c>
      <c r="C528" s="13" t="s">
        <v>99</v>
      </c>
      <c r="D528" s="13" t="s">
        <v>97</v>
      </c>
      <c r="E528" s="14">
        <v>0.57999999999999996</v>
      </c>
      <c r="F528" s="13" t="s">
        <v>55</v>
      </c>
      <c r="G528" s="15">
        <v>299.57</v>
      </c>
      <c r="H528" s="16">
        <v>283.77999999999997</v>
      </c>
      <c r="I528" s="16">
        <v>312.66000000000003</v>
      </c>
      <c r="K528" s="26">
        <f t="shared" si="32"/>
        <v>-5.2708882731915818E-2</v>
      </c>
      <c r="L528" s="26">
        <f t="shared" si="33"/>
        <v>4.3695964215375478E-2</v>
      </c>
      <c r="M528" s="26" t="str">
        <f t="shared" si="34"/>
        <v/>
      </c>
      <c r="N528" s="27" t="str">
        <f t="shared" si="35"/>
        <v>NO</v>
      </c>
    </row>
    <row r="529" spans="1:14" ht="15" customHeight="1" x14ac:dyDescent="0.25">
      <c r="A529" s="12">
        <v>46191</v>
      </c>
      <c r="B529" s="13" t="s">
        <v>112</v>
      </c>
      <c r="C529" s="13" t="s">
        <v>113</v>
      </c>
      <c r="D529" s="13" t="s">
        <v>97</v>
      </c>
      <c r="E529" s="14">
        <v>0.48</v>
      </c>
      <c r="F529" s="13" t="s">
        <v>56</v>
      </c>
      <c r="G529" s="15">
        <v>18.355</v>
      </c>
      <c r="H529" s="16">
        <v>19.89</v>
      </c>
      <c r="I529" s="16">
        <v>17.309999999999999</v>
      </c>
      <c r="K529" s="26">
        <f t="shared" si="32"/>
        <v>8.3628439117406708E-2</v>
      </c>
      <c r="L529" s="26">
        <f t="shared" si="33"/>
        <v>-5.6932715881231361E-2</v>
      </c>
      <c r="M529" s="26" t="str">
        <f t="shared" si="34"/>
        <v/>
      </c>
      <c r="N529" s="27" t="str">
        <f t="shared" si="35"/>
        <v>NO</v>
      </c>
    </row>
    <row r="530" spans="1:14" ht="15" customHeight="1" x14ac:dyDescent="0.25">
      <c r="A530" s="12">
        <v>46191</v>
      </c>
      <c r="B530" s="13" t="s">
        <v>105</v>
      </c>
      <c r="C530" s="13" t="s">
        <v>96</v>
      </c>
      <c r="D530" s="13" t="s">
        <v>97</v>
      </c>
      <c r="E530" s="14">
        <v>0.62</v>
      </c>
      <c r="F530" s="13" t="s">
        <v>56</v>
      </c>
      <c r="G530" s="15">
        <v>66.040000000000006</v>
      </c>
      <c r="H530" s="16">
        <v>63.15</v>
      </c>
      <c r="I530" s="16">
        <v>63.84</v>
      </c>
      <c r="K530" s="26">
        <f t="shared" si="32"/>
        <v>-4.3761356753482847E-2</v>
      </c>
      <c r="L530" s="26">
        <f t="shared" si="33"/>
        <v>-3.3313143549364065E-2</v>
      </c>
      <c r="M530" s="26" t="str">
        <f t="shared" si="34"/>
        <v/>
      </c>
      <c r="N530" s="27" t="str">
        <f t="shared" si="35"/>
        <v>NO</v>
      </c>
    </row>
    <row r="531" spans="1:14" ht="15" customHeight="1" x14ac:dyDescent="0.25">
      <c r="A531" s="12">
        <v>46191</v>
      </c>
      <c r="B531" s="13" t="s">
        <v>114</v>
      </c>
      <c r="C531" s="13" t="s">
        <v>113</v>
      </c>
      <c r="D531" s="13" t="s">
        <v>97</v>
      </c>
      <c r="E531" s="14">
        <v>0.42</v>
      </c>
      <c r="F531" s="13" t="s">
        <v>56</v>
      </c>
      <c r="G531" s="15">
        <v>232.74</v>
      </c>
      <c r="H531" s="16">
        <v>181.59</v>
      </c>
      <c r="I531" s="16">
        <v>192.01</v>
      </c>
      <c r="K531" s="26">
        <f t="shared" si="32"/>
        <v>-0.21977313740654811</v>
      </c>
      <c r="L531" s="26">
        <f t="shared" si="33"/>
        <v>-0.17500214832001382</v>
      </c>
      <c r="M531" s="26" t="str">
        <f t="shared" si="34"/>
        <v/>
      </c>
      <c r="N531" s="27" t="str">
        <f t="shared" si="35"/>
        <v>NO</v>
      </c>
    </row>
    <row r="532" spans="1:14" ht="15" customHeight="1" x14ac:dyDescent="0.25">
      <c r="A532" s="12">
        <v>46191</v>
      </c>
      <c r="B532" s="13" t="s">
        <v>116</v>
      </c>
      <c r="C532" s="13" t="s">
        <v>113</v>
      </c>
      <c r="D532" s="13" t="s">
        <v>97</v>
      </c>
      <c r="E532" s="14">
        <v>0.42</v>
      </c>
      <c r="F532" s="13" t="s">
        <v>56</v>
      </c>
      <c r="G532" s="15">
        <v>16.98</v>
      </c>
      <c r="H532" s="16">
        <v>16.86</v>
      </c>
      <c r="I532" s="16">
        <v>17.45</v>
      </c>
      <c r="K532" s="26">
        <f t="shared" si="32"/>
        <v>-7.0671378091873372E-3</v>
      </c>
      <c r="L532" s="26">
        <f t="shared" si="33"/>
        <v>2.7679623085983443E-2</v>
      </c>
      <c r="M532" s="26" t="str">
        <f t="shared" si="34"/>
        <v/>
      </c>
      <c r="N532" s="27" t="str">
        <f t="shared" si="35"/>
        <v>YES</v>
      </c>
    </row>
    <row r="533" spans="1:14" ht="15" customHeight="1" x14ac:dyDescent="0.25">
      <c r="A533" s="12">
        <v>46191</v>
      </c>
      <c r="B533" s="13" t="s">
        <v>104</v>
      </c>
      <c r="C533" s="13" t="s">
        <v>96</v>
      </c>
      <c r="D533" s="13" t="s">
        <v>97</v>
      </c>
      <c r="E533" s="14">
        <v>0.42</v>
      </c>
      <c r="F533" s="13" t="s">
        <v>55</v>
      </c>
      <c r="G533" s="15">
        <v>31.93</v>
      </c>
      <c r="H533" s="16">
        <v>29.04</v>
      </c>
      <c r="I533" s="16">
        <v>27.33</v>
      </c>
      <c r="K533" s="26">
        <f t="shared" si="32"/>
        <v>-9.0510491700595067E-2</v>
      </c>
      <c r="L533" s="26">
        <f t="shared" si="33"/>
        <v>-0.14406514249921709</v>
      </c>
      <c r="M533" s="26" t="str">
        <f t="shared" si="34"/>
        <v/>
      </c>
      <c r="N533" s="27" t="str">
        <f t="shared" si="35"/>
        <v>NO</v>
      </c>
    </row>
    <row r="534" spans="1:14" ht="15" customHeight="1" x14ac:dyDescent="0.25">
      <c r="A534" s="12">
        <v>46191</v>
      </c>
      <c r="B534" s="13" t="s">
        <v>111</v>
      </c>
      <c r="C534" s="13" t="s">
        <v>113</v>
      </c>
      <c r="D534" s="13" t="s">
        <v>97</v>
      </c>
      <c r="E534" s="14">
        <v>0.55000000000000004</v>
      </c>
      <c r="F534" s="13" t="s">
        <v>55</v>
      </c>
      <c r="G534" s="15">
        <v>64.19</v>
      </c>
      <c r="H534" s="16">
        <v>64.44</v>
      </c>
      <c r="I534" s="16">
        <v>67.260000000000005</v>
      </c>
      <c r="K534" s="26">
        <f t="shared" si="32"/>
        <v>3.8946876460507871E-3</v>
      </c>
      <c r="L534" s="26">
        <f t="shared" si="33"/>
        <v>4.7826764293503778E-2</v>
      </c>
      <c r="M534" s="26" t="str">
        <f t="shared" si="34"/>
        <v/>
      </c>
      <c r="N534" s="27" t="str">
        <f t="shared" si="35"/>
        <v>YES</v>
      </c>
    </row>
    <row r="535" spans="1:14" ht="15" customHeight="1" x14ac:dyDescent="0.25">
      <c r="A535" s="12">
        <v>46191</v>
      </c>
      <c r="B535" s="13" t="s">
        <v>107</v>
      </c>
      <c r="C535" s="13" t="s">
        <v>96</v>
      </c>
      <c r="D535" s="13" t="s">
        <v>97</v>
      </c>
      <c r="E535" s="14">
        <v>0.62</v>
      </c>
      <c r="F535" s="13" t="s">
        <v>55</v>
      </c>
      <c r="G535" s="15">
        <v>79.55</v>
      </c>
      <c r="H535" s="16">
        <v>78.099999999999994</v>
      </c>
      <c r="I535" s="16">
        <v>77.849999999999994</v>
      </c>
      <c r="K535" s="26">
        <f t="shared" si="32"/>
        <v>-1.822752985543687E-2</v>
      </c>
      <c r="L535" s="26">
        <f t="shared" si="33"/>
        <v>-2.1370207416719082E-2</v>
      </c>
      <c r="M535" s="26" t="str">
        <f t="shared" si="34"/>
        <v/>
      </c>
      <c r="N535" s="27" t="str">
        <f t="shared" si="35"/>
        <v>YES</v>
      </c>
    </row>
    <row r="536" spans="1:14" ht="15" customHeight="1" x14ac:dyDescent="0.25">
      <c r="A536" s="12">
        <v>46191</v>
      </c>
      <c r="B536" s="13" t="s">
        <v>106</v>
      </c>
      <c r="C536" s="13" t="s">
        <v>99</v>
      </c>
      <c r="D536" s="13" t="s">
        <v>97</v>
      </c>
      <c r="E536" s="14">
        <v>0.65</v>
      </c>
      <c r="F536" s="13" t="s">
        <v>55</v>
      </c>
      <c r="G536" s="15">
        <v>332.50630000000001</v>
      </c>
      <c r="H536" s="16">
        <v>329.05</v>
      </c>
      <c r="I536" s="16">
        <v>337.72</v>
      </c>
      <c r="K536" s="26">
        <f t="shared" si="32"/>
        <v>-1.0394690266019016E-2</v>
      </c>
      <c r="L536" s="26">
        <f t="shared" si="33"/>
        <v>1.5680003657073616E-2</v>
      </c>
      <c r="M536" s="26" t="str">
        <f t="shared" si="34"/>
        <v/>
      </c>
      <c r="N536" s="27" t="str">
        <f t="shared" si="35"/>
        <v>YES</v>
      </c>
    </row>
    <row r="537" spans="1:14" ht="15" customHeight="1" x14ac:dyDescent="0.25">
      <c r="A537" s="12">
        <v>46191</v>
      </c>
      <c r="B537" s="13" t="s">
        <v>100</v>
      </c>
      <c r="C537" s="13" t="s">
        <v>96</v>
      </c>
      <c r="D537" s="13" t="s">
        <v>97</v>
      </c>
      <c r="E537" s="14">
        <v>0.52</v>
      </c>
      <c r="F537" s="13" t="s">
        <v>55</v>
      </c>
      <c r="G537" s="15">
        <v>377.32</v>
      </c>
      <c r="H537" s="16">
        <v>372.97</v>
      </c>
      <c r="I537" s="16">
        <v>386.74</v>
      </c>
      <c r="K537" s="26">
        <f t="shared" si="32"/>
        <v>-1.1528675924944254E-2</v>
      </c>
      <c r="L537" s="26">
        <f t="shared" si="33"/>
        <v>2.4965546485741587E-2</v>
      </c>
      <c r="M537" s="26" t="str">
        <f t="shared" si="34"/>
        <v/>
      </c>
      <c r="N537" s="27" t="str">
        <f t="shared" si="35"/>
        <v>YES</v>
      </c>
    </row>
    <row r="538" spans="1:14" ht="15" customHeight="1" x14ac:dyDescent="0.25">
      <c r="A538" s="12">
        <v>46191</v>
      </c>
      <c r="B538" s="13" t="s">
        <v>101</v>
      </c>
      <c r="C538" s="13" t="s">
        <v>99</v>
      </c>
      <c r="D538" s="13" t="s">
        <v>97</v>
      </c>
      <c r="E538" s="14">
        <v>0.52</v>
      </c>
      <c r="F538" s="13" t="s">
        <v>55</v>
      </c>
      <c r="G538" s="15">
        <v>45.314999999999998</v>
      </c>
      <c r="H538" s="16">
        <v>40.75</v>
      </c>
      <c r="I538" s="16">
        <v>43.34</v>
      </c>
      <c r="K538" s="26">
        <f t="shared" si="32"/>
        <v>-0.1007392695575416</v>
      </c>
      <c r="L538" s="26">
        <f t="shared" si="33"/>
        <v>-4.3583802272977916E-2</v>
      </c>
      <c r="M538" s="26" t="str">
        <f t="shared" si="34"/>
        <v/>
      </c>
      <c r="N538" s="27" t="str">
        <f t="shared" si="35"/>
        <v>NO</v>
      </c>
    </row>
    <row r="539" spans="1:14" ht="15" customHeight="1" x14ac:dyDescent="0.25">
      <c r="A539" s="12">
        <v>46191</v>
      </c>
      <c r="B539" s="13" t="s">
        <v>98</v>
      </c>
      <c r="C539" s="13" t="s">
        <v>96</v>
      </c>
      <c r="D539" s="13" t="s">
        <v>97</v>
      </c>
      <c r="E539" s="14">
        <v>0.45</v>
      </c>
      <c r="F539" s="13" t="s">
        <v>55</v>
      </c>
      <c r="G539" s="15">
        <v>63.18</v>
      </c>
      <c r="H539" s="16">
        <v>60.98</v>
      </c>
      <c r="I539" s="16">
        <v>64.540000000000006</v>
      </c>
      <c r="K539" s="26">
        <f t="shared" si="32"/>
        <v>-3.4821145932257089E-2</v>
      </c>
      <c r="L539" s="26">
        <f t="shared" si="33"/>
        <v>2.1525799303577186E-2</v>
      </c>
      <c r="M539" s="26" t="str">
        <f t="shared" si="34"/>
        <v/>
      </c>
      <c r="N539" s="27" t="str">
        <f t="shared" si="35"/>
        <v>NO</v>
      </c>
    </row>
    <row r="540" spans="1:14" ht="15" customHeight="1" x14ac:dyDescent="0.25">
      <c r="A540" s="12">
        <v>46191</v>
      </c>
      <c r="B540" s="13" t="s">
        <v>110</v>
      </c>
      <c r="C540" s="13" t="s">
        <v>99</v>
      </c>
      <c r="D540" s="13" t="s">
        <v>97</v>
      </c>
      <c r="E540" s="14">
        <v>0.62</v>
      </c>
      <c r="F540" s="13" t="s">
        <v>55</v>
      </c>
      <c r="G540" s="15">
        <v>179.73500000000001</v>
      </c>
      <c r="H540" s="16">
        <v>180.77</v>
      </c>
      <c r="I540" s="16">
        <v>184.76</v>
      </c>
      <c r="K540" s="26">
        <f t="shared" si="32"/>
        <v>5.7584777589228392E-3</v>
      </c>
      <c r="L540" s="26">
        <f t="shared" si="33"/>
        <v>2.7957826800567374E-2</v>
      </c>
      <c r="M540" s="26" t="str">
        <f t="shared" si="34"/>
        <v/>
      </c>
      <c r="N540" s="27" t="str">
        <f t="shared" si="35"/>
        <v>YES</v>
      </c>
    </row>
    <row r="541" spans="1:14" ht="15" customHeight="1" x14ac:dyDescent="0.25">
      <c r="A541" s="12">
        <v>46191</v>
      </c>
      <c r="B541" s="13" t="s">
        <v>108</v>
      </c>
      <c r="C541" s="13" t="s">
        <v>99</v>
      </c>
      <c r="D541" s="13" t="s">
        <v>97</v>
      </c>
      <c r="E541" s="14">
        <v>0.57999999999999996</v>
      </c>
      <c r="F541" s="13" t="s">
        <v>55</v>
      </c>
      <c r="G541" s="15">
        <v>701.02</v>
      </c>
      <c r="H541" s="16">
        <v>687.87</v>
      </c>
      <c r="I541" s="16">
        <v>674.04</v>
      </c>
      <c r="K541" s="26">
        <f t="shared" si="32"/>
        <v>-1.875838064534532E-2</v>
      </c>
      <c r="L541" s="26">
        <f t="shared" si="33"/>
        <v>-3.8486776411514677E-2</v>
      </c>
      <c r="M541" s="26" t="str">
        <f t="shared" si="34"/>
        <v/>
      </c>
      <c r="N541" s="27" t="str">
        <f t="shared" si="35"/>
        <v>YES</v>
      </c>
    </row>
    <row r="542" spans="1:14" ht="15" customHeight="1" x14ac:dyDescent="0.25">
      <c r="A542" s="12">
        <v>46191</v>
      </c>
      <c r="B542" s="13" t="s">
        <v>115</v>
      </c>
      <c r="C542" s="13" t="s">
        <v>113</v>
      </c>
      <c r="D542" s="13" t="s">
        <v>97</v>
      </c>
      <c r="E542" s="14">
        <v>0.62</v>
      </c>
      <c r="F542" s="13" t="s">
        <v>55</v>
      </c>
      <c r="G542" s="15">
        <v>187.535</v>
      </c>
      <c r="H542" s="16">
        <v>187.99</v>
      </c>
      <c r="I542" s="16">
        <v>201.37</v>
      </c>
      <c r="K542" s="26">
        <f t="shared" si="32"/>
        <v>2.4262137734290265E-3</v>
      </c>
      <c r="L542" s="26">
        <f t="shared" si="33"/>
        <v>7.377289572613116E-2</v>
      </c>
      <c r="M542" s="26" t="str">
        <f t="shared" si="34"/>
        <v/>
      </c>
      <c r="N542" s="27" t="str">
        <f t="shared" si="35"/>
        <v>YES</v>
      </c>
    </row>
    <row r="543" spans="1:14" ht="15" customHeight="1" x14ac:dyDescent="0.25">
      <c r="A543" s="12">
        <v>46191</v>
      </c>
      <c r="B543" s="13" t="s">
        <v>102</v>
      </c>
      <c r="C543" s="13" t="s">
        <v>99</v>
      </c>
      <c r="D543" s="13" t="s">
        <v>97</v>
      </c>
      <c r="E543" s="14">
        <v>0.65</v>
      </c>
      <c r="F543" s="13" t="s">
        <v>55</v>
      </c>
      <c r="G543" s="15">
        <v>31.885000000000002</v>
      </c>
      <c r="H543" s="16">
        <v>32.090000000000003</v>
      </c>
      <c r="I543" s="16">
        <v>32.24</v>
      </c>
      <c r="K543" s="26">
        <f t="shared" si="32"/>
        <v>6.4293554963149391E-3</v>
      </c>
      <c r="L543" s="26">
        <f t="shared" si="33"/>
        <v>1.1133761957033101E-2</v>
      </c>
      <c r="M543" s="26" t="str">
        <f t="shared" si="34"/>
        <v/>
      </c>
      <c r="N543" s="27" t="str">
        <f t="shared" si="35"/>
        <v>YES</v>
      </c>
    </row>
    <row r="544" spans="1:14" ht="15" customHeight="1" x14ac:dyDescent="0.25">
      <c r="A544" s="12">
        <v>46191</v>
      </c>
      <c r="B544" s="13" t="s">
        <v>117</v>
      </c>
      <c r="C544" s="13" t="s">
        <v>113</v>
      </c>
      <c r="D544" s="13" t="s">
        <v>97</v>
      </c>
      <c r="E544" s="14">
        <v>0.42</v>
      </c>
      <c r="F544" s="13" t="s">
        <v>56</v>
      </c>
      <c r="G544" s="15">
        <v>4.7549999999999999</v>
      </c>
      <c r="H544" s="16">
        <v>5.0199999999999996</v>
      </c>
      <c r="I544" s="16">
        <v>4.66</v>
      </c>
      <c r="K544" s="26">
        <f t="shared" si="32"/>
        <v>5.5730809674027271E-2</v>
      </c>
      <c r="L544" s="26">
        <f t="shared" si="33"/>
        <v>-1.9978969505783335E-2</v>
      </c>
      <c r="M544" s="26" t="str">
        <f t="shared" si="34"/>
        <v/>
      </c>
      <c r="N544" s="27" t="str">
        <f t="shared" si="35"/>
        <v>NO</v>
      </c>
    </row>
    <row r="545" spans="1:14" ht="15" customHeight="1" x14ac:dyDescent="0.25">
      <c r="A545" s="12">
        <v>46191</v>
      </c>
      <c r="B545" s="13" t="s">
        <v>95</v>
      </c>
      <c r="C545" s="13" t="s">
        <v>96</v>
      </c>
      <c r="D545" s="13" t="s">
        <v>97</v>
      </c>
      <c r="E545" s="14">
        <v>0.52</v>
      </c>
      <c r="F545" s="13" t="s">
        <v>56</v>
      </c>
      <c r="G545" s="15">
        <v>117.49</v>
      </c>
      <c r="H545" s="16">
        <v>115.69</v>
      </c>
      <c r="I545" s="16">
        <v>110.65</v>
      </c>
      <c r="K545" s="26">
        <f t="shared" si="32"/>
        <v>-1.5320452804493977E-2</v>
      </c>
      <c r="L545" s="26">
        <f t="shared" si="33"/>
        <v>-5.8217720657077109E-2</v>
      </c>
      <c r="M545" s="26" t="str">
        <f t="shared" si="34"/>
        <v/>
      </c>
      <c r="N545" s="27" t="str">
        <f t="shared" si="35"/>
        <v>YES</v>
      </c>
    </row>
    <row r="546" spans="1:14" ht="15" customHeight="1" x14ac:dyDescent="0.25">
      <c r="A546" s="12">
        <v>46191</v>
      </c>
      <c r="B546" s="13" t="s">
        <v>109</v>
      </c>
      <c r="C546" s="13" t="s">
        <v>99</v>
      </c>
      <c r="D546" s="13" t="s">
        <v>97</v>
      </c>
      <c r="E546" s="14">
        <v>0.57999999999999996</v>
      </c>
      <c r="F546" s="13" t="s">
        <v>56</v>
      </c>
      <c r="G546" s="15">
        <v>44.948999999999998</v>
      </c>
      <c r="H546" s="16">
        <v>46.2</v>
      </c>
      <c r="I546" s="16">
        <v>45.3</v>
      </c>
      <c r="K546" s="26">
        <f t="shared" si="32"/>
        <v>2.7831542414736808E-2</v>
      </c>
      <c r="L546" s="26">
        <f t="shared" si="33"/>
        <v>7.8088500300340187E-3</v>
      </c>
      <c r="M546" s="26" t="str">
        <f t="shared" si="34"/>
        <v/>
      </c>
      <c r="N546" s="27" t="str">
        <f t="shared" si="35"/>
        <v>YES</v>
      </c>
    </row>
    <row r="547" spans="1:14" ht="15" customHeight="1" x14ac:dyDescent="0.25">
      <c r="A547" s="12">
        <v>46191</v>
      </c>
      <c r="B547" s="13" t="s">
        <v>118</v>
      </c>
      <c r="C547" s="13" t="s">
        <v>119</v>
      </c>
      <c r="D547" s="13" t="s">
        <v>97</v>
      </c>
      <c r="E547" s="14">
        <v>0.52</v>
      </c>
      <c r="F547" s="13" t="s">
        <v>55</v>
      </c>
      <c r="G547" s="15">
        <v>745.6</v>
      </c>
      <c r="H547" s="16">
        <v>728.99</v>
      </c>
      <c r="I547" s="16">
        <v>751.28</v>
      </c>
      <c r="K547" s="26">
        <f t="shared" si="32"/>
        <v>-2.2277360515021476E-2</v>
      </c>
      <c r="L547" s="26">
        <f t="shared" si="33"/>
        <v>7.6180257510728945E-3</v>
      </c>
      <c r="M547" s="26" t="str">
        <f t="shared" si="34"/>
        <v/>
      </c>
      <c r="N547" s="27" t="str">
        <f t="shared" si="35"/>
        <v>YES</v>
      </c>
    </row>
    <row r="548" spans="1:14" ht="15" customHeight="1" x14ac:dyDescent="0.25">
      <c r="A548" s="12">
        <v>46191</v>
      </c>
      <c r="B548" s="13" t="s">
        <v>120</v>
      </c>
      <c r="C548" s="13" t="s">
        <v>119</v>
      </c>
      <c r="D548" s="13" t="s">
        <v>97</v>
      </c>
      <c r="E548" s="14">
        <v>0.52</v>
      </c>
      <c r="F548" s="13" t="s">
        <v>56</v>
      </c>
      <c r="G548" s="15">
        <v>736.06</v>
      </c>
      <c r="H548" s="16">
        <v>706.52</v>
      </c>
      <c r="I548" s="16">
        <v>722.82</v>
      </c>
      <c r="K548" s="26">
        <f t="shared" si="32"/>
        <v>-4.013259788604185E-2</v>
      </c>
      <c r="L548" s="26">
        <f t="shared" si="33"/>
        <v>-1.798766404912629E-2</v>
      </c>
      <c r="M548" s="26" t="str">
        <f t="shared" si="34"/>
        <v/>
      </c>
      <c r="N548" s="27" t="str">
        <f t="shared" si="35"/>
        <v>NO</v>
      </c>
    </row>
    <row r="549" spans="1:14" ht="15" customHeight="1" x14ac:dyDescent="0.25">
      <c r="A549" s="12">
        <v>46191</v>
      </c>
      <c r="B549" s="13" t="s">
        <v>121</v>
      </c>
      <c r="C549" s="13" t="s">
        <v>119</v>
      </c>
      <c r="D549" s="13" t="s">
        <v>97</v>
      </c>
      <c r="E549" s="14">
        <v>0.57999999999999996</v>
      </c>
      <c r="F549" s="13" t="s">
        <v>55</v>
      </c>
      <c r="G549" s="15">
        <v>369.34010000000001</v>
      </c>
      <c r="H549" s="16">
        <v>362.22</v>
      </c>
      <c r="I549" s="16">
        <v>371.67</v>
      </c>
      <c r="K549" s="26">
        <f t="shared" si="32"/>
        <v>-1.9277895901365649E-2</v>
      </c>
      <c r="L549" s="26">
        <f t="shared" si="33"/>
        <v>6.3082779259549917E-3</v>
      </c>
      <c r="M549" s="26" t="str">
        <f t="shared" si="34"/>
        <v/>
      </c>
      <c r="N549" s="27" t="str">
        <f t="shared" si="35"/>
        <v>YES</v>
      </c>
    </row>
    <row r="550" spans="1:14" ht="15" customHeight="1" x14ac:dyDescent="0.25">
      <c r="A550" s="12">
        <v>46191</v>
      </c>
      <c r="B550" s="13" t="s">
        <v>122</v>
      </c>
      <c r="C550" s="13" t="s">
        <v>119</v>
      </c>
      <c r="D550" s="13" t="s">
        <v>97</v>
      </c>
      <c r="E550" s="14">
        <v>0.57999999999999996</v>
      </c>
      <c r="F550" s="13" t="s">
        <v>55</v>
      </c>
      <c r="G550" s="15">
        <v>208.88</v>
      </c>
      <c r="H550" s="16">
        <v>192.53</v>
      </c>
      <c r="I550" s="16">
        <v>195.55</v>
      </c>
      <c r="K550" s="26">
        <f t="shared" si="32"/>
        <v>-7.827460743010338E-2</v>
      </c>
      <c r="L550" s="26">
        <f t="shared" si="33"/>
        <v>-6.3816545384909926E-2</v>
      </c>
      <c r="M550" s="26" t="str">
        <f t="shared" si="34"/>
        <v/>
      </c>
      <c r="N550" s="27" t="str">
        <f t="shared" si="35"/>
        <v>NO</v>
      </c>
    </row>
    <row r="551" spans="1:14" ht="15" customHeight="1" x14ac:dyDescent="0.25">
      <c r="A551" s="12">
        <v>46191</v>
      </c>
      <c r="B551" s="13" t="s">
        <v>123</v>
      </c>
      <c r="C551" s="13" t="s">
        <v>119</v>
      </c>
      <c r="D551" s="13" t="s">
        <v>97</v>
      </c>
      <c r="E551" s="14">
        <v>0.48</v>
      </c>
      <c r="F551" s="13" t="s">
        <v>56</v>
      </c>
      <c r="G551" s="15">
        <v>390.11</v>
      </c>
      <c r="H551" s="16">
        <v>373.63</v>
      </c>
      <c r="I551" s="16">
        <v>382.13</v>
      </c>
      <c r="K551" s="26">
        <f t="shared" si="32"/>
        <v>-4.2244495142395783E-2</v>
      </c>
      <c r="L551" s="26">
        <f t="shared" si="33"/>
        <v>-2.0455768885698951E-2</v>
      </c>
      <c r="M551" s="26" t="str">
        <f t="shared" si="34"/>
        <v/>
      </c>
      <c r="N551" s="27" t="str">
        <f t="shared" si="35"/>
        <v>NO</v>
      </c>
    </row>
    <row r="552" spans="1:14" ht="15" customHeight="1" x14ac:dyDescent="0.25">
      <c r="A552" s="12">
        <v>46195</v>
      </c>
      <c r="B552" s="13" t="s">
        <v>103</v>
      </c>
      <c r="C552" s="13" t="s">
        <v>99</v>
      </c>
      <c r="D552" s="13" t="s">
        <v>97</v>
      </c>
      <c r="E552" s="14">
        <v>0.57999999999999996</v>
      </c>
      <c r="F552" s="13" t="s">
        <v>55</v>
      </c>
      <c r="G552" s="15">
        <v>299.83</v>
      </c>
      <c r="H552" s="16">
        <v>281.74</v>
      </c>
      <c r="K552" s="26">
        <f t="shared" si="32"/>
        <v>-6.0334189373978504E-2</v>
      </c>
      <c r="L552" s="26" t="str">
        <f t="shared" si="33"/>
        <v/>
      </c>
      <c r="M552" s="26" t="str">
        <f t="shared" si="34"/>
        <v/>
      </c>
      <c r="N552" s="27" t="str">
        <f t="shared" si="35"/>
        <v>NO</v>
      </c>
    </row>
    <row r="553" spans="1:14" ht="15" customHeight="1" x14ac:dyDescent="0.25">
      <c r="A553" s="12">
        <v>46195</v>
      </c>
      <c r="B553" s="13" t="s">
        <v>112</v>
      </c>
      <c r="C553" s="13" t="s">
        <v>113</v>
      </c>
      <c r="D553" s="13" t="s">
        <v>97</v>
      </c>
      <c r="E553" s="14">
        <v>0.45</v>
      </c>
      <c r="F553" s="13" t="s">
        <v>56</v>
      </c>
      <c r="G553" s="15">
        <v>17.88</v>
      </c>
      <c r="H553" s="16">
        <v>16.809999999999999</v>
      </c>
      <c r="K553" s="26">
        <f t="shared" si="32"/>
        <v>-5.9843400447427315E-2</v>
      </c>
      <c r="L553" s="26" t="str">
        <f t="shared" si="33"/>
        <v/>
      </c>
      <c r="M553" s="26" t="str">
        <f t="shared" si="34"/>
        <v/>
      </c>
      <c r="N553" s="27" t="str">
        <f t="shared" si="35"/>
        <v>NO</v>
      </c>
    </row>
    <row r="554" spans="1:14" ht="15" customHeight="1" x14ac:dyDescent="0.25">
      <c r="A554" s="12">
        <v>46195</v>
      </c>
      <c r="B554" s="13" t="s">
        <v>105</v>
      </c>
      <c r="C554" s="13" t="s">
        <v>96</v>
      </c>
      <c r="D554" s="13" t="s">
        <v>97</v>
      </c>
      <c r="E554" s="14">
        <v>0.62</v>
      </c>
      <c r="F554" s="13" t="s">
        <v>55</v>
      </c>
      <c r="G554" s="15">
        <v>67.034999999999997</v>
      </c>
      <c r="H554" s="16">
        <v>64.22</v>
      </c>
      <c r="K554" s="26">
        <f t="shared" si="32"/>
        <v>-4.1992988737226788E-2</v>
      </c>
      <c r="L554" s="26" t="str">
        <f t="shared" si="33"/>
        <v/>
      </c>
      <c r="M554" s="26" t="str">
        <f t="shared" si="34"/>
        <v/>
      </c>
      <c r="N554" s="27" t="str">
        <f t="shared" si="35"/>
        <v>NO</v>
      </c>
    </row>
    <row r="555" spans="1:14" ht="15" customHeight="1" x14ac:dyDescent="0.25">
      <c r="A555" s="12">
        <v>46195</v>
      </c>
      <c r="B555" s="13" t="s">
        <v>114</v>
      </c>
      <c r="C555" s="13" t="s">
        <v>113</v>
      </c>
      <c r="D555" s="13" t="s">
        <v>97</v>
      </c>
      <c r="E555" s="14">
        <v>0.42</v>
      </c>
      <c r="F555" s="13" t="s">
        <v>56</v>
      </c>
      <c r="G555" s="15">
        <v>230.6</v>
      </c>
      <c r="H555" s="16">
        <v>216.16</v>
      </c>
      <c r="K555" s="26">
        <f t="shared" si="32"/>
        <v>-6.2619254119687759E-2</v>
      </c>
      <c r="L555" s="26" t="str">
        <f t="shared" si="33"/>
        <v/>
      </c>
      <c r="M555" s="26" t="str">
        <f t="shared" si="34"/>
        <v/>
      </c>
      <c r="N555" s="27" t="str">
        <f t="shared" si="35"/>
        <v>NO</v>
      </c>
    </row>
    <row r="556" spans="1:14" ht="15" customHeight="1" x14ac:dyDescent="0.25">
      <c r="A556" s="12">
        <v>46195</v>
      </c>
      <c r="B556" s="13" t="s">
        <v>116</v>
      </c>
      <c r="C556" s="13" t="s">
        <v>113</v>
      </c>
      <c r="D556" s="13" t="s">
        <v>97</v>
      </c>
      <c r="E556" s="14">
        <v>0.42</v>
      </c>
      <c r="F556" s="13" t="s">
        <v>56</v>
      </c>
      <c r="G556" s="15">
        <v>16.821400000000001</v>
      </c>
      <c r="H556" s="16">
        <v>16.46</v>
      </c>
      <c r="K556" s="26">
        <f t="shared" si="32"/>
        <v>-2.1484537553354638E-2</v>
      </c>
      <c r="L556" s="26" t="str">
        <f t="shared" si="33"/>
        <v/>
      </c>
      <c r="M556" s="26" t="str">
        <f t="shared" si="34"/>
        <v/>
      </c>
      <c r="N556" s="27" t="str">
        <f t="shared" si="35"/>
        <v>YES</v>
      </c>
    </row>
    <row r="557" spans="1:14" ht="15" customHeight="1" x14ac:dyDescent="0.25">
      <c r="A557" s="12">
        <v>46195</v>
      </c>
      <c r="B557" s="13" t="s">
        <v>104</v>
      </c>
      <c r="C557" s="13" t="s">
        <v>96</v>
      </c>
      <c r="D557" s="13" t="s">
        <v>97</v>
      </c>
      <c r="E557" s="14">
        <v>0.38</v>
      </c>
      <c r="F557" s="13" t="s">
        <v>55</v>
      </c>
      <c r="G557" s="15">
        <v>30.855</v>
      </c>
      <c r="H557" s="16">
        <v>27.92</v>
      </c>
      <c r="K557" s="26">
        <f t="shared" si="32"/>
        <v>-9.5122346459244805E-2</v>
      </c>
      <c r="L557" s="26" t="str">
        <f t="shared" si="33"/>
        <v/>
      </c>
      <c r="M557" s="26" t="str">
        <f t="shared" si="34"/>
        <v/>
      </c>
      <c r="N557" s="27" t="str">
        <f t="shared" si="35"/>
        <v>NO</v>
      </c>
    </row>
    <row r="558" spans="1:14" ht="15" customHeight="1" x14ac:dyDescent="0.25">
      <c r="A558" s="12">
        <v>46195</v>
      </c>
      <c r="B558" s="13" t="s">
        <v>111</v>
      </c>
      <c r="C558" s="13" t="s">
        <v>113</v>
      </c>
      <c r="D558" s="13" t="s">
        <v>97</v>
      </c>
      <c r="E558" s="14">
        <v>0.62</v>
      </c>
      <c r="F558" s="13" t="s">
        <v>55</v>
      </c>
      <c r="G558" s="15">
        <v>66.8</v>
      </c>
      <c r="H558" s="16">
        <v>65.23</v>
      </c>
      <c r="K558" s="26">
        <f t="shared" si="32"/>
        <v>-2.3502994011975947E-2</v>
      </c>
      <c r="L558" s="26" t="str">
        <f t="shared" si="33"/>
        <v/>
      </c>
      <c r="M558" s="26" t="str">
        <f t="shared" si="34"/>
        <v/>
      </c>
      <c r="N558" s="27" t="str">
        <f t="shared" si="35"/>
        <v>YES</v>
      </c>
    </row>
    <row r="559" spans="1:14" ht="15" customHeight="1" x14ac:dyDescent="0.25">
      <c r="A559" s="12">
        <v>46195</v>
      </c>
      <c r="B559" s="13" t="s">
        <v>107</v>
      </c>
      <c r="C559" s="13" t="s">
        <v>96</v>
      </c>
      <c r="D559" s="13" t="s">
        <v>97</v>
      </c>
      <c r="E559" s="14">
        <v>0.57999999999999996</v>
      </c>
      <c r="F559" s="13" t="s">
        <v>55</v>
      </c>
      <c r="G559" s="15">
        <v>82.68</v>
      </c>
      <c r="H559" s="16">
        <v>77.34</v>
      </c>
      <c r="K559" s="26">
        <f t="shared" si="32"/>
        <v>-6.4586357039187262E-2</v>
      </c>
      <c r="L559" s="26" t="str">
        <f t="shared" si="33"/>
        <v/>
      </c>
      <c r="M559" s="26" t="str">
        <f t="shared" si="34"/>
        <v/>
      </c>
      <c r="N559" s="27" t="str">
        <f t="shared" si="35"/>
        <v>NO</v>
      </c>
    </row>
    <row r="560" spans="1:14" ht="15" customHeight="1" x14ac:dyDescent="0.25">
      <c r="A560" s="12">
        <v>46195</v>
      </c>
      <c r="B560" s="13" t="s">
        <v>106</v>
      </c>
      <c r="C560" s="13" t="s">
        <v>99</v>
      </c>
      <c r="D560" s="13" t="s">
        <v>97</v>
      </c>
      <c r="E560" s="14">
        <v>0.65</v>
      </c>
      <c r="F560" s="13" t="s">
        <v>55</v>
      </c>
      <c r="G560" s="15">
        <v>330.73</v>
      </c>
      <c r="H560" s="16">
        <v>329.39</v>
      </c>
      <c r="K560" s="26">
        <f t="shared" si="32"/>
        <v>-4.0516433344420883E-3</v>
      </c>
      <c r="L560" s="26" t="str">
        <f t="shared" si="33"/>
        <v/>
      </c>
      <c r="M560" s="26" t="str">
        <f t="shared" si="34"/>
        <v/>
      </c>
      <c r="N560" s="27" t="str">
        <f t="shared" si="35"/>
        <v>YES</v>
      </c>
    </row>
    <row r="561" spans="1:14" ht="15" customHeight="1" x14ac:dyDescent="0.25">
      <c r="A561" s="12">
        <v>46195</v>
      </c>
      <c r="B561" s="13" t="s">
        <v>100</v>
      </c>
      <c r="C561" s="13" t="s">
        <v>96</v>
      </c>
      <c r="D561" s="13" t="s">
        <v>97</v>
      </c>
      <c r="E561" s="14">
        <v>0.52</v>
      </c>
      <c r="F561" s="13" t="s">
        <v>55</v>
      </c>
      <c r="G561" s="15">
        <v>372.85500000000002</v>
      </c>
      <c r="H561" s="16">
        <v>368.57</v>
      </c>
      <c r="K561" s="26">
        <f t="shared" si="32"/>
        <v>-1.1492403213045352E-2</v>
      </c>
      <c r="L561" s="26" t="str">
        <f t="shared" si="33"/>
        <v/>
      </c>
      <c r="M561" s="26" t="str">
        <f t="shared" si="34"/>
        <v/>
      </c>
      <c r="N561" s="27" t="str">
        <f t="shared" si="35"/>
        <v>YES</v>
      </c>
    </row>
    <row r="562" spans="1:14" ht="15" customHeight="1" x14ac:dyDescent="0.25">
      <c r="A562" s="12">
        <v>46195</v>
      </c>
      <c r="B562" s="13" t="s">
        <v>101</v>
      </c>
      <c r="C562" s="13" t="s">
        <v>99</v>
      </c>
      <c r="D562" s="13" t="s">
        <v>97</v>
      </c>
      <c r="E562" s="14">
        <v>0.52</v>
      </c>
      <c r="F562" s="13" t="s">
        <v>55</v>
      </c>
      <c r="G562" s="15">
        <v>43.66</v>
      </c>
      <c r="H562" s="16">
        <v>41.48</v>
      </c>
      <c r="K562" s="26">
        <f t="shared" si="32"/>
        <v>-4.9931287219422811E-2</v>
      </c>
      <c r="L562" s="26" t="str">
        <f t="shared" si="33"/>
        <v/>
      </c>
      <c r="M562" s="26" t="str">
        <f t="shared" si="34"/>
        <v/>
      </c>
      <c r="N562" s="27" t="str">
        <f t="shared" si="35"/>
        <v>NO</v>
      </c>
    </row>
    <row r="563" spans="1:14" ht="15" customHeight="1" x14ac:dyDescent="0.25">
      <c r="A563" s="12">
        <v>46195</v>
      </c>
      <c r="B563" s="13" t="s">
        <v>98</v>
      </c>
      <c r="C563" s="13" t="s">
        <v>96</v>
      </c>
      <c r="D563" s="13" t="s">
        <v>97</v>
      </c>
      <c r="E563" s="14">
        <v>0.45</v>
      </c>
      <c r="F563" s="13" t="s">
        <v>56</v>
      </c>
      <c r="G563" s="15">
        <v>62.564999999999998</v>
      </c>
      <c r="H563" s="16">
        <v>61.18</v>
      </c>
      <c r="K563" s="26">
        <f t="shared" si="32"/>
        <v>-2.2136977543354881E-2</v>
      </c>
      <c r="L563" s="26" t="str">
        <f t="shared" si="33"/>
        <v/>
      </c>
      <c r="M563" s="26" t="str">
        <f t="shared" si="34"/>
        <v/>
      </c>
      <c r="N563" s="27" t="str">
        <f t="shared" si="35"/>
        <v>YES</v>
      </c>
    </row>
    <row r="564" spans="1:14" ht="15" customHeight="1" x14ac:dyDescent="0.25">
      <c r="A564" s="12">
        <v>46195</v>
      </c>
      <c r="B564" s="13" t="s">
        <v>110</v>
      </c>
      <c r="C564" s="13" t="s">
        <v>99</v>
      </c>
      <c r="D564" s="13" t="s">
        <v>97</v>
      </c>
      <c r="E564" s="14">
        <v>0.65</v>
      </c>
      <c r="F564" s="13" t="s">
        <v>55</v>
      </c>
      <c r="G564" s="15">
        <v>175.54499999999999</v>
      </c>
      <c r="H564" s="16">
        <v>182.87</v>
      </c>
      <c r="K564" s="26">
        <f t="shared" si="32"/>
        <v>4.172719245777446E-2</v>
      </c>
      <c r="L564" s="26" t="str">
        <f t="shared" si="33"/>
        <v/>
      </c>
      <c r="M564" s="26" t="str">
        <f t="shared" si="34"/>
        <v/>
      </c>
      <c r="N564" s="27" t="str">
        <f t="shared" si="35"/>
        <v>NO</v>
      </c>
    </row>
    <row r="565" spans="1:14" ht="15" customHeight="1" x14ac:dyDescent="0.25">
      <c r="A565" s="12">
        <v>46195</v>
      </c>
      <c r="B565" s="13" t="s">
        <v>108</v>
      </c>
      <c r="C565" s="13" t="s">
        <v>99</v>
      </c>
      <c r="D565" s="13" t="s">
        <v>97</v>
      </c>
      <c r="E565" s="14">
        <v>0.63</v>
      </c>
      <c r="F565" s="13" t="s">
        <v>55</v>
      </c>
      <c r="G565" s="15">
        <v>717.68</v>
      </c>
      <c r="H565" s="16">
        <v>714.45</v>
      </c>
      <c r="K565" s="26">
        <f t="shared" si="32"/>
        <v>-4.5006130866122847E-3</v>
      </c>
      <c r="L565" s="26" t="str">
        <f t="shared" si="33"/>
        <v/>
      </c>
      <c r="M565" s="26" t="str">
        <f t="shared" si="34"/>
        <v/>
      </c>
      <c r="N565" s="27" t="str">
        <f t="shared" si="35"/>
        <v>YES</v>
      </c>
    </row>
    <row r="566" spans="1:14" ht="15" customHeight="1" x14ac:dyDescent="0.25">
      <c r="A566" s="12">
        <v>46195</v>
      </c>
      <c r="B566" s="13" t="s">
        <v>115</v>
      </c>
      <c r="C566" s="13" t="s">
        <v>113</v>
      </c>
      <c r="D566" s="13" t="s">
        <v>97</v>
      </c>
      <c r="E566" s="14">
        <v>0.57999999999999996</v>
      </c>
      <c r="F566" s="13" t="s">
        <v>55</v>
      </c>
      <c r="G566" s="15">
        <v>181.6601</v>
      </c>
      <c r="H566" s="16">
        <v>187.33</v>
      </c>
      <c r="K566" s="26">
        <f t="shared" si="32"/>
        <v>3.1211586914242657E-2</v>
      </c>
      <c r="L566" s="26" t="str">
        <f t="shared" si="33"/>
        <v/>
      </c>
      <c r="M566" s="26" t="str">
        <f t="shared" si="34"/>
        <v/>
      </c>
      <c r="N566" s="27" t="str">
        <f t="shared" si="35"/>
        <v>NO</v>
      </c>
    </row>
    <row r="567" spans="1:14" ht="15" customHeight="1" x14ac:dyDescent="0.25">
      <c r="A567" s="12">
        <v>46195</v>
      </c>
      <c r="B567" s="13" t="s">
        <v>102</v>
      </c>
      <c r="C567" s="13" t="s">
        <v>99</v>
      </c>
      <c r="D567" s="13" t="s">
        <v>97</v>
      </c>
      <c r="E567" s="14">
        <v>0.65</v>
      </c>
      <c r="F567" s="13" t="s">
        <v>55</v>
      </c>
      <c r="G567" s="15">
        <v>31.965</v>
      </c>
      <c r="H567" s="16">
        <v>31.93</v>
      </c>
      <c r="K567" s="26">
        <f t="shared" si="32"/>
        <v>-1.094947598936341E-3</v>
      </c>
      <c r="L567" s="26" t="str">
        <f t="shared" si="33"/>
        <v/>
      </c>
      <c r="M567" s="26" t="str">
        <f t="shared" si="34"/>
        <v/>
      </c>
      <c r="N567" s="27" t="str">
        <f t="shared" si="35"/>
        <v>YES</v>
      </c>
    </row>
    <row r="568" spans="1:14" ht="15" customHeight="1" x14ac:dyDescent="0.25">
      <c r="A568" s="12">
        <v>46195</v>
      </c>
      <c r="B568" s="13" t="s">
        <v>117</v>
      </c>
      <c r="C568" s="13" t="s">
        <v>113</v>
      </c>
      <c r="D568" s="13" t="s">
        <v>97</v>
      </c>
      <c r="E568" s="14">
        <v>0.45</v>
      </c>
      <c r="F568" s="13" t="s">
        <v>56</v>
      </c>
      <c r="G568" s="15">
        <v>4.72</v>
      </c>
      <c r="H568" s="16">
        <v>5</v>
      </c>
      <c r="K568" s="26">
        <f t="shared" si="32"/>
        <v>5.9322033898305142E-2</v>
      </c>
      <c r="L568" s="26" t="str">
        <f t="shared" si="33"/>
        <v/>
      </c>
      <c r="M568" s="26" t="str">
        <f t="shared" si="34"/>
        <v/>
      </c>
      <c r="N568" s="27" t="str">
        <f t="shared" si="35"/>
        <v>NO</v>
      </c>
    </row>
    <row r="569" spans="1:14" ht="15" customHeight="1" x14ac:dyDescent="0.25">
      <c r="A569" s="12">
        <v>46195</v>
      </c>
      <c r="B569" s="13" t="s">
        <v>95</v>
      </c>
      <c r="C569" s="13" t="s">
        <v>96</v>
      </c>
      <c r="D569" s="13" t="s">
        <v>97</v>
      </c>
      <c r="E569" s="14">
        <v>0.52</v>
      </c>
      <c r="F569" s="13" t="s">
        <v>55</v>
      </c>
      <c r="G569" s="15">
        <v>117.61</v>
      </c>
      <c r="H569" s="16">
        <v>114.6</v>
      </c>
      <c r="K569" s="26">
        <f t="shared" si="32"/>
        <v>-2.5593061814471602E-2</v>
      </c>
      <c r="L569" s="26" t="str">
        <f t="shared" si="33"/>
        <v/>
      </c>
      <c r="M569" s="26" t="str">
        <f t="shared" si="34"/>
        <v/>
      </c>
      <c r="N569" s="27" t="str">
        <f t="shared" si="35"/>
        <v>YES</v>
      </c>
    </row>
    <row r="570" spans="1:14" ht="15" customHeight="1" x14ac:dyDescent="0.25">
      <c r="A570" s="12">
        <v>46195</v>
      </c>
      <c r="B570" s="13" t="s">
        <v>109</v>
      </c>
      <c r="C570" s="13" t="s">
        <v>99</v>
      </c>
      <c r="D570" s="13" t="s">
        <v>97</v>
      </c>
      <c r="E570" s="14">
        <v>0.57999999999999996</v>
      </c>
      <c r="F570" s="13" t="s">
        <v>55</v>
      </c>
      <c r="G570" s="15">
        <v>44.914999999999999</v>
      </c>
      <c r="H570" s="16">
        <v>46.02</v>
      </c>
      <c r="K570" s="26">
        <f t="shared" si="32"/>
        <v>2.460202604920414E-2</v>
      </c>
      <c r="L570" s="26" t="str">
        <f t="shared" si="33"/>
        <v/>
      </c>
      <c r="M570" s="26" t="str">
        <f t="shared" si="34"/>
        <v/>
      </c>
      <c r="N570" s="27" t="str">
        <f t="shared" si="35"/>
        <v>YES</v>
      </c>
    </row>
    <row r="571" spans="1:14" ht="15" customHeight="1" x14ac:dyDescent="0.25">
      <c r="A571" s="12">
        <v>46195</v>
      </c>
      <c r="B571" s="13" t="s">
        <v>118</v>
      </c>
      <c r="C571" s="13" t="s">
        <v>119</v>
      </c>
      <c r="D571" s="13" t="s">
        <v>97</v>
      </c>
      <c r="E571" s="14">
        <v>0.55000000000000004</v>
      </c>
      <c r="F571" s="13" t="s">
        <v>55</v>
      </c>
      <c r="G571" s="15">
        <v>745.29</v>
      </c>
      <c r="H571" s="16">
        <v>741</v>
      </c>
      <c r="K571" s="26">
        <f t="shared" si="32"/>
        <v>-5.756148613291422E-3</v>
      </c>
      <c r="L571" s="26" t="str">
        <f t="shared" si="33"/>
        <v/>
      </c>
      <c r="M571" s="26" t="str">
        <f t="shared" si="34"/>
        <v/>
      </c>
      <c r="N571" s="27" t="str">
        <f t="shared" si="35"/>
        <v>YES</v>
      </c>
    </row>
    <row r="572" spans="1:14" ht="15" customHeight="1" x14ac:dyDescent="0.25">
      <c r="A572" s="12">
        <v>46195</v>
      </c>
      <c r="B572" s="13" t="s">
        <v>120</v>
      </c>
      <c r="C572" s="13" t="s">
        <v>119</v>
      </c>
      <c r="D572" s="13" t="s">
        <v>97</v>
      </c>
      <c r="E572" s="14">
        <v>0.55000000000000004</v>
      </c>
      <c r="F572" s="13" t="s">
        <v>55</v>
      </c>
      <c r="G572" s="15">
        <v>738.29899999999998</v>
      </c>
      <c r="H572" s="16">
        <v>724.08</v>
      </c>
      <c r="K572" s="26">
        <f t="shared" si="32"/>
        <v>-1.9259134849159944E-2</v>
      </c>
      <c r="L572" s="26" t="str">
        <f t="shared" si="33"/>
        <v/>
      </c>
      <c r="M572" s="26" t="str">
        <f t="shared" si="34"/>
        <v/>
      </c>
      <c r="N572" s="27" t="str">
        <f t="shared" si="35"/>
        <v>YES</v>
      </c>
    </row>
    <row r="573" spans="1:14" ht="15" customHeight="1" x14ac:dyDescent="0.25">
      <c r="A573" s="12">
        <v>46195</v>
      </c>
      <c r="B573" s="13" t="s">
        <v>121</v>
      </c>
      <c r="C573" s="13" t="s">
        <v>119</v>
      </c>
      <c r="D573" s="13" t="s">
        <v>97</v>
      </c>
      <c r="E573" s="14">
        <v>0.57999999999999996</v>
      </c>
      <c r="F573" s="13" t="s">
        <v>55</v>
      </c>
      <c r="G573" s="15">
        <v>369.19</v>
      </c>
      <c r="H573" s="16">
        <v>367.12</v>
      </c>
      <c r="K573" s="26">
        <f t="shared" si="32"/>
        <v>-5.6068690917955343E-3</v>
      </c>
      <c r="L573" s="26" t="str">
        <f t="shared" si="33"/>
        <v/>
      </c>
      <c r="M573" s="26" t="str">
        <f t="shared" si="34"/>
        <v/>
      </c>
      <c r="N573" s="27" t="str">
        <f t="shared" si="35"/>
        <v>YES</v>
      </c>
    </row>
    <row r="574" spans="1:14" ht="15" customHeight="1" x14ac:dyDescent="0.25">
      <c r="A574" s="12">
        <v>46195</v>
      </c>
      <c r="B574" s="13" t="s">
        <v>122</v>
      </c>
      <c r="C574" s="13" t="s">
        <v>119</v>
      </c>
      <c r="D574" s="13" t="s">
        <v>97</v>
      </c>
      <c r="E574" s="14">
        <v>0.55000000000000004</v>
      </c>
      <c r="F574" s="13" t="s">
        <v>56</v>
      </c>
      <c r="G574" s="15">
        <v>209.67</v>
      </c>
      <c r="H574" s="16">
        <v>194.97</v>
      </c>
      <c r="K574" s="26">
        <f t="shared" si="32"/>
        <v>-7.011017312920298E-2</v>
      </c>
      <c r="L574" s="26" t="str">
        <f t="shared" si="33"/>
        <v/>
      </c>
      <c r="M574" s="26" t="str">
        <f t="shared" si="34"/>
        <v/>
      </c>
      <c r="N574" s="27" t="str">
        <f t="shared" si="35"/>
        <v>NO</v>
      </c>
    </row>
    <row r="575" spans="1:14" ht="15" customHeight="1" x14ac:dyDescent="0.25">
      <c r="A575" s="12">
        <v>46195</v>
      </c>
      <c r="B575" s="13" t="s">
        <v>123</v>
      </c>
      <c r="C575" s="13" t="s">
        <v>119</v>
      </c>
      <c r="D575" s="13" t="s">
        <v>97</v>
      </c>
      <c r="E575" s="14">
        <v>0.48</v>
      </c>
      <c r="F575" s="13" t="s">
        <v>56</v>
      </c>
      <c r="G575" s="15">
        <v>385.14</v>
      </c>
      <c r="H575" s="16">
        <v>368.58</v>
      </c>
      <c r="K575" s="26">
        <f t="shared" si="32"/>
        <v>-4.2997351612400696E-2</v>
      </c>
      <c r="L575" s="26" t="str">
        <f t="shared" si="33"/>
        <v/>
      </c>
      <c r="M575" s="26" t="str">
        <f t="shared" si="34"/>
        <v/>
      </c>
      <c r="N575" s="27" t="str">
        <f t="shared" si="35"/>
        <v>NO</v>
      </c>
    </row>
    <row r="576" spans="1:14" ht="15" customHeight="1" x14ac:dyDescent="0.25">
      <c r="A576" s="12">
        <v>46196</v>
      </c>
      <c r="B576" s="13" t="s">
        <v>103</v>
      </c>
      <c r="C576" s="13" t="s">
        <v>99</v>
      </c>
      <c r="D576" s="13" t="s">
        <v>97</v>
      </c>
      <c r="E576" s="14">
        <v>0.62</v>
      </c>
      <c r="F576" s="13" t="s">
        <v>55</v>
      </c>
      <c r="G576" s="15">
        <v>299.08999999999997</v>
      </c>
      <c r="H576" s="16">
        <v>289.36</v>
      </c>
      <c r="K576" s="26">
        <f t="shared" si="32"/>
        <v>-3.2532013775117732E-2</v>
      </c>
      <c r="L576" s="26" t="str">
        <f t="shared" si="33"/>
        <v/>
      </c>
      <c r="M576" s="26" t="str">
        <f t="shared" si="34"/>
        <v/>
      </c>
      <c r="N576" s="27" t="str">
        <f t="shared" si="35"/>
        <v>NO</v>
      </c>
    </row>
    <row r="577" spans="1:14" ht="15" customHeight="1" x14ac:dyDescent="0.25">
      <c r="A577" s="12">
        <v>46196</v>
      </c>
      <c r="B577" s="13" t="s">
        <v>112</v>
      </c>
      <c r="C577" s="13" t="s">
        <v>113</v>
      </c>
      <c r="D577" s="13" t="s">
        <v>97</v>
      </c>
      <c r="E577" s="14">
        <v>0.42</v>
      </c>
      <c r="F577" s="13" t="s">
        <v>56</v>
      </c>
      <c r="G577" s="15">
        <v>17.004999999999999</v>
      </c>
      <c r="H577" s="16">
        <v>16.96</v>
      </c>
      <c r="K577" s="26">
        <f t="shared" si="32"/>
        <v>-2.6462805057334993E-3</v>
      </c>
      <c r="L577" s="26" t="str">
        <f t="shared" si="33"/>
        <v/>
      </c>
      <c r="M577" s="26" t="str">
        <f t="shared" si="34"/>
        <v/>
      </c>
      <c r="N577" s="27" t="str">
        <f t="shared" si="35"/>
        <v>YES</v>
      </c>
    </row>
    <row r="578" spans="1:14" ht="15" customHeight="1" x14ac:dyDescent="0.25">
      <c r="A578" s="12">
        <v>46196</v>
      </c>
      <c r="B578" s="13" t="s">
        <v>105</v>
      </c>
      <c r="C578" s="13" t="s">
        <v>96</v>
      </c>
      <c r="D578" s="13" t="s">
        <v>97</v>
      </c>
      <c r="E578" s="14">
        <v>0.57999999999999996</v>
      </c>
      <c r="F578" s="13" t="s">
        <v>55</v>
      </c>
      <c r="G578" s="15">
        <v>63.89</v>
      </c>
      <c r="H578" s="16">
        <v>65.61</v>
      </c>
      <c r="K578" s="26">
        <f t="shared" si="32"/>
        <v>2.6921270934418515E-2</v>
      </c>
      <c r="L578" s="26" t="str">
        <f t="shared" si="33"/>
        <v/>
      </c>
      <c r="M578" s="26" t="str">
        <f t="shared" si="34"/>
        <v/>
      </c>
      <c r="N578" s="27" t="str">
        <f t="shared" si="35"/>
        <v>YES</v>
      </c>
    </row>
    <row r="579" spans="1:14" ht="15" customHeight="1" x14ac:dyDescent="0.25">
      <c r="A579" s="12">
        <v>46196</v>
      </c>
      <c r="B579" s="13" t="s">
        <v>114</v>
      </c>
      <c r="C579" s="13" t="s">
        <v>113</v>
      </c>
      <c r="D579" s="13" t="s">
        <v>97</v>
      </c>
      <c r="E579" s="14">
        <v>0.42</v>
      </c>
      <c r="F579" s="13" t="s">
        <v>56</v>
      </c>
      <c r="G579" s="15">
        <v>225.75</v>
      </c>
      <c r="H579" s="16">
        <v>221</v>
      </c>
      <c r="K579" s="26">
        <f t="shared" si="32"/>
        <v>-2.1040974529346623E-2</v>
      </c>
      <c r="L579" s="26" t="str">
        <f t="shared" si="33"/>
        <v/>
      </c>
      <c r="M579" s="26" t="str">
        <f t="shared" si="34"/>
        <v/>
      </c>
      <c r="N579" s="27" t="str">
        <f t="shared" si="35"/>
        <v>YES</v>
      </c>
    </row>
    <row r="580" spans="1:14" ht="15" customHeight="1" x14ac:dyDescent="0.25">
      <c r="A580" s="12">
        <v>46196</v>
      </c>
      <c r="B580" s="13" t="s">
        <v>116</v>
      </c>
      <c r="C580" s="13" t="s">
        <v>113</v>
      </c>
      <c r="D580" s="13" t="s">
        <v>97</v>
      </c>
      <c r="E580" s="14">
        <v>0.42</v>
      </c>
      <c r="F580" s="13" t="s">
        <v>56</v>
      </c>
      <c r="G580" s="15">
        <v>16.785</v>
      </c>
      <c r="H580" s="16">
        <v>16.75</v>
      </c>
      <c r="K580" s="26">
        <f t="shared" si="32"/>
        <v>-2.0851951146857398E-3</v>
      </c>
      <c r="L580" s="26" t="str">
        <f t="shared" si="33"/>
        <v/>
      </c>
      <c r="M580" s="26" t="str">
        <f t="shared" si="34"/>
        <v/>
      </c>
      <c r="N580" s="27" t="str">
        <f t="shared" si="35"/>
        <v>YES</v>
      </c>
    </row>
    <row r="581" spans="1:14" ht="15" customHeight="1" x14ac:dyDescent="0.25">
      <c r="A581" s="12">
        <v>46196</v>
      </c>
      <c r="B581" s="13" t="s">
        <v>104</v>
      </c>
      <c r="C581" s="13" t="s">
        <v>96</v>
      </c>
      <c r="D581" s="13" t="s">
        <v>97</v>
      </c>
      <c r="E581" s="14">
        <v>0.42</v>
      </c>
      <c r="F581" s="13" t="s">
        <v>55</v>
      </c>
      <c r="G581" s="15">
        <v>30.504999999999999</v>
      </c>
      <c r="H581" s="16">
        <v>27.36</v>
      </c>
      <c r="K581" s="26">
        <f t="shared" ref="K581:K644" si="36">IF(H581="","",(H581-G581)/G581)</f>
        <v>-0.10309785281101458</v>
      </c>
      <c r="L581" s="26" t="str">
        <f t="shared" ref="L581:L644" si="37">IF(I581="","",(I581-G581)/G581)</f>
        <v/>
      </c>
      <c r="M581" s="26" t="str">
        <f t="shared" ref="M581:M644" si="38">IF(J581="","",(J581-G581)/G581)</f>
        <v/>
      </c>
      <c r="N581" s="27" t="str">
        <f t="shared" ref="N581:N644" si="39">IF(H581="","",IF(D581="HOLD",IF(ABS(K581)&lt;0.03,"YES","NO"),IF(D581="BUY",IF(K581&gt;0,"YES","NO"),IF(D581="SELL",IF(K581&lt;0,"YES","NO"),""))))</f>
        <v>NO</v>
      </c>
    </row>
    <row r="582" spans="1:14" ht="15" customHeight="1" x14ac:dyDescent="0.25">
      <c r="A582" s="12">
        <v>46196</v>
      </c>
      <c r="B582" s="13" t="s">
        <v>111</v>
      </c>
      <c r="C582" s="13" t="s">
        <v>113</v>
      </c>
      <c r="D582" s="13" t="s">
        <v>97</v>
      </c>
      <c r="E582" s="14">
        <v>0.65</v>
      </c>
      <c r="F582" s="13" t="s">
        <v>55</v>
      </c>
      <c r="G582" s="15">
        <v>66.78</v>
      </c>
      <c r="H582" s="16">
        <v>66.3</v>
      </c>
      <c r="K582" s="26">
        <f t="shared" si="36"/>
        <v>-7.1877807726864924E-3</v>
      </c>
      <c r="L582" s="26" t="str">
        <f t="shared" si="37"/>
        <v/>
      </c>
      <c r="M582" s="26" t="str">
        <f t="shared" si="38"/>
        <v/>
      </c>
      <c r="N582" s="27" t="str">
        <f t="shared" si="39"/>
        <v>YES</v>
      </c>
    </row>
    <row r="583" spans="1:14" ht="15" customHeight="1" x14ac:dyDescent="0.25">
      <c r="A583" s="12">
        <v>46196</v>
      </c>
      <c r="B583" s="13" t="s">
        <v>107</v>
      </c>
      <c r="C583" s="13" t="s">
        <v>96</v>
      </c>
      <c r="D583" s="13" t="s">
        <v>97</v>
      </c>
      <c r="E583" s="14">
        <v>0.57999999999999996</v>
      </c>
      <c r="F583" s="13" t="s">
        <v>55</v>
      </c>
      <c r="G583" s="15">
        <v>80.08</v>
      </c>
      <c r="H583" s="16">
        <v>77.08</v>
      </c>
      <c r="K583" s="26">
        <f t="shared" si="36"/>
        <v>-3.7462537462537464E-2</v>
      </c>
      <c r="L583" s="26" t="str">
        <f t="shared" si="37"/>
        <v/>
      </c>
      <c r="M583" s="26" t="str">
        <f t="shared" si="38"/>
        <v/>
      </c>
      <c r="N583" s="27" t="str">
        <f t="shared" si="39"/>
        <v>NO</v>
      </c>
    </row>
    <row r="584" spans="1:14" ht="15" customHeight="1" x14ac:dyDescent="0.25">
      <c r="A584" s="12">
        <v>46196</v>
      </c>
      <c r="B584" s="13" t="s">
        <v>106</v>
      </c>
      <c r="C584" s="13" t="s">
        <v>99</v>
      </c>
      <c r="D584" s="13" t="s">
        <v>97</v>
      </c>
      <c r="E584" s="14">
        <v>0.65</v>
      </c>
      <c r="F584" s="13" t="s">
        <v>55</v>
      </c>
      <c r="G584" s="15">
        <v>333.995</v>
      </c>
      <c r="H584" s="16">
        <v>327.33</v>
      </c>
      <c r="K584" s="26">
        <f t="shared" si="36"/>
        <v>-1.9955388553720924E-2</v>
      </c>
      <c r="L584" s="26" t="str">
        <f t="shared" si="37"/>
        <v/>
      </c>
      <c r="M584" s="26" t="str">
        <f t="shared" si="38"/>
        <v/>
      </c>
      <c r="N584" s="27" t="str">
        <f t="shared" si="39"/>
        <v>YES</v>
      </c>
    </row>
    <row r="585" spans="1:14" ht="15" customHeight="1" x14ac:dyDescent="0.25">
      <c r="A585" s="12">
        <v>46196</v>
      </c>
      <c r="B585" s="13" t="s">
        <v>100</v>
      </c>
      <c r="C585" s="13" t="s">
        <v>96</v>
      </c>
      <c r="D585" s="13" t="s">
        <v>97</v>
      </c>
      <c r="E585" s="14">
        <v>0.52</v>
      </c>
      <c r="F585" s="13" t="s">
        <v>55</v>
      </c>
      <c r="G585" s="15">
        <v>373.07</v>
      </c>
      <c r="H585" s="16">
        <v>373.02</v>
      </c>
      <c r="K585" s="26">
        <f t="shared" si="36"/>
        <v>-1.3402310558343304E-4</v>
      </c>
      <c r="L585" s="26" t="str">
        <f t="shared" si="37"/>
        <v/>
      </c>
      <c r="M585" s="26" t="str">
        <f t="shared" si="38"/>
        <v/>
      </c>
      <c r="N585" s="27" t="str">
        <f t="shared" si="39"/>
        <v>YES</v>
      </c>
    </row>
    <row r="586" spans="1:14" ht="15" customHeight="1" x14ac:dyDescent="0.25">
      <c r="A586" s="12">
        <v>46196</v>
      </c>
      <c r="B586" s="13" t="s">
        <v>101</v>
      </c>
      <c r="C586" s="13" t="s">
        <v>99</v>
      </c>
      <c r="D586" s="13" t="s">
        <v>97</v>
      </c>
      <c r="E586" s="14">
        <v>0.42</v>
      </c>
      <c r="F586" s="13" t="s">
        <v>55</v>
      </c>
      <c r="G586" s="15">
        <v>42.994999999999997</v>
      </c>
      <c r="H586" s="16">
        <v>41.05</v>
      </c>
      <c r="K586" s="26">
        <f t="shared" si="36"/>
        <v>-4.523781835097105E-2</v>
      </c>
      <c r="L586" s="26" t="str">
        <f t="shared" si="37"/>
        <v/>
      </c>
      <c r="M586" s="26" t="str">
        <f t="shared" si="38"/>
        <v/>
      </c>
      <c r="N586" s="27" t="str">
        <f t="shared" si="39"/>
        <v>NO</v>
      </c>
    </row>
    <row r="587" spans="1:14" ht="15" customHeight="1" x14ac:dyDescent="0.25">
      <c r="A587" s="12">
        <v>46196</v>
      </c>
      <c r="B587" s="13" t="s">
        <v>98</v>
      </c>
      <c r="C587" s="13" t="s">
        <v>96</v>
      </c>
      <c r="D587" s="13" t="s">
        <v>97</v>
      </c>
      <c r="E587" s="14">
        <v>0.45</v>
      </c>
      <c r="F587" s="13" t="s">
        <v>55</v>
      </c>
      <c r="G587" s="15">
        <v>61.85</v>
      </c>
      <c r="H587" s="16">
        <v>62.95</v>
      </c>
      <c r="K587" s="26">
        <f t="shared" si="36"/>
        <v>1.7784963621665342E-2</v>
      </c>
      <c r="L587" s="26" t="str">
        <f t="shared" si="37"/>
        <v/>
      </c>
      <c r="M587" s="26" t="str">
        <f t="shared" si="38"/>
        <v/>
      </c>
      <c r="N587" s="27" t="str">
        <f t="shared" si="39"/>
        <v>YES</v>
      </c>
    </row>
    <row r="588" spans="1:14" ht="15" customHeight="1" x14ac:dyDescent="0.25">
      <c r="A588" s="12">
        <v>46196</v>
      </c>
      <c r="B588" s="13" t="s">
        <v>110</v>
      </c>
      <c r="C588" s="13" t="s">
        <v>99</v>
      </c>
      <c r="D588" s="13" t="s">
        <v>97</v>
      </c>
      <c r="E588" s="14">
        <v>0.62</v>
      </c>
      <c r="F588" s="13" t="s">
        <v>55</v>
      </c>
      <c r="G588" s="15">
        <v>177.80500000000001</v>
      </c>
      <c r="H588" s="16">
        <v>180.91</v>
      </c>
      <c r="K588" s="26">
        <f t="shared" si="36"/>
        <v>1.7462950985630266E-2</v>
      </c>
      <c r="L588" s="26" t="str">
        <f t="shared" si="37"/>
        <v/>
      </c>
      <c r="M588" s="26" t="str">
        <f t="shared" si="38"/>
        <v/>
      </c>
      <c r="N588" s="27" t="str">
        <f t="shared" si="39"/>
        <v>YES</v>
      </c>
    </row>
    <row r="589" spans="1:14" ht="15" customHeight="1" x14ac:dyDescent="0.25">
      <c r="A589" s="12">
        <v>46196</v>
      </c>
      <c r="B589" s="13" t="s">
        <v>108</v>
      </c>
      <c r="C589" s="13" t="s">
        <v>99</v>
      </c>
      <c r="D589" s="13" t="s">
        <v>97</v>
      </c>
      <c r="E589" s="14">
        <v>0.62</v>
      </c>
      <c r="F589" s="13" t="s">
        <v>55</v>
      </c>
      <c r="G589" s="15">
        <v>718.33</v>
      </c>
      <c r="H589" s="16">
        <v>720.04</v>
      </c>
      <c r="K589" s="26">
        <f t="shared" si="36"/>
        <v>2.3805214873385805E-3</v>
      </c>
      <c r="L589" s="26" t="str">
        <f t="shared" si="37"/>
        <v/>
      </c>
      <c r="M589" s="26" t="str">
        <f t="shared" si="38"/>
        <v/>
      </c>
      <c r="N589" s="27" t="str">
        <f t="shared" si="39"/>
        <v>YES</v>
      </c>
    </row>
    <row r="590" spans="1:14" ht="15" customHeight="1" x14ac:dyDescent="0.25">
      <c r="A590" s="12">
        <v>46196</v>
      </c>
      <c r="B590" s="13" t="s">
        <v>115</v>
      </c>
      <c r="C590" s="13" t="s">
        <v>113</v>
      </c>
      <c r="D590" s="13" t="s">
        <v>97</v>
      </c>
      <c r="E590" s="14">
        <v>0.57999999999999996</v>
      </c>
      <c r="F590" s="13" t="s">
        <v>55</v>
      </c>
      <c r="G590" s="15">
        <v>184.86</v>
      </c>
      <c r="H590" s="16">
        <v>189.73</v>
      </c>
      <c r="K590" s="26">
        <f t="shared" si="36"/>
        <v>2.6344260521475579E-2</v>
      </c>
      <c r="L590" s="26" t="str">
        <f t="shared" si="37"/>
        <v/>
      </c>
      <c r="M590" s="26" t="str">
        <f t="shared" si="38"/>
        <v/>
      </c>
      <c r="N590" s="27" t="str">
        <f t="shared" si="39"/>
        <v>YES</v>
      </c>
    </row>
    <row r="591" spans="1:14" ht="15" customHeight="1" x14ac:dyDescent="0.25">
      <c r="A591" s="12">
        <v>46196</v>
      </c>
      <c r="B591" s="13" t="s">
        <v>102</v>
      </c>
      <c r="C591" s="13" t="s">
        <v>99</v>
      </c>
      <c r="D591" s="13" t="s">
        <v>97</v>
      </c>
      <c r="E591" s="14">
        <v>0.63</v>
      </c>
      <c r="F591" s="13" t="s">
        <v>55</v>
      </c>
      <c r="G591" s="15">
        <v>31.994299999999999</v>
      </c>
      <c r="H591" s="16">
        <v>31.71</v>
      </c>
      <c r="K591" s="26">
        <f t="shared" si="36"/>
        <v>-8.8859578112350703E-3</v>
      </c>
      <c r="L591" s="26" t="str">
        <f t="shared" si="37"/>
        <v/>
      </c>
      <c r="M591" s="26" t="str">
        <f t="shared" si="38"/>
        <v/>
      </c>
      <c r="N591" s="27" t="str">
        <f t="shared" si="39"/>
        <v>YES</v>
      </c>
    </row>
    <row r="592" spans="1:14" ht="15" customHeight="1" x14ac:dyDescent="0.25">
      <c r="A592" s="12">
        <v>46196</v>
      </c>
      <c r="B592" s="13" t="s">
        <v>117</v>
      </c>
      <c r="C592" s="13" t="s">
        <v>113</v>
      </c>
      <c r="D592" s="13" t="s">
        <v>97</v>
      </c>
      <c r="E592" s="14">
        <v>0.45</v>
      </c>
      <c r="F592" s="13" t="s">
        <v>56</v>
      </c>
      <c r="G592" s="15">
        <v>4.7549999999999999</v>
      </c>
      <c r="H592" s="16">
        <v>5.01</v>
      </c>
      <c r="K592" s="26">
        <f t="shared" si="36"/>
        <v>5.3627760252365909E-2</v>
      </c>
      <c r="L592" s="26" t="str">
        <f t="shared" si="37"/>
        <v/>
      </c>
      <c r="M592" s="26" t="str">
        <f t="shared" si="38"/>
        <v/>
      </c>
      <c r="N592" s="27" t="str">
        <f t="shared" si="39"/>
        <v>NO</v>
      </c>
    </row>
    <row r="593" spans="1:14" ht="15" customHeight="1" x14ac:dyDescent="0.25">
      <c r="A593" s="12">
        <v>46196</v>
      </c>
      <c r="B593" s="13" t="s">
        <v>95</v>
      </c>
      <c r="C593" s="13" t="s">
        <v>96</v>
      </c>
      <c r="D593" s="13" t="s">
        <v>97</v>
      </c>
      <c r="E593" s="14">
        <v>0.52</v>
      </c>
      <c r="F593" s="13" t="s">
        <v>55</v>
      </c>
      <c r="G593" s="15">
        <v>119.5</v>
      </c>
      <c r="H593" s="16">
        <v>113.26</v>
      </c>
      <c r="K593" s="26">
        <f t="shared" si="36"/>
        <v>-5.2217573221757282E-2</v>
      </c>
      <c r="L593" s="26" t="str">
        <f t="shared" si="37"/>
        <v/>
      </c>
      <c r="M593" s="26" t="str">
        <f t="shared" si="38"/>
        <v/>
      </c>
      <c r="N593" s="27" t="str">
        <f t="shared" si="39"/>
        <v>NO</v>
      </c>
    </row>
    <row r="594" spans="1:14" ht="15" customHeight="1" x14ac:dyDescent="0.25">
      <c r="A594" s="12">
        <v>46196</v>
      </c>
      <c r="B594" s="13" t="s">
        <v>109</v>
      </c>
      <c r="C594" s="13" t="s">
        <v>99</v>
      </c>
      <c r="D594" s="13" t="s">
        <v>97</v>
      </c>
      <c r="E594" s="14">
        <v>0.55000000000000004</v>
      </c>
      <c r="F594" s="13" t="s">
        <v>55</v>
      </c>
      <c r="G594" s="15">
        <v>45.024999999999999</v>
      </c>
      <c r="H594" s="16">
        <v>45.34</v>
      </c>
      <c r="K594" s="26">
        <f t="shared" si="36"/>
        <v>6.9961132704054376E-3</v>
      </c>
      <c r="L594" s="26" t="str">
        <f t="shared" si="37"/>
        <v/>
      </c>
      <c r="M594" s="26" t="str">
        <f t="shared" si="38"/>
        <v/>
      </c>
      <c r="N594" s="27" t="str">
        <f t="shared" si="39"/>
        <v>YES</v>
      </c>
    </row>
    <row r="595" spans="1:14" ht="15" customHeight="1" x14ac:dyDescent="0.25">
      <c r="A595" s="12">
        <v>46196</v>
      </c>
      <c r="B595" s="13" t="s">
        <v>118</v>
      </c>
      <c r="C595" s="13" t="s">
        <v>119</v>
      </c>
      <c r="D595" s="13" t="s">
        <v>97</v>
      </c>
      <c r="E595" s="14">
        <v>0.52</v>
      </c>
      <c r="F595" s="13" t="s">
        <v>55</v>
      </c>
      <c r="G595" s="15">
        <v>737.99</v>
      </c>
      <c r="H595" s="16">
        <v>746.77</v>
      </c>
      <c r="K595" s="26">
        <f t="shared" si="36"/>
        <v>1.1897180178593168E-2</v>
      </c>
      <c r="L595" s="26" t="str">
        <f t="shared" si="37"/>
        <v/>
      </c>
      <c r="M595" s="26" t="str">
        <f t="shared" si="38"/>
        <v/>
      </c>
      <c r="N595" s="27" t="str">
        <f t="shared" si="39"/>
        <v>YES</v>
      </c>
    </row>
    <row r="596" spans="1:14" ht="15" customHeight="1" x14ac:dyDescent="0.25">
      <c r="A596" s="12">
        <v>46196</v>
      </c>
      <c r="B596" s="13" t="s">
        <v>120</v>
      </c>
      <c r="C596" s="13" t="s">
        <v>119</v>
      </c>
      <c r="D596" s="13" t="s">
        <v>97</v>
      </c>
      <c r="E596" s="14">
        <v>0.52</v>
      </c>
      <c r="F596" s="13" t="s">
        <v>55</v>
      </c>
      <c r="G596" s="15">
        <v>719.43</v>
      </c>
      <c r="H596" s="16">
        <v>736.4</v>
      </c>
      <c r="K596" s="26">
        <f t="shared" si="36"/>
        <v>2.3588118371488578E-2</v>
      </c>
      <c r="L596" s="26" t="str">
        <f t="shared" si="37"/>
        <v/>
      </c>
      <c r="M596" s="26" t="str">
        <f t="shared" si="38"/>
        <v/>
      </c>
      <c r="N596" s="27" t="str">
        <f t="shared" si="39"/>
        <v>YES</v>
      </c>
    </row>
    <row r="597" spans="1:14" ht="15" customHeight="1" x14ac:dyDescent="0.25">
      <c r="A597" s="12">
        <v>46196</v>
      </c>
      <c r="B597" s="13" t="s">
        <v>121</v>
      </c>
      <c r="C597" s="13" t="s">
        <v>119</v>
      </c>
      <c r="D597" s="13" t="s">
        <v>97</v>
      </c>
      <c r="E597" s="14">
        <v>0.62</v>
      </c>
      <c r="F597" s="13" t="s">
        <v>55</v>
      </c>
      <c r="G597" s="15">
        <v>365.97</v>
      </c>
      <c r="H597" s="16">
        <v>370.04</v>
      </c>
      <c r="K597" s="26">
        <f t="shared" si="36"/>
        <v>1.1121130147279812E-2</v>
      </c>
      <c r="L597" s="26" t="str">
        <f t="shared" si="37"/>
        <v/>
      </c>
      <c r="M597" s="26" t="str">
        <f t="shared" si="38"/>
        <v/>
      </c>
      <c r="N597" s="27" t="str">
        <f t="shared" si="39"/>
        <v>YES</v>
      </c>
    </row>
    <row r="598" spans="1:14" ht="15" customHeight="1" x14ac:dyDescent="0.25">
      <c r="A598" s="12">
        <v>46196</v>
      </c>
      <c r="B598" s="13" t="s">
        <v>122</v>
      </c>
      <c r="C598" s="13" t="s">
        <v>119</v>
      </c>
      <c r="D598" s="13" t="s">
        <v>97</v>
      </c>
      <c r="E598" s="14">
        <v>0.55000000000000004</v>
      </c>
      <c r="F598" s="13" t="s">
        <v>56</v>
      </c>
      <c r="G598" s="15">
        <v>202.69</v>
      </c>
      <c r="H598" s="16">
        <v>200.09</v>
      </c>
      <c r="K598" s="26">
        <f t="shared" si="36"/>
        <v>-1.2827470521485985E-2</v>
      </c>
      <c r="L598" s="26" t="str">
        <f t="shared" si="37"/>
        <v/>
      </c>
      <c r="M598" s="26" t="str">
        <f t="shared" si="38"/>
        <v/>
      </c>
      <c r="N598" s="27" t="str">
        <f t="shared" si="39"/>
        <v>YES</v>
      </c>
    </row>
    <row r="599" spans="1:14" ht="15" customHeight="1" x14ac:dyDescent="0.25">
      <c r="A599" s="12">
        <v>46196</v>
      </c>
      <c r="B599" s="13" t="s">
        <v>123</v>
      </c>
      <c r="C599" s="13" t="s">
        <v>119</v>
      </c>
      <c r="D599" s="13" t="s">
        <v>97</v>
      </c>
      <c r="E599" s="14">
        <v>0.52</v>
      </c>
      <c r="F599" s="13" t="s">
        <v>55</v>
      </c>
      <c r="G599" s="15">
        <v>379.23</v>
      </c>
      <c r="H599" s="16">
        <v>368.38</v>
      </c>
      <c r="K599" s="26">
        <f t="shared" si="36"/>
        <v>-2.8610605701025821E-2</v>
      </c>
      <c r="L599" s="26" t="str">
        <f t="shared" si="37"/>
        <v/>
      </c>
      <c r="M599" s="26" t="str">
        <f t="shared" si="38"/>
        <v/>
      </c>
      <c r="N599" s="27" t="str">
        <f t="shared" si="39"/>
        <v>YES</v>
      </c>
    </row>
    <row r="600" spans="1:14" ht="15" customHeight="1" x14ac:dyDescent="0.25">
      <c r="A600" s="12">
        <v>46197</v>
      </c>
      <c r="B600" s="13" t="s">
        <v>103</v>
      </c>
      <c r="C600" s="13" t="s">
        <v>99</v>
      </c>
      <c r="D600" s="13" t="s">
        <v>97</v>
      </c>
      <c r="E600" s="14">
        <v>0.57999999999999996</v>
      </c>
      <c r="F600" s="13" t="s">
        <v>55</v>
      </c>
      <c r="G600" s="15">
        <v>295.745</v>
      </c>
      <c r="H600" s="16">
        <v>294.38</v>
      </c>
      <c r="K600" s="26">
        <f t="shared" si="36"/>
        <v>-4.6154626451842262E-3</v>
      </c>
      <c r="L600" s="26" t="str">
        <f t="shared" si="37"/>
        <v/>
      </c>
      <c r="M600" s="26" t="str">
        <f t="shared" si="38"/>
        <v/>
      </c>
      <c r="N600" s="27" t="str">
        <f t="shared" si="39"/>
        <v>YES</v>
      </c>
    </row>
    <row r="601" spans="1:14" ht="15" customHeight="1" x14ac:dyDescent="0.25">
      <c r="A601" s="12">
        <v>46197</v>
      </c>
      <c r="B601" s="13" t="s">
        <v>112</v>
      </c>
      <c r="C601" s="13" t="s">
        <v>113</v>
      </c>
      <c r="D601" s="13" t="s">
        <v>97</v>
      </c>
      <c r="E601" s="14">
        <v>0.42</v>
      </c>
      <c r="F601" s="13" t="s">
        <v>56</v>
      </c>
      <c r="G601" s="15">
        <v>16.184999999999999</v>
      </c>
      <c r="H601" s="16">
        <v>17.04</v>
      </c>
      <c r="K601" s="26">
        <f t="shared" si="36"/>
        <v>5.2826691380908279E-2</v>
      </c>
      <c r="L601" s="26" t="str">
        <f t="shared" si="37"/>
        <v/>
      </c>
      <c r="M601" s="26" t="str">
        <f t="shared" si="38"/>
        <v/>
      </c>
      <c r="N601" s="27" t="str">
        <f t="shared" si="39"/>
        <v>NO</v>
      </c>
    </row>
    <row r="602" spans="1:14" ht="15" customHeight="1" x14ac:dyDescent="0.25">
      <c r="A602" s="12">
        <v>46197</v>
      </c>
      <c r="B602" s="13" t="s">
        <v>105</v>
      </c>
      <c r="C602" s="13" t="s">
        <v>96</v>
      </c>
      <c r="D602" s="13" t="s">
        <v>97</v>
      </c>
      <c r="E602" s="14">
        <v>0.57999999999999996</v>
      </c>
      <c r="F602" s="13" t="s">
        <v>55</v>
      </c>
      <c r="G602" s="15">
        <v>63.81</v>
      </c>
      <c r="H602" s="16">
        <v>63.63</v>
      </c>
      <c r="K602" s="26">
        <f t="shared" si="36"/>
        <v>-2.8208744710860323E-3</v>
      </c>
      <c r="L602" s="26" t="str">
        <f t="shared" si="37"/>
        <v/>
      </c>
      <c r="M602" s="26" t="str">
        <f t="shared" si="38"/>
        <v/>
      </c>
      <c r="N602" s="27" t="str">
        <f t="shared" si="39"/>
        <v>YES</v>
      </c>
    </row>
    <row r="603" spans="1:14" ht="15" customHeight="1" x14ac:dyDescent="0.25">
      <c r="A603" s="12">
        <v>46197</v>
      </c>
      <c r="B603" s="13" t="s">
        <v>114</v>
      </c>
      <c r="C603" s="13" t="s">
        <v>113</v>
      </c>
      <c r="D603" s="13" t="s">
        <v>97</v>
      </c>
      <c r="E603" s="14">
        <v>0.35</v>
      </c>
      <c r="F603" s="13" t="s">
        <v>55</v>
      </c>
      <c r="G603" s="15">
        <v>191.8</v>
      </c>
      <c r="H603" s="16">
        <v>221.27</v>
      </c>
      <c r="K603" s="26">
        <f t="shared" si="36"/>
        <v>0.15364963503649634</v>
      </c>
      <c r="L603" s="26" t="str">
        <f t="shared" si="37"/>
        <v/>
      </c>
      <c r="M603" s="26" t="str">
        <f t="shared" si="38"/>
        <v/>
      </c>
      <c r="N603" s="27" t="str">
        <f t="shared" si="39"/>
        <v>NO</v>
      </c>
    </row>
    <row r="604" spans="1:14" ht="15" customHeight="1" x14ac:dyDescent="0.25">
      <c r="A604" s="12">
        <v>46197</v>
      </c>
      <c r="B604" s="13" t="s">
        <v>116</v>
      </c>
      <c r="C604" s="13" t="s">
        <v>113</v>
      </c>
      <c r="D604" s="13" t="s">
        <v>97</v>
      </c>
      <c r="E604" s="14">
        <v>0.42</v>
      </c>
      <c r="F604" s="13" t="s">
        <v>57</v>
      </c>
      <c r="G604" s="15">
        <v>16.77</v>
      </c>
      <c r="H604" s="16">
        <v>16.95</v>
      </c>
      <c r="K604" s="26">
        <f t="shared" si="36"/>
        <v>1.0733452593917694E-2</v>
      </c>
      <c r="L604" s="26" t="str">
        <f t="shared" si="37"/>
        <v/>
      </c>
      <c r="M604" s="26" t="str">
        <f t="shared" si="38"/>
        <v/>
      </c>
      <c r="N604" s="27" t="str">
        <f t="shared" si="39"/>
        <v>YES</v>
      </c>
    </row>
    <row r="605" spans="1:14" ht="15" customHeight="1" x14ac:dyDescent="0.25">
      <c r="A605" s="12">
        <v>46197</v>
      </c>
      <c r="B605" s="13" t="s">
        <v>104</v>
      </c>
      <c r="C605" s="13" t="s">
        <v>96</v>
      </c>
      <c r="D605" s="13" t="s">
        <v>97</v>
      </c>
      <c r="E605" s="14">
        <v>0.38</v>
      </c>
      <c r="F605" s="13" t="s">
        <v>55</v>
      </c>
      <c r="G605" s="15">
        <v>29.145</v>
      </c>
      <c r="H605" s="16">
        <v>27.02</v>
      </c>
      <c r="K605" s="26">
        <f t="shared" si="36"/>
        <v>-7.2911305541259228E-2</v>
      </c>
      <c r="L605" s="26" t="str">
        <f t="shared" si="37"/>
        <v/>
      </c>
      <c r="M605" s="26" t="str">
        <f t="shared" si="38"/>
        <v/>
      </c>
      <c r="N605" s="27" t="str">
        <f t="shared" si="39"/>
        <v>NO</v>
      </c>
    </row>
    <row r="606" spans="1:14" ht="15" customHeight="1" x14ac:dyDescent="0.25">
      <c r="A606" s="12">
        <v>46197</v>
      </c>
      <c r="B606" s="13" t="s">
        <v>111</v>
      </c>
      <c r="C606" s="13" t="s">
        <v>113</v>
      </c>
      <c r="D606" s="13" t="s">
        <v>97</v>
      </c>
      <c r="E606" s="14">
        <v>0.62</v>
      </c>
      <c r="F606" s="13" t="s">
        <v>55</v>
      </c>
      <c r="G606" s="15">
        <v>63.89</v>
      </c>
      <c r="H606" s="16">
        <v>65.11</v>
      </c>
      <c r="K606" s="26">
        <f t="shared" si="36"/>
        <v>1.9095320081389869E-2</v>
      </c>
      <c r="L606" s="26" t="str">
        <f t="shared" si="37"/>
        <v/>
      </c>
      <c r="M606" s="26" t="str">
        <f t="shared" si="38"/>
        <v/>
      </c>
      <c r="N606" s="27" t="str">
        <f t="shared" si="39"/>
        <v>YES</v>
      </c>
    </row>
    <row r="607" spans="1:14" ht="15" customHeight="1" x14ac:dyDescent="0.25">
      <c r="A607" s="12">
        <v>46197</v>
      </c>
      <c r="B607" s="13" t="s">
        <v>107</v>
      </c>
      <c r="C607" s="13" t="s">
        <v>96</v>
      </c>
      <c r="D607" s="13" t="s">
        <v>97</v>
      </c>
      <c r="E607" s="14">
        <v>0.55000000000000004</v>
      </c>
      <c r="F607" s="13" t="s">
        <v>55</v>
      </c>
      <c r="G607" s="15">
        <v>79.599999999999994</v>
      </c>
      <c r="H607" s="16">
        <v>75.52</v>
      </c>
      <c r="K607" s="26">
        <f t="shared" si="36"/>
        <v>-5.1256281407035156E-2</v>
      </c>
      <c r="L607" s="26" t="str">
        <f t="shared" si="37"/>
        <v/>
      </c>
      <c r="M607" s="26" t="str">
        <f t="shared" si="38"/>
        <v/>
      </c>
      <c r="N607" s="27" t="str">
        <f t="shared" si="39"/>
        <v>NO</v>
      </c>
    </row>
    <row r="608" spans="1:14" ht="15" customHeight="1" x14ac:dyDescent="0.25">
      <c r="A608" s="12">
        <v>46197</v>
      </c>
      <c r="B608" s="13" t="s">
        <v>106</v>
      </c>
      <c r="C608" s="13" t="s">
        <v>99</v>
      </c>
      <c r="D608" s="13" t="s">
        <v>97</v>
      </c>
      <c r="E608" s="14">
        <v>0.62</v>
      </c>
      <c r="F608" s="13" t="s">
        <v>55</v>
      </c>
      <c r="G608" s="15">
        <v>331.64</v>
      </c>
      <c r="H608" s="16">
        <v>334.07</v>
      </c>
      <c r="K608" s="26">
        <f t="shared" si="36"/>
        <v>7.3272222892293059E-3</v>
      </c>
      <c r="L608" s="26" t="str">
        <f t="shared" si="37"/>
        <v/>
      </c>
      <c r="M608" s="26" t="str">
        <f t="shared" si="38"/>
        <v/>
      </c>
      <c r="N608" s="27" t="str">
        <f t="shared" si="39"/>
        <v>YES</v>
      </c>
    </row>
    <row r="609" spans="1:14" ht="15" customHeight="1" x14ac:dyDescent="0.25">
      <c r="A609" s="12">
        <v>46197</v>
      </c>
      <c r="B609" s="13" t="s">
        <v>100</v>
      </c>
      <c r="C609" s="13" t="s">
        <v>96</v>
      </c>
      <c r="D609" s="13" t="s">
        <v>97</v>
      </c>
      <c r="E609" s="14">
        <v>0.52</v>
      </c>
      <c r="F609" s="13" t="s">
        <v>55</v>
      </c>
      <c r="G609" s="15">
        <v>372.71399600000001</v>
      </c>
      <c r="H609" s="16">
        <v>384.28</v>
      </c>
      <c r="K609" s="26">
        <f t="shared" si="36"/>
        <v>3.1031847808580721E-2</v>
      </c>
      <c r="L609" s="26" t="str">
        <f t="shared" si="37"/>
        <v/>
      </c>
      <c r="M609" s="26" t="str">
        <f t="shared" si="38"/>
        <v/>
      </c>
      <c r="N609" s="27" t="str">
        <f t="shared" si="39"/>
        <v>NO</v>
      </c>
    </row>
    <row r="610" spans="1:14" ht="15" customHeight="1" x14ac:dyDescent="0.25">
      <c r="A610" s="12">
        <v>46197</v>
      </c>
      <c r="B610" s="13" t="s">
        <v>101</v>
      </c>
      <c r="C610" s="13" t="s">
        <v>99</v>
      </c>
      <c r="D610" s="13" t="s">
        <v>97</v>
      </c>
      <c r="E610" s="14">
        <v>0.42</v>
      </c>
      <c r="F610" s="13" t="s">
        <v>55</v>
      </c>
      <c r="G610" s="15">
        <v>41.325000000000003</v>
      </c>
      <c r="H610" s="16">
        <v>43.06</v>
      </c>
      <c r="K610" s="26">
        <f t="shared" si="36"/>
        <v>4.1984271022383529E-2</v>
      </c>
      <c r="L610" s="26" t="str">
        <f t="shared" si="37"/>
        <v/>
      </c>
      <c r="M610" s="26" t="str">
        <f t="shared" si="38"/>
        <v/>
      </c>
      <c r="N610" s="27" t="str">
        <f t="shared" si="39"/>
        <v>NO</v>
      </c>
    </row>
    <row r="611" spans="1:14" ht="15" customHeight="1" x14ac:dyDescent="0.25">
      <c r="A611" s="12">
        <v>46197</v>
      </c>
      <c r="B611" s="13" t="s">
        <v>98</v>
      </c>
      <c r="C611" s="13" t="s">
        <v>96</v>
      </c>
      <c r="D611" s="13" t="s">
        <v>97</v>
      </c>
      <c r="E611" s="14">
        <v>0.42</v>
      </c>
      <c r="F611" s="13" t="s">
        <v>56</v>
      </c>
      <c r="G611" s="15">
        <v>60.9</v>
      </c>
      <c r="H611" s="16">
        <v>63.57</v>
      </c>
      <c r="K611" s="26">
        <f t="shared" si="36"/>
        <v>4.3842364532019736E-2</v>
      </c>
      <c r="L611" s="26" t="str">
        <f t="shared" si="37"/>
        <v/>
      </c>
      <c r="M611" s="26" t="str">
        <f t="shared" si="38"/>
        <v/>
      </c>
      <c r="N611" s="27" t="str">
        <f t="shared" si="39"/>
        <v>NO</v>
      </c>
    </row>
    <row r="612" spans="1:14" ht="15" customHeight="1" x14ac:dyDescent="0.25">
      <c r="A612" s="12">
        <v>46197</v>
      </c>
      <c r="B612" s="13" t="s">
        <v>110</v>
      </c>
      <c r="C612" s="13" t="s">
        <v>99</v>
      </c>
      <c r="D612" s="13" t="s">
        <v>97</v>
      </c>
      <c r="E612" s="14">
        <v>0.65</v>
      </c>
      <c r="F612" s="13" t="s">
        <v>55</v>
      </c>
      <c r="G612" s="15">
        <v>177.76</v>
      </c>
      <c r="H612" s="16">
        <v>177.69</v>
      </c>
      <c r="K612" s="26">
        <f t="shared" si="36"/>
        <v>-3.9378937893785545E-4</v>
      </c>
      <c r="L612" s="26" t="str">
        <f t="shared" si="37"/>
        <v/>
      </c>
      <c r="M612" s="26" t="str">
        <f t="shared" si="38"/>
        <v/>
      </c>
      <c r="N612" s="27" t="str">
        <f t="shared" si="39"/>
        <v>YES</v>
      </c>
    </row>
    <row r="613" spans="1:14" ht="15" customHeight="1" x14ac:dyDescent="0.25">
      <c r="A613" s="12">
        <v>46197</v>
      </c>
      <c r="B613" s="13" t="s">
        <v>108</v>
      </c>
      <c r="C613" s="13" t="s">
        <v>99</v>
      </c>
      <c r="D613" s="13" t="s">
        <v>97</v>
      </c>
      <c r="E613" s="14">
        <v>0.62</v>
      </c>
      <c r="F613" s="13" t="s">
        <v>55</v>
      </c>
      <c r="G613" s="15">
        <v>705.40499999999997</v>
      </c>
      <c r="H613" s="16">
        <v>691.4</v>
      </c>
      <c r="K613" s="26">
        <f t="shared" si="36"/>
        <v>-1.9853842827879015E-2</v>
      </c>
      <c r="L613" s="26" t="str">
        <f t="shared" si="37"/>
        <v/>
      </c>
      <c r="M613" s="26" t="str">
        <f t="shared" si="38"/>
        <v/>
      </c>
      <c r="N613" s="27" t="str">
        <f t="shared" si="39"/>
        <v>YES</v>
      </c>
    </row>
    <row r="614" spans="1:14" ht="15" customHeight="1" x14ac:dyDescent="0.25">
      <c r="A614" s="12">
        <v>46197</v>
      </c>
      <c r="B614" s="13" t="s">
        <v>115</v>
      </c>
      <c r="C614" s="13" t="s">
        <v>113</v>
      </c>
      <c r="D614" s="13" t="s">
        <v>97</v>
      </c>
      <c r="E614" s="14">
        <v>0.62</v>
      </c>
      <c r="F614" s="13" t="s">
        <v>55</v>
      </c>
      <c r="G614" s="15">
        <v>185.33</v>
      </c>
      <c r="H614" s="16">
        <v>191.78</v>
      </c>
      <c r="K614" s="26">
        <f t="shared" si="36"/>
        <v>3.4802784222737755E-2</v>
      </c>
      <c r="L614" s="26" t="str">
        <f t="shared" si="37"/>
        <v/>
      </c>
      <c r="M614" s="26" t="str">
        <f t="shared" si="38"/>
        <v/>
      </c>
      <c r="N614" s="27" t="str">
        <f t="shared" si="39"/>
        <v>NO</v>
      </c>
    </row>
    <row r="615" spans="1:14" ht="15" customHeight="1" x14ac:dyDescent="0.25">
      <c r="A615" s="12">
        <v>46197</v>
      </c>
      <c r="B615" s="13" t="s">
        <v>102</v>
      </c>
      <c r="C615" s="13" t="s">
        <v>99</v>
      </c>
      <c r="D615" s="13" t="s">
        <v>97</v>
      </c>
      <c r="E615" s="14">
        <v>0.62</v>
      </c>
      <c r="F615" s="13" t="s">
        <v>55</v>
      </c>
      <c r="G615" s="15">
        <v>31.67</v>
      </c>
      <c r="H615" s="16">
        <v>31.85</v>
      </c>
      <c r="K615" s="26">
        <f t="shared" si="36"/>
        <v>5.6836122513419544E-3</v>
      </c>
      <c r="L615" s="26" t="str">
        <f t="shared" si="37"/>
        <v/>
      </c>
      <c r="M615" s="26" t="str">
        <f t="shared" si="38"/>
        <v/>
      </c>
      <c r="N615" s="27" t="str">
        <f t="shared" si="39"/>
        <v>YES</v>
      </c>
    </row>
    <row r="616" spans="1:14" ht="15" customHeight="1" x14ac:dyDescent="0.25">
      <c r="A616" s="12">
        <v>46197</v>
      </c>
      <c r="B616" s="13" t="s">
        <v>117</v>
      </c>
      <c r="C616" s="13" t="s">
        <v>113</v>
      </c>
      <c r="D616" s="13" t="s">
        <v>97</v>
      </c>
      <c r="E616" s="14">
        <v>0.42</v>
      </c>
      <c r="F616" s="13" t="s">
        <v>56</v>
      </c>
      <c r="G616" s="15">
        <v>4.63</v>
      </c>
      <c r="H616" s="16">
        <v>4.7300000000000004</v>
      </c>
      <c r="K616" s="26">
        <f t="shared" si="36"/>
        <v>2.1598272138229058E-2</v>
      </c>
      <c r="L616" s="26" t="str">
        <f t="shared" si="37"/>
        <v/>
      </c>
      <c r="M616" s="26" t="str">
        <f t="shared" si="38"/>
        <v/>
      </c>
      <c r="N616" s="27" t="str">
        <f t="shared" si="39"/>
        <v>YES</v>
      </c>
    </row>
    <row r="617" spans="1:14" ht="15" customHeight="1" x14ac:dyDescent="0.25">
      <c r="A617" s="12">
        <v>46197</v>
      </c>
      <c r="B617" s="13" t="s">
        <v>95</v>
      </c>
      <c r="C617" s="13" t="s">
        <v>96</v>
      </c>
      <c r="D617" s="13" t="s">
        <v>97</v>
      </c>
      <c r="E617" s="14">
        <v>0.55000000000000004</v>
      </c>
      <c r="F617" s="13" t="s">
        <v>56</v>
      </c>
      <c r="G617" s="15">
        <v>119.575</v>
      </c>
      <c r="H617" s="16">
        <v>108.82</v>
      </c>
      <c r="K617" s="26">
        <f t="shared" si="36"/>
        <v>-8.9943550073175907E-2</v>
      </c>
      <c r="L617" s="26" t="str">
        <f t="shared" si="37"/>
        <v/>
      </c>
      <c r="M617" s="26" t="str">
        <f t="shared" si="38"/>
        <v/>
      </c>
      <c r="N617" s="27" t="str">
        <f t="shared" si="39"/>
        <v>NO</v>
      </c>
    </row>
    <row r="618" spans="1:14" ht="15" customHeight="1" x14ac:dyDescent="0.25">
      <c r="A618" s="12">
        <v>46197</v>
      </c>
      <c r="B618" s="13" t="s">
        <v>109</v>
      </c>
      <c r="C618" s="13" t="s">
        <v>99</v>
      </c>
      <c r="D618" s="13" t="s">
        <v>97</v>
      </c>
      <c r="E618" s="14">
        <v>0.62</v>
      </c>
      <c r="F618" s="13" t="s">
        <v>55</v>
      </c>
      <c r="G618" s="15">
        <v>45.24</v>
      </c>
      <c r="H618" s="16">
        <v>44.77</v>
      </c>
      <c r="K618" s="26">
        <f t="shared" si="36"/>
        <v>-1.0389036251105191E-2</v>
      </c>
      <c r="L618" s="26" t="str">
        <f t="shared" si="37"/>
        <v/>
      </c>
      <c r="M618" s="26" t="str">
        <f t="shared" si="38"/>
        <v/>
      </c>
      <c r="N618" s="27" t="str">
        <f t="shared" si="39"/>
        <v>YES</v>
      </c>
    </row>
    <row r="619" spans="1:14" ht="15" customHeight="1" x14ac:dyDescent="0.25">
      <c r="A619" s="12">
        <v>46197</v>
      </c>
      <c r="B619" s="13" t="s">
        <v>118</v>
      </c>
      <c r="C619" s="13" t="s">
        <v>119</v>
      </c>
      <c r="D619" s="13" t="s">
        <v>97</v>
      </c>
      <c r="E619" s="14">
        <v>0.52</v>
      </c>
      <c r="F619" s="13" t="s">
        <v>55</v>
      </c>
      <c r="G619" s="15">
        <v>737.77</v>
      </c>
      <c r="H619" s="16">
        <v>745.72</v>
      </c>
      <c r="K619" s="26">
        <f t="shared" si="36"/>
        <v>1.0775716009054375E-2</v>
      </c>
      <c r="L619" s="26" t="str">
        <f t="shared" si="37"/>
        <v/>
      </c>
      <c r="M619" s="26" t="str">
        <f t="shared" si="38"/>
        <v/>
      </c>
      <c r="N619" s="27" t="str">
        <f t="shared" si="39"/>
        <v>YES</v>
      </c>
    </row>
    <row r="620" spans="1:14" ht="15" customHeight="1" x14ac:dyDescent="0.25">
      <c r="A620" s="12">
        <v>46197</v>
      </c>
      <c r="B620" s="13" t="s">
        <v>120</v>
      </c>
      <c r="C620" s="13" t="s">
        <v>119</v>
      </c>
      <c r="D620" s="13" t="s">
        <v>97</v>
      </c>
      <c r="E620" s="14">
        <v>0.52</v>
      </c>
      <c r="F620" s="13" t="s">
        <v>55</v>
      </c>
      <c r="G620" s="15">
        <v>717.4</v>
      </c>
      <c r="H620" s="16">
        <v>725.23</v>
      </c>
      <c r="K620" s="26">
        <f t="shared" si="36"/>
        <v>1.0914413158628438E-2</v>
      </c>
      <c r="L620" s="26" t="str">
        <f t="shared" si="37"/>
        <v/>
      </c>
      <c r="M620" s="26" t="str">
        <f t="shared" si="38"/>
        <v/>
      </c>
      <c r="N620" s="27" t="str">
        <f t="shared" si="39"/>
        <v>YES</v>
      </c>
    </row>
    <row r="621" spans="1:14" ht="15" customHeight="1" x14ac:dyDescent="0.25">
      <c r="A621" s="12">
        <v>46197</v>
      </c>
      <c r="B621" s="13" t="s">
        <v>121</v>
      </c>
      <c r="C621" s="13" t="s">
        <v>119</v>
      </c>
      <c r="D621" s="13" t="s">
        <v>97</v>
      </c>
      <c r="E621" s="14">
        <v>0.62</v>
      </c>
      <c r="F621" s="13" t="s">
        <v>55</v>
      </c>
      <c r="G621" s="15">
        <v>365.94</v>
      </c>
      <c r="H621" s="16">
        <v>369.27</v>
      </c>
      <c r="K621" s="26">
        <f t="shared" si="36"/>
        <v>9.0998524348253375E-3</v>
      </c>
      <c r="L621" s="26" t="str">
        <f t="shared" si="37"/>
        <v/>
      </c>
      <c r="M621" s="26" t="str">
        <f t="shared" si="38"/>
        <v/>
      </c>
      <c r="N621" s="27" t="str">
        <f t="shared" si="39"/>
        <v>YES</v>
      </c>
    </row>
    <row r="622" spans="1:14" ht="15" customHeight="1" x14ac:dyDescent="0.25">
      <c r="A622" s="12">
        <v>46197</v>
      </c>
      <c r="B622" s="13" t="s">
        <v>122</v>
      </c>
      <c r="C622" s="13" t="s">
        <v>119</v>
      </c>
      <c r="D622" s="13" t="s">
        <v>97</v>
      </c>
      <c r="E622" s="14">
        <v>0.55000000000000004</v>
      </c>
      <c r="F622" s="13" t="s">
        <v>56</v>
      </c>
      <c r="G622" s="15">
        <v>200.64</v>
      </c>
      <c r="H622" s="16">
        <v>197.58</v>
      </c>
      <c r="K622" s="26">
        <f t="shared" si="36"/>
        <v>-1.5251196172248675E-2</v>
      </c>
      <c r="L622" s="26" t="str">
        <f t="shared" si="37"/>
        <v/>
      </c>
      <c r="M622" s="26" t="str">
        <f t="shared" si="38"/>
        <v/>
      </c>
      <c r="N622" s="27" t="str">
        <f t="shared" si="39"/>
        <v>YES</v>
      </c>
    </row>
    <row r="623" spans="1:14" ht="15" customHeight="1" x14ac:dyDescent="0.25">
      <c r="A623" s="12">
        <v>46197</v>
      </c>
      <c r="B623" s="13" t="s">
        <v>123</v>
      </c>
      <c r="C623" s="13" t="s">
        <v>119</v>
      </c>
      <c r="D623" s="13" t="s">
        <v>97</v>
      </c>
      <c r="E623" s="14">
        <v>0.45</v>
      </c>
      <c r="F623" s="13" t="s">
        <v>56</v>
      </c>
      <c r="G623" s="15">
        <v>368.15</v>
      </c>
      <c r="H623" s="16">
        <v>370.6</v>
      </c>
      <c r="K623" s="26">
        <f t="shared" si="36"/>
        <v>6.6548961021324071E-3</v>
      </c>
      <c r="L623" s="26" t="str">
        <f t="shared" si="37"/>
        <v/>
      </c>
      <c r="M623" s="26" t="str">
        <f t="shared" si="38"/>
        <v/>
      </c>
      <c r="N623" s="27" t="str">
        <f t="shared" si="39"/>
        <v>YES</v>
      </c>
    </row>
    <row r="624" spans="1:14" ht="15" customHeight="1" x14ac:dyDescent="0.25">
      <c r="A624" s="12">
        <v>46198</v>
      </c>
      <c r="B624" s="13" t="s">
        <v>103</v>
      </c>
      <c r="C624" s="13" t="s">
        <v>99</v>
      </c>
      <c r="D624" s="13" t="s">
        <v>97</v>
      </c>
      <c r="E624" s="14">
        <v>0.52</v>
      </c>
      <c r="F624" s="13" t="s">
        <v>55</v>
      </c>
      <c r="G624" s="15">
        <v>279.89999999999998</v>
      </c>
      <c r="H624" s="16">
        <v>308.63</v>
      </c>
      <c r="K624" s="26">
        <f t="shared" si="36"/>
        <v>0.1026438013576278</v>
      </c>
      <c r="L624" s="26" t="str">
        <f t="shared" si="37"/>
        <v/>
      </c>
      <c r="M624" s="26" t="str">
        <f t="shared" si="38"/>
        <v/>
      </c>
      <c r="N624" s="27" t="str">
        <f t="shared" si="39"/>
        <v>NO</v>
      </c>
    </row>
    <row r="625" spans="1:14" ht="15" customHeight="1" x14ac:dyDescent="0.25">
      <c r="A625" s="12">
        <v>46198</v>
      </c>
      <c r="B625" s="13" t="s">
        <v>112</v>
      </c>
      <c r="C625" s="13" t="s">
        <v>113</v>
      </c>
      <c r="D625" s="13" t="s">
        <v>97</v>
      </c>
      <c r="E625" s="14">
        <v>0.45</v>
      </c>
      <c r="F625" s="13" t="s">
        <v>56</v>
      </c>
      <c r="G625" s="15">
        <v>16.579999999999998</v>
      </c>
      <c r="H625" s="16">
        <v>17.82</v>
      </c>
      <c r="K625" s="26">
        <f t="shared" si="36"/>
        <v>7.4788902291918105E-2</v>
      </c>
      <c r="L625" s="26" t="str">
        <f t="shared" si="37"/>
        <v/>
      </c>
      <c r="M625" s="26" t="str">
        <f t="shared" si="38"/>
        <v/>
      </c>
      <c r="N625" s="27" t="str">
        <f t="shared" si="39"/>
        <v>NO</v>
      </c>
    </row>
    <row r="626" spans="1:14" ht="15" customHeight="1" x14ac:dyDescent="0.25">
      <c r="A626" s="12">
        <v>46198</v>
      </c>
      <c r="B626" s="13" t="s">
        <v>105</v>
      </c>
      <c r="C626" s="13" t="s">
        <v>96</v>
      </c>
      <c r="D626" s="13" t="s">
        <v>97</v>
      </c>
      <c r="E626" s="14">
        <v>0.55000000000000004</v>
      </c>
      <c r="F626" s="13" t="s">
        <v>55</v>
      </c>
      <c r="G626" s="15">
        <v>64.174999999999997</v>
      </c>
      <c r="H626" s="16">
        <v>61.85</v>
      </c>
      <c r="K626" s="26">
        <f t="shared" si="36"/>
        <v>-3.6229061160888129E-2</v>
      </c>
      <c r="L626" s="26" t="str">
        <f t="shared" si="37"/>
        <v/>
      </c>
      <c r="M626" s="26" t="str">
        <f t="shared" si="38"/>
        <v/>
      </c>
      <c r="N626" s="27" t="str">
        <f t="shared" si="39"/>
        <v>NO</v>
      </c>
    </row>
    <row r="627" spans="1:14" ht="15" customHeight="1" x14ac:dyDescent="0.25">
      <c r="A627" s="12">
        <v>46198</v>
      </c>
      <c r="B627" s="13" t="s">
        <v>114</v>
      </c>
      <c r="C627" s="13" t="s">
        <v>113</v>
      </c>
      <c r="D627" s="13" t="s">
        <v>97</v>
      </c>
      <c r="E627" s="14">
        <v>0.35</v>
      </c>
      <c r="F627" s="13" t="s">
        <v>55</v>
      </c>
      <c r="G627" s="15">
        <v>166.27</v>
      </c>
      <c r="H627" s="16">
        <v>204.86</v>
      </c>
      <c r="K627" s="26">
        <f t="shared" si="36"/>
        <v>0.23209237986407652</v>
      </c>
      <c r="L627" s="26" t="str">
        <f t="shared" si="37"/>
        <v/>
      </c>
      <c r="M627" s="26" t="str">
        <f t="shared" si="38"/>
        <v/>
      </c>
      <c r="N627" s="27" t="str">
        <f t="shared" si="39"/>
        <v>NO</v>
      </c>
    </row>
    <row r="628" spans="1:14" ht="15" customHeight="1" x14ac:dyDescent="0.25">
      <c r="A628" s="12">
        <v>46198</v>
      </c>
      <c r="B628" s="13" t="s">
        <v>116</v>
      </c>
      <c r="C628" s="13" t="s">
        <v>113</v>
      </c>
      <c r="D628" s="13" t="s">
        <v>97</v>
      </c>
      <c r="E628" s="14">
        <v>0.42</v>
      </c>
      <c r="F628" s="13" t="s">
        <v>56</v>
      </c>
      <c r="G628" s="15">
        <v>16.745000000000001</v>
      </c>
      <c r="H628" s="16">
        <v>16.86</v>
      </c>
      <c r="K628" s="26">
        <f t="shared" si="36"/>
        <v>6.8677217079724353E-3</v>
      </c>
      <c r="L628" s="26" t="str">
        <f t="shared" si="37"/>
        <v/>
      </c>
      <c r="M628" s="26" t="str">
        <f t="shared" si="38"/>
        <v/>
      </c>
      <c r="N628" s="27" t="str">
        <f t="shared" si="39"/>
        <v>YES</v>
      </c>
    </row>
    <row r="629" spans="1:14" ht="15" customHeight="1" x14ac:dyDescent="0.25">
      <c r="A629" s="12">
        <v>46198</v>
      </c>
      <c r="B629" s="13" t="s">
        <v>104</v>
      </c>
      <c r="C629" s="13" t="s">
        <v>96</v>
      </c>
      <c r="D629" s="13" t="s">
        <v>97</v>
      </c>
      <c r="E629" s="14">
        <v>0.38</v>
      </c>
      <c r="F629" s="13" t="s">
        <v>56</v>
      </c>
      <c r="G629" s="15">
        <v>28.74</v>
      </c>
      <c r="H629" s="16">
        <v>27.71</v>
      </c>
      <c r="K629" s="26">
        <f t="shared" si="36"/>
        <v>-3.5838552540013835E-2</v>
      </c>
      <c r="L629" s="26" t="str">
        <f t="shared" si="37"/>
        <v/>
      </c>
      <c r="M629" s="26" t="str">
        <f t="shared" si="38"/>
        <v/>
      </c>
      <c r="N629" s="27" t="str">
        <f t="shared" si="39"/>
        <v>NO</v>
      </c>
    </row>
    <row r="630" spans="1:14" ht="15" customHeight="1" x14ac:dyDescent="0.25">
      <c r="A630" s="12">
        <v>46198</v>
      </c>
      <c r="B630" s="13" t="s">
        <v>111</v>
      </c>
      <c r="C630" s="13" t="s">
        <v>113</v>
      </c>
      <c r="D630" s="13" t="s">
        <v>97</v>
      </c>
      <c r="E630" s="14">
        <v>0.62</v>
      </c>
      <c r="F630" s="13" t="s">
        <v>56</v>
      </c>
      <c r="G630" s="15">
        <v>66.569999999999993</v>
      </c>
      <c r="H630" s="16">
        <v>66.75</v>
      </c>
      <c r="K630" s="26">
        <f t="shared" si="36"/>
        <v>2.7039206849933431E-3</v>
      </c>
      <c r="L630" s="26" t="str">
        <f t="shared" si="37"/>
        <v/>
      </c>
      <c r="M630" s="26" t="str">
        <f t="shared" si="38"/>
        <v/>
      </c>
      <c r="N630" s="27" t="str">
        <f t="shared" si="39"/>
        <v>YES</v>
      </c>
    </row>
    <row r="631" spans="1:14" ht="15" customHeight="1" x14ac:dyDescent="0.25">
      <c r="A631" s="12">
        <v>46198</v>
      </c>
      <c r="B631" s="13" t="s">
        <v>107</v>
      </c>
      <c r="C631" s="13" t="s">
        <v>96</v>
      </c>
      <c r="D631" s="13" t="s">
        <v>97</v>
      </c>
      <c r="E631" s="14">
        <v>0.57999999999999996</v>
      </c>
      <c r="F631" s="13" t="s">
        <v>55</v>
      </c>
      <c r="G631" s="15">
        <v>79.900000000000006</v>
      </c>
      <c r="H631" s="16">
        <v>76</v>
      </c>
      <c r="K631" s="26">
        <f t="shared" si="36"/>
        <v>-4.8811013767209081E-2</v>
      </c>
      <c r="L631" s="26" t="str">
        <f t="shared" si="37"/>
        <v/>
      </c>
      <c r="M631" s="26" t="str">
        <f t="shared" si="38"/>
        <v/>
      </c>
      <c r="N631" s="27" t="str">
        <f t="shared" si="39"/>
        <v>NO</v>
      </c>
    </row>
    <row r="632" spans="1:14" ht="15" customHeight="1" x14ac:dyDescent="0.25">
      <c r="A632" s="12">
        <v>46198</v>
      </c>
      <c r="B632" s="13" t="s">
        <v>106</v>
      </c>
      <c r="C632" s="13" t="s">
        <v>99</v>
      </c>
      <c r="D632" s="13" t="s">
        <v>97</v>
      </c>
      <c r="E632" s="14">
        <v>0.62</v>
      </c>
      <c r="F632" s="13" t="s">
        <v>55</v>
      </c>
      <c r="G632" s="15">
        <v>342.06</v>
      </c>
      <c r="H632" s="16">
        <v>332.97</v>
      </c>
      <c r="K632" s="26">
        <f t="shared" si="36"/>
        <v>-2.6574285213120431E-2</v>
      </c>
      <c r="L632" s="26" t="str">
        <f t="shared" si="37"/>
        <v/>
      </c>
      <c r="M632" s="26" t="str">
        <f t="shared" si="38"/>
        <v/>
      </c>
      <c r="N632" s="27" t="str">
        <f t="shared" si="39"/>
        <v>YES</v>
      </c>
    </row>
    <row r="633" spans="1:14" ht="15" customHeight="1" x14ac:dyDescent="0.25">
      <c r="A633" s="12">
        <v>46198</v>
      </c>
      <c r="B633" s="13" t="s">
        <v>100</v>
      </c>
      <c r="C633" s="13" t="s">
        <v>96</v>
      </c>
      <c r="D633" s="13" t="s">
        <v>97</v>
      </c>
      <c r="E633" s="14">
        <v>0.52</v>
      </c>
      <c r="F633" s="13" t="s">
        <v>55</v>
      </c>
      <c r="G633" s="15">
        <v>357.31</v>
      </c>
      <c r="H633" s="16">
        <v>390.49</v>
      </c>
      <c r="K633" s="26">
        <f t="shared" si="36"/>
        <v>9.2860541266687205E-2</v>
      </c>
      <c r="L633" s="26" t="str">
        <f t="shared" si="37"/>
        <v/>
      </c>
      <c r="M633" s="26" t="str">
        <f t="shared" si="38"/>
        <v/>
      </c>
      <c r="N633" s="27" t="str">
        <f t="shared" si="39"/>
        <v>NO</v>
      </c>
    </row>
    <row r="634" spans="1:14" ht="15" customHeight="1" x14ac:dyDescent="0.25">
      <c r="A634" s="12">
        <v>46198</v>
      </c>
      <c r="B634" s="13" t="s">
        <v>101</v>
      </c>
      <c r="C634" s="13" t="s">
        <v>99</v>
      </c>
      <c r="D634" s="13" t="s">
        <v>97</v>
      </c>
      <c r="E634" s="14">
        <v>0.42</v>
      </c>
      <c r="F634" s="13" t="s">
        <v>55</v>
      </c>
      <c r="G634" s="15">
        <v>41.545000000000002</v>
      </c>
      <c r="H634" s="16">
        <v>44.09</v>
      </c>
      <c r="K634" s="26">
        <f t="shared" si="36"/>
        <v>6.1258875917679666E-2</v>
      </c>
      <c r="L634" s="26" t="str">
        <f t="shared" si="37"/>
        <v/>
      </c>
      <c r="M634" s="26" t="str">
        <f t="shared" si="38"/>
        <v/>
      </c>
      <c r="N634" s="27" t="str">
        <f t="shared" si="39"/>
        <v>NO</v>
      </c>
    </row>
    <row r="635" spans="1:14" ht="15" customHeight="1" x14ac:dyDescent="0.25">
      <c r="A635" s="12">
        <v>46198</v>
      </c>
      <c r="B635" s="13" t="s">
        <v>98</v>
      </c>
      <c r="C635" s="13" t="s">
        <v>96</v>
      </c>
      <c r="D635" s="13" t="s">
        <v>97</v>
      </c>
      <c r="E635" s="14">
        <v>0.45</v>
      </c>
      <c r="F635" s="13" t="s">
        <v>56</v>
      </c>
      <c r="G635" s="15">
        <v>60.44</v>
      </c>
      <c r="H635" s="16">
        <v>65.06</v>
      </c>
      <c r="K635" s="26">
        <f t="shared" si="36"/>
        <v>7.6439444076770433E-2</v>
      </c>
      <c r="L635" s="26" t="str">
        <f t="shared" si="37"/>
        <v/>
      </c>
      <c r="M635" s="26" t="str">
        <f t="shared" si="38"/>
        <v/>
      </c>
      <c r="N635" s="27" t="str">
        <f t="shared" si="39"/>
        <v>NO</v>
      </c>
    </row>
    <row r="636" spans="1:14" ht="15" customHeight="1" x14ac:dyDescent="0.25">
      <c r="A636" s="12">
        <v>46198</v>
      </c>
      <c r="B636" s="13" t="s">
        <v>110</v>
      </c>
      <c r="C636" s="13" t="s">
        <v>99</v>
      </c>
      <c r="D636" s="13" t="s">
        <v>97</v>
      </c>
      <c r="E636" s="14">
        <v>0.65</v>
      </c>
      <c r="F636" s="13" t="s">
        <v>55</v>
      </c>
      <c r="G636" s="15">
        <v>179.22</v>
      </c>
      <c r="H636" s="16">
        <v>182.27</v>
      </c>
      <c r="K636" s="26">
        <f t="shared" si="36"/>
        <v>1.7018189934159197E-2</v>
      </c>
      <c r="L636" s="26" t="str">
        <f t="shared" si="37"/>
        <v/>
      </c>
      <c r="M636" s="26" t="str">
        <f t="shared" si="38"/>
        <v/>
      </c>
      <c r="N636" s="27" t="str">
        <f t="shared" si="39"/>
        <v>YES</v>
      </c>
    </row>
    <row r="637" spans="1:14" ht="15" customHeight="1" x14ac:dyDescent="0.25">
      <c r="A637" s="12">
        <v>46198</v>
      </c>
      <c r="B637" s="13" t="s">
        <v>108</v>
      </c>
      <c r="C637" s="13" t="s">
        <v>99</v>
      </c>
      <c r="D637" s="13" t="s">
        <v>97</v>
      </c>
      <c r="E637" s="14">
        <v>0.62</v>
      </c>
      <c r="F637" s="13" t="s">
        <v>55</v>
      </c>
      <c r="G637" s="15">
        <v>704.52499999999998</v>
      </c>
      <c r="H637" s="16">
        <v>668.31</v>
      </c>
      <c r="K637" s="26">
        <f t="shared" si="36"/>
        <v>-5.1403427841453506E-2</v>
      </c>
      <c r="L637" s="26" t="str">
        <f t="shared" si="37"/>
        <v/>
      </c>
      <c r="M637" s="26" t="str">
        <f t="shared" si="38"/>
        <v/>
      </c>
      <c r="N637" s="27" t="str">
        <f t="shared" si="39"/>
        <v>NO</v>
      </c>
    </row>
    <row r="638" spans="1:14" ht="15" customHeight="1" x14ac:dyDescent="0.25">
      <c r="A638" s="12">
        <v>46198</v>
      </c>
      <c r="B638" s="13" t="s">
        <v>115</v>
      </c>
      <c r="C638" s="13" t="s">
        <v>113</v>
      </c>
      <c r="D638" s="13" t="s">
        <v>97</v>
      </c>
      <c r="E638" s="14">
        <v>0.62</v>
      </c>
      <c r="F638" s="13" t="s">
        <v>55</v>
      </c>
      <c r="G638" s="15">
        <v>189.0403</v>
      </c>
      <c r="H638" s="16">
        <v>199.25</v>
      </c>
      <c r="K638" s="26">
        <f t="shared" si="36"/>
        <v>5.4008060715096187E-2</v>
      </c>
      <c r="L638" s="26" t="str">
        <f t="shared" si="37"/>
        <v/>
      </c>
      <c r="M638" s="26" t="str">
        <f t="shared" si="38"/>
        <v/>
      </c>
      <c r="N638" s="27" t="str">
        <f t="shared" si="39"/>
        <v>NO</v>
      </c>
    </row>
    <row r="639" spans="1:14" ht="15" customHeight="1" x14ac:dyDescent="0.25">
      <c r="A639" s="12">
        <v>46198</v>
      </c>
      <c r="B639" s="13" t="s">
        <v>102</v>
      </c>
      <c r="C639" s="13" t="s">
        <v>99</v>
      </c>
      <c r="D639" s="13" t="s">
        <v>97</v>
      </c>
      <c r="E639" s="14">
        <v>0.57999999999999996</v>
      </c>
      <c r="F639" s="13" t="s">
        <v>55</v>
      </c>
      <c r="G639" s="15">
        <v>32.091000000000001</v>
      </c>
      <c r="H639" s="16">
        <v>32.39</v>
      </c>
      <c r="K639" s="26">
        <f t="shared" si="36"/>
        <v>9.3172540587703554E-3</v>
      </c>
      <c r="L639" s="26" t="str">
        <f t="shared" si="37"/>
        <v/>
      </c>
      <c r="M639" s="26" t="str">
        <f t="shared" si="38"/>
        <v/>
      </c>
      <c r="N639" s="27" t="str">
        <f t="shared" si="39"/>
        <v>YES</v>
      </c>
    </row>
    <row r="640" spans="1:14" ht="15" customHeight="1" x14ac:dyDescent="0.25">
      <c r="A640" s="12">
        <v>46198</v>
      </c>
      <c r="B640" s="13" t="s">
        <v>117</v>
      </c>
      <c r="C640" s="13" t="s">
        <v>113</v>
      </c>
      <c r="D640" s="13" t="s">
        <v>97</v>
      </c>
      <c r="E640" s="14">
        <v>0.45</v>
      </c>
      <c r="F640" s="13" t="s">
        <v>56</v>
      </c>
      <c r="G640" s="15">
        <v>4.6399999999999997</v>
      </c>
      <c r="H640" s="16">
        <v>4.7</v>
      </c>
      <c r="K640" s="26">
        <f t="shared" si="36"/>
        <v>1.2931034482758728E-2</v>
      </c>
      <c r="L640" s="26" t="str">
        <f t="shared" si="37"/>
        <v/>
      </c>
      <c r="M640" s="26" t="str">
        <f t="shared" si="38"/>
        <v/>
      </c>
      <c r="N640" s="27" t="str">
        <f t="shared" si="39"/>
        <v>YES</v>
      </c>
    </row>
    <row r="641" spans="1:14" ht="15" customHeight="1" x14ac:dyDescent="0.25">
      <c r="A641" s="12">
        <v>46198</v>
      </c>
      <c r="B641" s="13" t="s">
        <v>95</v>
      </c>
      <c r="C641" s="13" t="s">
        <v>96</v>
      </c>
      <c r="D641" s="13" t="s">
        <v>97</v>
      </c>
      <c r="E641" s="14">
        <v>0.55000000000000004</v>
      </c>
      <c r="F641" s="13" t="s">
        <v>55</v>
      </c>
      <c r="G641" s="15">
        <v>117.24</v>
      </c>
      <c r="H641" s="16">
        <v>111.84</v>
      </c>
      <c r="K641" s="26">
        <f t="shared" si="36"/>
        <v>-4.6059365404298801E-2</v>
      </c>
      <c r="L641" s="26" t="str">
        <f t="shared" si="37"/>
        <v/>
      </c>
      <c r="M641" s="26" t="str">
        <f t="shared" si="38"/>
        <v/>
      </c>
      <c r="N641" s="27" t="str">
        <f t="shared" si="39"/>
        <v>NO</v>
      </c>
    </row>
    <row r="642" spans="1:14" ht="15" customHeight="1" x14ac:dyDescent="0.25">
      <c r="A642" s="12">
        <v>46198</v>
      </c>
      <c r="B642" s="13" t="s">
        <v>109</v>
      </c>
      <c r="C642" s="13" t="s">
        <v>99</v>
      </c>
      <c r="D642" s="13" t="s">
        <v>97</v>
      </c>
      <c r="E642" s="14">
        <v>0.62</v>
      </c>
      <c r="F642" s="13" t="s">
        <v>55</v>
      </c>
      <c r="G642" s="15">
        <v>45.8</v>
      </c>
      <c r="H642" s="16">
        <v>45.76</v>
      </c>
      <c r="K642" s="26">
        <f t="shared" si="36"/>
        <v>-8.7336244541482864E-4</v>
      </c>
      <c r="L642" s="26" t="str">
        <f t="shared" si="37"/>
        <v/>
      </c>
      <c r="M642" s="26" t="str">
        <f t="shared" si="38"/>
        <v/>
      </c>
      <c r="N642" s="27" t="str">
        <f t="shared" si="39"/>
        <v>YES</v>
      </c>
    </row>
    <row r="643" spans="1:14" ht="15" customHeight="1" x14ac:dyDescent="0.25">
      <c r="A643" s="12">
        <v>46198</v>
      </c>
      <c r="B643" s="13" t="s">
        <v>118</v>
      </c>
      <c r="C643" s="13" t="s">
        <v>119</v>
      </c>
      <c r="D643" s="13" t="s">
        <v>97</v>
      </c>
      <c r="E643" s="14">
        <v>0.52</v>
      </c>
      <c r="F643" s="13" t="s">
        <v>55</v>
      </c>
      <c r="G643" s="15">
        <v>735.39909999999998</v>
      </c>
      <c r="H643" s="16">
        <v>744.78</v>
      </c>
      <c r="K643" s="26">
        <f t="shared" si="36"/>
        <v>1.2756202720400388E-2</v>
      </c>
      <c r="L643" s="26" t="str">
        <f t="shared" si="37"/>
        <v/>
      </c>
      <c r="M643" s="26" t="str">
        <f t="shared" si="38"/>
        <v/>
      </c>
      <c r="N643" s="27" t="str">
        <f t="shared" si="39"/>
        <v>YES</v>
      </c>
    </row>
    <row r="644" spans="1:14" ht="15" customHeight="1" x14ac:dyDescent="0.25">
      <c r="A644" s="12">
        <v>46198</v>
      </c>
      <c r="B644" s="13" t="s">
        <v>120</v>
      </c>
      <c r="C644" s="13" t="s">
        <v>119</v>
      </c>
      <c r="D644" s="13" t="s">
        <v>97</v>
      </c>
      <c r="E644" s="14">
        <v>0.52</v>
      </c>
      <c r="F644" s="13" t="s">
        <v>55</v>
      </c>
      <c r="G644" s="15">
        <v>712.32</v>
      </c>
      <c r="H644" s="16">
        <v>712.6</v>
      </c>
      <c r="K644" s="26">
        <f t="shared" si="36"/>
        <v>3.93081761006251E-4</v>
      </c>
      <c r="L644" s="26" t="str">
        <f t="shared" si="37"/>
        <v/>
      </c>
      <c r="M644" s="26" t="str">
        <f t="shared" si="38"/>
        <v/>
      </c>
      <c r="N644" s="27" t="str">
        <f t="shared" si="39"/>
        <v>YES</v>
      </c>
    </row>
    <row r="645" spans="1:14" ht="15" customHeight="1" x14ac:dyDescent="0.25">
      <c r="A645" s="12">
        <v>46198</v>
      </c>
      <c r="B645" s="13" t="s">
        <v>121</v>
      </c>
      <c r="C645" s="13" t="s">
        <v>119</v>
      </c>
      <c r="D645" s="13" t="s">
        <v>97</v>
      </c>
      <c r="E645" s="14">
        <v>0.62</v>
      </c>
      <c r="F645" s="13" t="s">
        <v>55</v>
      </c>
      <c r="G645" s="15">
        <v>364.96</v>
      </c>
      <c r="H645" s="16">
        <v>368.76</v>
      </c>
      <c r="K645" s="26">
        <f t="shared" ref="K645:K708" si="40">IF(H645="","",(H645-G645)/G645)</f>
        <v>1.0412099956159611E-2</v>
      </c>
      <c r="L645" s="26" t="str">
        <f t="shared" ref="L645:L708" si="41">IF(I645="","",(I645-G645)/G645)</f>
        <v/>
      </c>
      <c r="M645" s="26" t="str">
        <f t="shared" ref="M645:M708" si="42">IF(J645="","",(J645-G645)/G645)</f>
        <v/>
      </c>
      <c r="N645" s="27" t="str">
        <f t="shared" ref="N645:N708" si="43">IF(H645="","",IF(D645="HOLD",IF(ABS(K645)&lt;0.03,"YES","NO"),IF(D645="BUY",IF(K645&gt;0,"YES","NO"),IF(D645="SELL",IF(K645&lt;0,"YES","NO"),""))))</f>
        <v>YES</v>
      </c>
    </row>
    <row r="646" spans="1:14" ht="15" customHeight="1" x14ac:dyDescent="0.25">
      <c r="A646" s="12">
        <v>46198</v>
      </c>
      <c r="B646" s="13" t="s">
        <v>122</v>
      </c>
      <c r="C646" s="13" t="s">
        <v>119</v>
      </c>
      <c r="D646" s="13" t="s">
        <v>97</v>
      </c>
      <c r="E646" s="14">
        <v>0.52</v>
      </c>
      <c r="F646" s="13" t="s">
        <v>56</v>
      </c>
      <c r="G646" s="15">
        <v>194.37</v>
      </c>
      <c r="H646" s="16">
        <v>194.83</v>
      </c>
      <c r="K646" s="26">
        <f t="shared" si="40"/>
        <v>2.3666203632248185E-3</v>
      </c>
      <c r="L646" s="26" t="str">
        <f t="shared" si="41"/>
        <v/>
      </c>
      <c r="M646" s="26" t="str">
        <f t="shared" si="42"/>
        <v/>
      </c>
      <c r="N646" s="27" t="str">
        <f t="shared" si="43"/>
        <v>YES</v>
      </c>
    </row>
    <row r="647" spans="1:14" ht="15" customHeight="1" x14ac:dyDescent="0.25">
      <c r="A647" s="12">
        <v>46198</v>
      </c>
      <c r="B647" s="13" t="s">
        <v>123</v>
      </c>
      <c r="C647" s="13" t="s">
        <v>119</v>
      </c>
      <c r="D647" s="13" t="s">
        <v>97</v>
      </c>
      <c r="E647" s="14">
        <v>0.42</v>
      </c>
      <c r="F647" s="13" t="s">
        <v>55</v>
      </c>
      <c r="G647" s="15">
        <v>368.77499999999998</v>
      </c>
      <c r="H647" s="16">
        <v>379.13</v>
      </c>
      <c r="K647" s="26">
        <f t="shared" si="40"/>
        <v>2.8079452240526118E-2</v>
      </c>
      <c r="L647" s="26" t="str">
        <f t="shared" si="41"/>
        <v/>
      </c>
      <c r="M647" s="26" t="str">
        <f t="shared" si="42"/>
        <v/>
      </c>
      <c r="N647" s="27" t="str">
        <f t="shared" si="43"/>
        <v>YES</v>
      </c>
    </row>
    <row r="648" spans="1:14" ht="15" customHeight="1" x14ac:dyDescent="0.25">
      <c r="A648" s="12">
        <v>46199</v>
      </c>
      <c r="B648" s="13" t="s">
        <v>103</v>
      </c>
      <c r="C648" s="13" t="s">
        <v>99</v>
      </c>
      <c r="D648" s="13" t="s">
        <v>97</v>
      </c>
      <c r="E648" s="14">
        <v>0.55000000000000004</v>
      </c>
      <c r="F648" s="13" t="s">
        <v>55</v>
      </c>
      <c r="G648" s="15">
        <v>278.94</v>
      </c>
      <c r="H648" s="16">
        <v>312.66000000000003</v>
      </c>
      <c r="K648" s="26">
        <f t="shared" si="40"/>
        <v>0.12088621208862131</v>
      </c>
      <c r="L648" s="26" t="str">
        <f t="shared" si="41"/>
        <v/>
      </c>
      <c r="M648" s="26" t="str">
        <f t="shared" si="42"/>
        <v/>
      </c>
      <c r="N648" s="27" t="str">
        <f t="shared" si="43"/>
        <v>NO</v>
      </c>
    </row>
    <row r="649" spans="1:14" ht="15" customHeight="1" x14ac:dyDescent="0.25">
      <c r="A649" s="12">
        <v>46199</v>
      </c>
      <c r="B649" s="13" t="s">
        <v>112</v>
      </c>
      <c r="C649" s="13" t="s">
        <v>113</v>
      </c>
      <c r="D649" s="13" t="s">
        <v>97</v>
      </c>
      <c r="E649" s="14">
        <v>0.52</v>
      </c>
      <c r="F649" s="13" t="s">
        <v>56</v>
      </c>
      <c r="G649" s="15">
        <v>17.13</v>
      </c>
      <c r="H649" s="16">
        <v>17.309999999999999</v>
      </c>
      <c r="K649" s="26">
        <f t="shared" si="40"/>
        <v>1.0507880910682997E-2</v>
      </c>
      <c r="L649" s="26" t="str">
        <f t="shared" si="41"/>
        <v/>
      </c>
      <c r="M649" s="26" t="str">
        <f t="shared" si="42"/>
        <v/>
      </c>
      <c r="N649" s="27" t="str">
        <f t="shared" si="43"/>
        <v>YES</v>
      </c>
    </row>
    <row r="650" spans="1:14" ht="15" customHeight="1" x14ac:dyDescent="0.25">
      <c r="A650" s="12">
        <v>46199</v>
      </c>
      <c r="B650" s="13" t="s">
        <v>105</v>
      </c>
      <c r="C650" s="13" t="s">
        <v>96</v>
      </c>
      <c r="D650" s="13" t="s">
        <v>97</v>
      </c>
      <c r="E650" s="14">
        <v>0.55000000000000004</v>
      </c>
      <c r="F650" s="13" t="s">
        <v>55</v>
      </c>
      <c r="G650" s="15">
        <v>63.58</v>
      </c>
      <c r="H650" s="16">
        <v>63.84</v>
      </c>
      <c r="K650" s="26">
        <f t="shared" si="40"/>
        <v>4.0893362692671457E-3</v>
      </c>
      <c r="L650" s="26" t="str">
        <f t="shared" si="41"/>
        <v/>
      </c>
      <c r="M650" s="26" t="str">
        <f t="shared" si="42"/>
        <v/>
      </c>
      <c r="N650" s="27" t="str">
        <f t="shared" si="43"/>
        <v>YES</v>
      </c>
    </row>
    <row r="651" spans="1:14" ht="15" customHeight="1" x14ac:dyDescent="0.25">
      <c r="A651" s="12">
        <v>46199</v>
      </c>
      <c r="B651" s="13" t="s">
        <v>114</v>
      </c>
      <c r="C651" s="13" t="s">
        <v>113</v>
      </c>
      <c r="D651" s="13" t="s">
        <v>128</v>
      </c>
      <c r="E651" s="14">
        <v>0.68</v>
      </c>
      <c r="F651" s="13" t="s">
        <v>56</v>
      </c>
      <c r="G651" s="15">
        <v>167.535</v>
      </c>
      <c r="H651" s="16">
        <v>192.01</v>
      </c>
      <c r="K651" s="26">
        <f t="shared" si="40"/>
        <v>0.14608887695108483</v>
      </c>
      <c r="L651" s="26" t="str">
        <f t="shared" si="41"/>
        <v/>
      </c>
      <c r="M651" s="26" t="str">
        <f t="shared" si="42"/>
        <v/>
      </c>
      <c r="N651" s="27" t="str">
        <f t="shared" si="43"/>
        <v>NO</v>
      </c>
    </row>
    <row r="652" spans="1:14" ht="15" customHeight="1" x14ac:dyDescent="0.25">
      <c r="A652" s="12">
        <v>46199</v>
      </c>
      <c r="B652" s="13" t="s">
        <v>116</v>
      </c>
      <c r="C652" s="13" t="s">
        <v>113</v>
      </c>
      <c r="D652" s="13" t="s">
        <v>97</v>
      </c>
      <c r="E652" s="14">
        <v>0.42</v>
      </c>
      <c r="F652" s="13" t="s">
        <v>55</v>
      </c>
      <c r="G652" s="15">
        <v>16.93</v>
      </c>
      <c r="H652" s="16">
        <v>17.45</v>
      </c>
      <c r="K652" s="26">
        <f t="shared" si="40"/>
        <v>3.0714707619610135E-2</v>
      </c>
      <c r="L652" s="26" t="str">
        <f t="shared" si="41"/>
        <v/>
      </c>
      <c r="M652" s="26" t="str">
        <f t="shared" si="42"/>
        <v/>
      </c>
      <c r="N652" s="27" t="str">
        <f t="shared" si="43"/>
        <v>NO</v>
      </c>
    </row>
    <row r="653" spans="1:14" ht="15" customHeight="1" x14ac:dyDescent="0.25">
      <c r="A653" s="12">
        <v>46199</v>
      </c>
      <c r="B653" s="13" t="s">
        <v>104</v>
      </c>
      <c r="C653" s="13" t="s">
        <v>96</v>
      </c>
      <c r="D653" s="13" t="s">
        <v>97</v>
      </c>
      <c r="E653" s="14">
        <v>0.38</v>
      </c>
      <c r="F653" s="13" t="s">
        <v>56</v>
      </c>
      <c r="G653" s="15">
        <v>29.135000000000002</v>
      </c>
      <c r="H653" s="16">
        <v>27.33</v>
      </c>
      <c r="K653" s="26">
        <f t="shared" si="40"/>
        <v>-6.1952977518448707E-2</v>
      </c>
      <c r="L653" s="26" t="str">
        <f t="shared" si="41"/>
        <v/>
      </c>
      <c r="M653" s="26" t="str">
        <f t="shared" si="42"/>
        <v/>
      </c>
      <c r="N653" s="27" t="str">
        <f t="shared" si="43"/>
        <v>NO</v>
      </c>
    </row>
    <row r="654" spans="1:14" ht="15" customHeight="1" x14ac:dyDescent="0.25">
      <c r="A654" s="12">
        <v>46199</v>
      </c>
      <c r="B654" s="13" t="s">
        <v>111</v>
      </c>
      <c r="C654" s="13" t="s">
        <v>113</v>
      </c>
      <c r="D654" s="13" t="s">
        <v>97</v>
      </c>
      <c r="E654" s="14">
        <v>0.62</v>
      </c>
      <c r="F654" s="13" t="s">
        <v>55</v>
      </c>
      <c r="G654" s="15">
        <v>65.724999999999994</v>
      </c>
      <c r="H654" s="16">
        <v>67.260000000000005</v>
      </c>
      <c r="K654" s="26">
        <f t="shared" si="40"/>
        <v>2.33548877900344E-2</v>
      </c>
      <c r="L654" s="26" t="str">
        <f t="shared" si="41"/>
        <v/>
      </c>
      <c r="M654" s="26" t="str">
        <f t="shared" si="42"/>
        <v/>
      </c>
      <c r="N654" s="27" t="str">
        <f t="shared" si="43"/>
        <v>YES</v>
      </c>
    </row>
    <row r="655" spans="1:14" ht="15" customHeight="1" x14ac:dyDescent="0.25">
      <c r="A655" s="12">
        <v>46199</v>
      </c>
      <c r="B655" s="13" t="s">
        <v>107</v>
      </c>
      <c r="C655" s="13" t="s">
        <v>96</v>
      </c>
      <c r="D655" s="13" t="s">
        <v>97</v>
      </c>
      <c r="E655" s="14">
        <v>0.52</v>
      </c>
      <c r="F655" s="13" t="s">
        <v>55</v>
      </c>
      <c r="G655" s="15">
        <v>79.23</v>
      </c>
      <c r="H655" s="16">
        <v>77.849999999999994</v>
      </c>
      <c r="K655" s="26">
        <f t="shared" si="40"/>
        <v>-1.7417644831503338E-2</v>
      </c>
      <c r="L655" s="26" t="str">
        <f t="shared" si="41"/>
        <v/>
      </c>
      <c r="M655" s="26" t="str">
        <f t="shared" si="42"/>
        <v/>
      </c>
      <c r="N655" s="27" t="str">
        <f t="shared" si="43"/>
        <v>YES</v>
      </c>
    </row>
    <row r="656" spans="1:14" ht="15" customHeight="1" x14ac:dyDescent="0.25">
      <c r="A656" s="12">
        <v>46199</v>
      </c>
      <c r="B656" s="13" t="s">
        <v>106</v>
      </c>
      <c r="C656" s="13" t="s">
        <v>99</v>
      </c>
      <c r="D656" s="13" t="s">
        <v>97</v>
      </c>
      <c r="E656" s="14">
        <v>0.62</v>
      </c>
      <c r="F656" s="13" t="s">
        <v>55</v>
      </c>
      <c r="G656" s="15">
        <v>332.59500000000003</v>
      </c>
      <c r="H656" s="16">
        <v>337.72</v>
      </c>
      <c r="K656" s="26">
        <f t="shared" si="40"/>
        <v>1.5409131225664846E-2</v>
      </c>
      <c r="L656" s="26" t="str">
        <f t="shared" si="41"/>
        <v/>
      </c>
      <c r="M656" s="26" t="str">
        <f t="shared" si="42"/>
        <v/>
      </c>
      <c r="N656" s="27" t="str">
        <f t="shared" si="43"/>
        <v>YES</v>
      </c>
    </row>
    <row r="657" spans="1:14" ht="15" customHeight="1" x14ac:dyDescent="0.25">
      <c r="A657" s="12">
        <v>46199</v>
      </c>
      <c r="B657" s="13" t="s">
        <v>100</v>
      </c>
      <c r="C657" s="13" t="s">
        <v>96</v>
      </c>
      <c r="D657" s="13" t="s">
        <v>97</v>
      </c>
      <c r="E657" s="14">
        <v>0.52</v>
      </c>
      <c r="F657" s="13" t="s">
        <v>55</v>
      </c>
      <c r="G657" s="15">
        <v>367.26</v>
      </c>
      <c r="H657" s="16">
        <v>386.74</v>
      </c>
      <c r="K657" s="26">
        <f t="shared" si="40"/>
        <v>5.304144203016941E-2</v>
      </c>
      <c r="L657" s="26" t="str">
        <f t="shared" si="41"/>
        <v/>
      </c>
      <c r="M657" s="26" t="str">
        <f t="shared" si="42"/>
        <v/>
      </c>
      <c r="N657" s="27" t="str">
        <f t="shared" si="43"/>
        <v>NO</v>
      </c>
    </row>
    <row r="658" spans="1:14" ht="15" customHeight="1" x14ac:dyDescent="0.25">
      <c r="A658" s="12">
        <v>46199</v>
      </c>
      <c r="B658" s="13" t="s">
        <v>101</v>
      </c>
      <c r="C658" s="13" t="s">
        <v>99</v>
      </c>
      <c r="D658" s="13" t="s">
        <v>97</v>
      </c>
      <c r="E658" s="14">
        <v>0.42</v>
      </c>
      <c r="F658" s="13" t="s">
        <v>55</v>
      </c>
      <c r="G658" s="15">
        <v>40.89</v>
      </c>
      <c r="H658" s="16">
        <v>43.34</v>
      </c>
      <c r="K658" s="26">
        <f t="shared" si="40"/>
        <v>5.9916850085595566E-2</v>
      </c>
      <c r="L658" s="26" t="str">
        <f t="shared" si="41"/>
        <v/>
      </c>
      <c r="M658" s="26" t="str">
        <f t="shared" si="42"/>
        <v/>
      </c>
      <c r="N658" s="27" t="str">
        <f t="shared" si="43"/>
        <v>NO</v>
      </c>
    </row>
    <row r="659" spans="1:14" ht="15" customHeight="1" x14ac:dyDescent="0.25">
      <c r="A659" s="12">
        <v>46199</v>
      </c>
      <c r="B659" s="13" t="s">
        <v>98</v>
      </c>
      <c r="C659" s="13" t="s">
        <v>96</v>
      </c>
      <c r="D659" s="13" t="s">
        <v>97</v>
      </c>
      <c r="E659" s="14">
        <v>0.42</v>
      </c>
      <c r="F659" s="13" t="s">
        <v>56</v>
      </c>
      <c r="G659" s="15">
        <v>61.234999999999999</v>
      </c>
      <c r="H659" s="16">
        <v>64.540000000000006</v>
      </c>
      <c r="K659" s="26">
        <f t="shared" si="40"/>
        <v>5.3972401404425684E-2</v>
      </c>
      <c r="L659" s="26" t="str">
        <f t="shared" si="41"/>
        <v/>
      </c>
      <c r="M659" s="26" t="str">
        <f t="shared" si="42"/>
        <v/>
      </c>
      <c r="N659" s="27" t="str">
        <f t="shared" si="43"/>
        <v>NO</v>
      </c>
    </row>
    <row r="660" spans="1:14" ht="15" customHeight="1" x14ac:dyDescent="0.25">
      <c r="A660" s="12">
        <v>46199</v>
      </c>
      <c r="B660" s="13" t="s">
        <v>110</v>
      </c>
      <c r="C660" s="13" t="s">
        <v>99</v>
      </c>
      <c r="D660" s="13" t="s">
        <v>97</v>
      </c>
      <c r="E660" s="14">
        <v>0.68</v>
      </c>
      <c r="F660" s="13" t="s">
        <v>55</v>
      </c>
      <c r="G660" s="15">
        <v>180.69</v>
      </c>
      <c r="H660" s="16">
        <v>184.76</v>
      </c>
      <c r="K660" s="26">
        <f t="shared" si="40"/>
        <v>2.2524766174110318E-2</v>
      </c>
      <c r="L660" s="26" t="str">
        <f t="shared" si="41"/>
        <v/>
      </c>
      <c r="M660" s="26" t="str">
        <f t="shared" si="42"/>
        <v/>
      </c>
      <c r="N660" s="27" t="str">
        <f t="shared" si="43"/>
        <v>YES</v>
      </c>
    </row>
    <row r="661" spans="1:14" ht="15" customHeight="1" x14ac:dyDescent="0.25">
      <c r="A661" s="12">
        <v>46199</v>
      </c>
      <c r="B661" s="13" t="s">
        <v>108</v>
      </c>
      <c r="C661" s="13" t="s">
        <v>99</v>
      </c>
      <c r="D661" s="13" t="s">
        <v>97</v>
      </c>
      <c r="E661" s="14">
        <v>0.62</v>
      </c>
      <c r="F661" s="13" t="s">
        <v>55</v>
      </c>
      <c r="G661" s="15">
        <v>698.95500000000004</v>
      </c>
      <c r="H661" s="16">
        <v>674.04</v>
      </c>
      <c r="K661" s="26">
        <f t="shared" si="40"/>
        <v>-3.5646071635513123E-2</v>
      </c>
      <c r="L661" s="26" t="str">
        <f t="shared" si="41"/>
        <v/>
      </c>
      <c r="M661" s="26" t="str">
        <f t="shared" si="42"/>
        <v/>
      </c>
      <c r="N661" s="27" t="str">
        <f t="shared" si="43"/>
        <v>NO</v>
      </c>
    </row>
    <row r="662" spans="1:14" ht="15" customHeight="1" x14ac:dyDescent="0.25">
      <c r="A662" s="12">
        <v>46199</v>
      </c>
      <c r="B662" s="13" t="s">
        <v>115</v>
      </c>
      <c r="C662" s="13" t="s">
        <v>113</v>
      </c>
      <c r="D662" s="13" t="s">
        <v>97</v>
      </c>
      <c r="E662" s="14">
        <v>0.62</v>
      </c>
      <c r="F662" s="13" t="s">
        <v>55</v>
      </c>
      <c r="G662" s="15">
        <v>189.3</v>
      </c>
      <c r="H662" s="16">
        <v>201.37</v>
      </c>
      <c r="K662" s="26">
        <f t="shared" si="40"/>
        <v>6.3761225567881635E-2</v>
      </c>
      <c r="L662" s="26" t="str">
        <f t="shared" si="41"/>
        <v/>
      </c>
      <c r="M662" s="26" t="str">
        <f t="shared" si="42"/>
        <v/>
      </c>
      <c r="N662" s="27" t="str">
        <f t="shared" si="43"/>
        <v>NO</v>
      </c>
    </row>
    <row r="663" spans="1:14" ht="15" customHeight="1" x14ac:dyDescent="0.25">
      <c r="A663" s="12">
        <v>46199</v>
      </c>
      <c r="B663" s="13" t="s">
        <v>102</v>
      </c>
      <c r="C663" s="13" t="s">
        <v>99</v>
      </c>
      <c r="D663" s="13" t="s">
        <v>97</v>
      </c>
      <c r="E663" s="14">
        <v>0.65</v>
      </c>
      <c r="F663" s="13" t="s">
        <v>55</v>
      </c>
      <c r="G663" s="15">
        <v>32.215000000000003</v>
      </c>
      <c r="H663" s="16">
        <v>32.24</v>
      </c>
      <c r="K663" s="26">
        <f t="shared" si="40"/>
        <v>7.760360080707303E-4</v>
      </c>
      <c r="L663" s="26" t="str">
        <f t="shared" si="41"/>
        <v/>
      </c>
      <c r="M663" s="26" t="str">
        <f t="shared" si="42"/>
        <v/>
      </c>
      <c r="N663" s="27" t="str">
        <f t="shared" si="43"/>
        <v>YES</v>
      </c>
    </row>
    <row r="664" spans="1:14" ht="15" customHeight="1" x14ac:dyDescent="0.25">
      <c r="A664" s="12">
        <v>46199</v>
      </c>
      <c r="B664" s="13" t="s">
        <v>117</v>
      </c>
      <c r="C664" s="13" t="s">
        <v>113</v>
      </c>
      <c r="D664" s="13" t="s">
        <v>97</v>
      </c>
      <c r="E664" s="14">
        <v>0.48</v>
      </c>
      <c r="F664" s="13" t="s">
        <v>56</v>
      </c>
      <c r="G664" s="15">
        <v>4.91</v>
      </c>
      <c r="H664" s="16">
        <v>4.66</v>
      </c>
      <c r="K664" s="26">
        <f t="shared" si="40"/>
        <v>-5.091649694501018E-2</v>
      </c>
      <c r="L664" s="26" t="str">
        <f t="shared" si="41"/>
        <v/>
      </c>
      <c r="M664" s="26" t="str">
        <f t="shared" si="42"/>
        <v/>
      </c>
      <c r="N664" s="27" t="str">
        <f t="shared" si="43"/>
        <v>NO</v>
      </c>
    </row>
    <row r="665" spans="1:14" ht="15" customHeight="1" x14ac:dyDescent="0.25">
      <c r="A665" s="12">
        <v>46199</v>
      </c>
      <c r="B665" s="13" t="s">
        <v>95</v>
      </c>
      <c r="C665" s="13" t="s">
        <v>96</v>
      </c>
      <c r="D665" s="13" t="s">
        <v>97</v>
      </c>
      <c r="E665" s="14">
        <v>0.52</v>
      </c>
      <c r="F665" s="13" t="s">
        <v>56</v>
      </c>
      <c r="G665" s="15">
        <v>117.27</v>
      </c>
      <c r="H665" s="16">
        <v>110.65</v>
      </c>
      <c r="K665" s="26">
        <f t="shared" si="40"/>
        <v>-5.6450925215315001E-2</v>
      </c>
      <c r="L665" s="26" t="str">
        <f t="shared" si="41"/>
        <v/>
      </c>
      <c r="M665" s="26" t="str">
        <f t="shared" si="42"/>
        <v/>
      </c>
      <c r="N665" s="27" t="str">
        <f t="shared" si="43"/>
        <v>NO</v>
      </c>
    </row>
    <row r="666" spans="1:14" ht="15" customHeight="1" x14ac:dyDescent="0.25">
      <c r="A666" s="12">
        <v>46199</v>
      </c>
      <c r="B666" s="13" t="s">
        <v>109</v>
      </c>
      <c r="C666" s="13" t="s">
        <v>99</v>
      </c>
      <c r="D666" s="13" t="s">
        <v>97</v>
      </c>
      <c r="E666" s="14">
        <v>0.62</v>
      </c>
      <c r="F666" s="13" t="s">
        <v>55</v>
      </c>
      <c r="G666" s="15">
        <v>46.03</v>
      </c>
      <c r="H666" s="16">
        <v>45.3</v>
      </c>
      <c r="K666" s="26">
        <f t="shared" si="40"/>
        <v>-1.5859222246361156E-2</v>
      </c>
      <c r="L666" s="26" t="str">
        <f t="shared" si="41"/>
        <v/>
      </c>
      <c r="M666" s="26" t="str">
        <f t="shared" si="42"/>
        <v/>
      </c>
      <c r="N666" s="27" t="str">
        <f t="shared" si="43"/>
        <v>YES</v>
      </c>
    </row>
    <row r="667" spans="1:14" ht="15" customHeight="1" x14ac:dyDescent="0.25">
      <c r="A667" s="12">
        <v>46199</v>
      </c>
      <c r="B667" s="13" t="s">
        <v>118</v>
      </c>
      <c r="C667" s="13" t="s">
        <v>119</v>
      </c>
      <c r="D667" s="13" t="s">
        <v>97</v>
      </c>
      <c r="E667" s="14">
        <v>0.52</v>
      </c>
      <c r="F667" s="13" t="s">
        <v>55</v>
      </c>
      <c r="G667" s="15">
        <v>732.7</v>
      </c>
      <c r="H667" s="16">
        <v>751.28</v>
      </c>
      <c r="K667" s="26">
        <f t="shared" si="40"/>
        <v>2.5358263955233964E-2</v>
      </c>
      <c r="L667" s="26" t="str">
        <f t="shared" si="41"/>
        <v/>
      </c>
      <c r="M667" s="26" t="str">
        <f t="shared" si="42"/>
        <v/>
      </c>
      <c r="N667" s="27" t="str">
        <f t="shared" si="43"/>
        <v>YES</v>
      </c>
    </row>
    <row r="668" spans="1:14" ht="15" customHeight="1" x14ac:dyDescent="0.25">
      <c r="A668" s="12">
        <v>46199</v>
      </c>
      <c r="B668" s="13" t="s">
        <v>120</v>
      </c>
      <c r="C668" s="13" t="s">
        <v>119</v>
      </c>
      <c r="D668" s="13" t="s">
        <v>97</v>
      </c>
      <c r="E668" s="14">
        <v>0.52</v>
      </c>
      <c r="F668" s="13" t="s">
        <v>55</v>
      </c>
      <c r="G668" s="15">
        <v>710.72</v>
      </c>
      <c r="H668" s="16">
        <v>722.82</v>
      </c>
      <c r="K668" s="26">
        <f t="shared" si="40"/>
        <v>1.7024988743809127E-2</v>
      </c>
      <c r="L668" s="26" t="str">
        <f t="shared" si="41"/>
        <v/>
      </c>
      <c r="M668" s="26" t="str">
        <f t="shared" si="42"/>
        <v/>
      </c>
      <c r="N668" s="27" t="str">
        <f t="shared" si="43"/>
        <v>YES</v>
      </c>
    </row>
    <row r="669" spans="1:14" ht="15" customHeight="1" x14ac:dyDescent="0.25">
      <c r="A669" s="12">
        <v>46199</v>
      </c>
      <c r="B669" s="13" t="s">
        <v>121</v>
      </c>
      <c r="C669" s="13" t="s">
        <v>119</v>
      </c>
      <c r="D669" s="13" t="s">
        <v>97</v>
      </c>
      <c r="E669" s="14">
        <v>0.57999999999999996</v>
      </c>
      <c r="F669" s="13" t="s">
        <v>55</v>
      </c>
      <c r="G669" s="15">
        <v>362.76830000000001</v>
      </c>
      <c r="H669" s="16">
        <v>371.67</v>
      </c>
      <c r="K669" s="26">
        <f t="shared" si="40"/>
        <v>2.4538252101961512E-2</v>
      </c>
      <c r="L669" s="26" t="str">
        <f t="shared" si="41"/>
        <v/>
      </c>
      <c r="M669" s="26" t="str">
        <f t="shared" si="42"/>
        <v/>
      </c>
      <c r="N669" s="27" t="str">
        <f t="shared" si="43"/>
        <v>YES</v>
      </c>
    </row>
    <row r="670" spans="1:14" ht="15" customHeight="1" x14ac:dyDescent="0.25">
      <c r="A670" s="12">
        <v>46199</v>
      </c>
      <c r="B670" s="13" t="s">
        <v>122</v>
      </c>
      <c r="C670" s="13" t="s">
        <v>119</v>
      </c>
      <c r="D670" s="13" t="s">
        <v>97</v>
      </c>
      <c r="E670" s="14">
        <v>0.55000000000000004</v>
      </c>
      <c r="F670" s="13" t="s">
        <v>56</v>
      </c>
      <c r="G670" s="15">
        <v>193.1901</v>
      </c>
      <c r="H670" s="16">
        <v>195.55</v>
      </c>
      <c r="K670" s="26">
        <f t="shared" si="40"/>
        <v>1.2215429258538664E-2</v>
      </c>
      <c r="L670" s="26" t="str">
        <f t="shared" si="41"/>
        <v/>
      </c>
      <c r="M670" s="26" t="str">
        <f t="shared" si="42"/>
        <v/>
      </c>
      <c r="N670" s="27" t="str">
        <f t="shared" si="43"/>
        <v>YES</v>
      </c>
    </row>
    <row r="671" spans="1:14" ht="15" customHeight="1" x14ac:dyDescent="0.25">
      <c r="A671" s="12">
        <v>46199</v>
      </c>
      <c r="B671" s="13" t="s">
        <v>123</v>
      </c>
      <c r="C671" s="13" t="s">
        <v>119</v>
      </c>
      <c r="D671" s="13" t="s">
        <v>97</v>
      </c>
      <c r="E671" s="14">
        <v>0.48</v>
      </c>
      <c r="F671" s="13" t="s">
        <v>56</v>
      </c>
      <c r="G671" s="15">
        <v>374.1</v>
      </c>
      <c r="H671" s="16">
        <v>382.13</v>
      </c>
      <c r="K671" s="26">
        <f t="shared" si="40"/>
        <v>2.1464848970863332E-2</v>
      </c>
      <c r="L671" s="26" t="str">
        <f t="shared" si="41"/>
        <v/>
      </c>
      <c r="M671" s="26" t="str">
        <f t="shared" si="42"/>
        <v/>
      </c>
      <c r="N671" s="27" t="str">
        <f t="shared" si="43"/>
        <v>YES</v>
      </c>
    </row>
    <row r="672" spans="1:14" ht="15" customHeight="1" x14ac:dyDescent="0.25">
      <c r="A672" s="12">
        <v>46202</v>
      </c>
      <c r="B672" s="13" t="s">
        <v>103</v>
      </c>
      <c r="C672" s="13" t="s">
        <v>99</v>
      </c>
      <c r="D672" s="13" t="s">
        <v>97</v>
      </c>
      <c r="E672" s="14">
        <v>0.52</v>
      </c>
      <c r="F672" s="13" t="s">
        <v>55</v>
      </c>
      <c r="G672" s="15">
        <v>280.68</v>
      </c>
      <c r="K672" s="26" t="str">
        <f t="shared" si="40"/>
        <v/>
      </c>
      <c r="L672" s="26" t="str">
        <f t="shared" si="41"/>
        <v/>
      </c>
      <c r="M672" s="26" t="str">
        <f t="shared" si="42"/>
        <v/>
      </c>
      <c r="N672" s="27" t="str">
        <f t="shared" si="43"/>
        <v/>
      </c>
    </row>
    <row r="673" spans="1:14" ht="15" customHeight="1" x14ac:dyDescent="0.25">
      <c r="A673" s="12">
        <v>46202</v>
      </c>
      <c r="B673" s="13" t="s">
        <v>112</v>
      </c>
      <c r="C673" s="13" t="s">
        <v>113</v>
      </c>
      <c r="D673" s="13" t="s">
        <v>97</v>
      </c>
      <c r="E673" s="14">
        <v>0.42</v>
      </c>
      <c r="F673" s="13" t="s">
        <v>56</v>
      </c>
      <c r="G673" s="15">
        <v>16.600000000000001</v>
      </c>
      <c r="K673" s="26" t="str">
        <f t="shared" si="40"/>
        <v/>
      </c>
      <c r="L673" s="26" t="str">
        <f t="shared" si="41"/>
        <v/>
      </c>
      <c r="M673" s="26" t="str">
        <f t="shared" si="42"/>
        <v/>
      </c>
      <c r="N673" s="27" t="str">
        <f t="shared" si="43"/>
        <v/>
      </c>
    </row>
    <row r="674" spans="1:14" ht="15" customHeight="1" x14ac:dyDescent="0.25">
      <c r="A674" s="12">
        <v>46202</v>
      </c>
      <c r="B674" s="13" t="s">
        <v>105</v>
      </c>
      <c r="C674" s="13" t="s">
        <v>96</v>
      </c>
      <c r="D674" s="13" t="s">
        <v>97</v>
      </c>
      <c r="E674" s="14">
        <v>0.55000000000000004</v>
      </c>
      <c r="F674" s="13" t="s">
        <v>55</v>
      </c>
      <c r="G674" s="15">
        <v>62.72</v>
      </c>
      <c r="K674" s="26" t="str">
        <f t="shared" si="40"/>
        <v/>
      </c>
      <c r="L674" s="26" t="str">
        <f t="shared" si="41"/>
        <v/>
      </c>
      <c r="M674" s="26" t="str">
        <f t="shared" si="42"/>
        <v/>
      </c>
      <c r="N674" s="27" t="str">
        <f t="shared" si="43"/>
        <v/>
      </c>
    </row>
    <row r="675" spans="1:14" ht="15" customHeight="1" x14ac:dyDescent="0.25">
      <c r="A675" s="12">
        <v>46202</v>
      </c>
      <c r="B675" s="13" t="s">
        <v>114</v>
      </c>
      <c r="C675" s="13" t="s">
        <v>113</v>
      </c>
      <c r="D675" s="13" t="s">
        <v>97</v>
      </c>
      <c r="E675" s="14">
        <v>0.42</v>
      </c>
      <c r="F675" s="13" t="s">
        <v>56</v>
      </c>
      <c r="G675" s="15">
        <v>196.57</v>
      </c>
      <c r="K675" s="26" t="str">
        <f t="shared" si="40"/>
        <v/>
      </c>
      <c r="L675" s="26" t="str">
        <f t="shared" si="41"/>
        <v/>
      </c>
      <c r="M675" s="26" t="str">
        <f t="shared" si="42"/>
        <v/>
      </c>
      <c r="N675" s="27" t="str">
        <f t="shared" si="43"/>
        <v/>
      </c>
    </row>
    <row r="676" spans="1:14" ht="15" customHeight="1" x14ac:dyDescent="0.25">
      <c r="A676" s="12">
        <v>46202</v>
      </c>
      <c r="B676" s="13" t="s">
        <v>116</v>
      </c>
      <c r="C676" s="13" t="s">
        <v>113</v>
      </c>
      <c r="D676" s="13" t="s">
        <v>97</v>
      </c>
      <c r="E676" s="14">
        <v>0.42</v>
      </c>
      <c r="F676" s="13" t="s">
        <v>56</v>
      </c>
      <c r="G676" s="15">
        <v>16.59</v>
      </c>
      <c r="K676" s="26" t="str">
        <f t="shared" si="40"/>
        <v/>
      </c>
      <c r="L676" s="26" t="str">
        <f t="shared" si="41"/>
        <v/>
      </c>
      <c r="M676" s="26" t="str">
        <f t="shared" si="42"/>
        <v/>
      </c>
      <c r="N676" s="27" t="str">
        <f t="shared" si="43"/>
        <v/>
      </c>
    </row>
    <row r="677" spans="1:14" ht="15" customHeight="1" x14ac:dyDescent="0.25">
      <c r="A677" s="12">
        <v>46202</v>
      </c>
      <c r="B677" s="13" t="s">
        <v>104</v>
      </c>
      <c r="C677" s="13" t="s">
        <v>96</v>
      </c>
      <c r="D677" s="13" t="s">
        <v>97</v>
      </c>
      <c r="E677" s="14">
        <v>0.38</v>
      </c>
      <c r="F677" s="13" t="s">
        <v>56</v>
      </c>
      <c r="G677" s="15">
        <v>28.15</v>
      </c>
      <c r="K677" s="26" t="str">
        <f t="shared" si="40"/>
        <v/>
      </c>
      <c r="L677" s="26" t="str">
        <f t="shared" si="41"/>
        <v/>
      </c>
      <c r="M677" s="26" t="str">
        <f t="shared" si="42"/>
        <v/>
      </c>
      <c r="N677" s="27" t="str">
        <f t="shared" si="43"/>
        <v/>
      </c>
    </row>
    <row r="678" spans="1:14" ht="15" customHeight="1" x14ac:dyDescent="0.25">
      <c r="A678" s="12">
        <v>46202</v>
      </c>
      <c r="B678" s="13" t="s">
        <v>111</v>
      </c>
      <c r="C678" s="13" t="s">
        <v>113</v>
      </c>
      <c r="D678" s="13" t="s">
        <v>97</v>
      </c>
      <c r="E678" s="14">
        <v>0.62</v>
      </c>
      <c r="F678" s="13" t="s">
        <v>55</v>
      </c>
      <c r="G678" s="15">
        <v>65.459999999999994</v>
      </c>
      <c r="K678" s="26" t="str">
        <f t="shared" si="40"/>
        <v/>
      </c>
      <c r="L678" s="26" t="str">
        <f t="shared" si="41"/>
        <v/>
      </c>
      <c r="M678" s="26" t="str">
        <f t="shared" si="42"/>
        <v/>
      </c>
      <c r="N678" s="27" t="str">
        <f t="shared" si="43"/>
        <v/>
      </c>
    </row>
    <row r="679" spans="1:14" ht="15" customHeight="1" x14ac:dyDescent="0.25">
      <c r="A679" s="12">
        <v>46202</v>
      </c>
      <c r="B679" s="13" t="s">
        <v>107</v>
      </c>
      <c r="C679" s="13" t="s">
        <v>96</v>
      </c>
      <c r="D679" s="13" t="s">
        <v>97</v>
      </c>
      <c r="E679" s="14">
        <v>0.57999999999999996</v>
      </c>
      <c r="F679" s="13" t="s">
        <v>55</v>
      </c>
      <c r="G679" s="15">
        <v>77.900000000000006</v>
      </c>
      <c r="K679" s="26" t="str">
        <f t="shared" si="40"/>
        <v/>
      </c>
      <c r="L679" s="26" t="str">
        <f t="shared" si="41"/>
        <v/>
      </c>
      <c r="M679" s="26" t="str">
        <f t="shared" si="42"/>
        <v/>
      </c>
      <c r="N679" s="27" t="str">
        <f t="shared" si="43"/>
        <v/>
      </c>
    </row>
    <row r="680" spans="1:14" ht="15" customHeight="1" x14ac:dyDescent="0.25">
      <c r="A680" s="12">
        <v>46202</v>
      </c>
      <c r="B680" s="13" t="s">
        <v>106</v>
      </c>
      <c r="C680" s="13" t="s">
        <v>99</v>
      </c>
      <c r="D680" s="13" t="s">
        <v>97</v>
      </c>
      <c r="E680" s="14">
        <v>0.65</v>
      </c>
      <c r="F680" s="13" t="s">
        <v>55</v>
      </c>
      <c r="G680" s="15">
        <v>331.29</v>
      </c>
      <c r="K680" s="26" t="str">
        <f t="shared" si="40"/>
        <v/>
      </c>
      <c r="L680" s="26" t="str">
        <f t="shared" si="41"/>
        <v/>
      </c>
      <c r="M680" s="26" t="str">
        <f t="shared" si="42"/>
        <v/>
      </c>
      <c r="N680" s="27" t="str">
        <f t="shared" si="43"/>
        <v/>
      </c>
    </row>
    <row r="681" spans="1:14" ht="15" customHeight="1" x14ac:dyDescent="0.25">
      <c r="A681" s="12">
        <v>46202</v>
      </c>
      <c r="B681" s="13" t="s">
        <v>100</v>
      </c>
      <c r="C681" s="13" t="s">
        <v>96</v>
      </c>
      <c r="D681" s="13" t="s">
        <v>97</v>
      </c>
      <c r="E681" s="14">
        <v>0.52</v>
      </c>
      <c r="F681" s="13" t="s">
        <v>55</v>
      </c>
      <c r="G681" s="15">
        <v>375.42</v>
      </c>
      <c r="K681" s="26" t="str">
        <f t="shared" si="40"/>
        <v/>
      </c>
      <c r="L681" s="26" t="str">
        <f t="shared" si="41"/>
        <v/>
      </c>
      <c r="M681" s="26" t="str">
        <f t="shared" si="42"/>
        <v/>
      </c>
      <c r="N681" s="27" t="str">
        <f t="shared" si="43"/>
        <v/>
      </c>
    </row>
    <row r="682" spans="1:14" ht="15" customHeight="1" x14ac:dyDescent="0.25">
      <c r="A682" s="12">
        <v>46202</v>
      </c>
      <c r="B682" s="13" t="s">
        <v>101</v>
      </c>
      <c r="C682" s="13" t="s">
        <v>99</v>
      </c>
      <c r="D682" s="13" t="s">
        <v>97</v>
      </c>
      <c r="E682" s="14">
        <v>0.42</v>
      </c>
      <c r="F682" s="13" t="s">
        <v>55</v>
      </c>
      <c r="G682" s="15">
        <v>41.115000000000002</v>
      </c>
      <c r="K682" s="26" t="str">
        <f t="shared" si="40"/>
        <v/>
      </c>
      <c r="L682" s="26" t="str">
        <f t="shared" si="41"/>
        <v/>
      </c>
      <c r="M682" s="26" t="str">
        <f t="shared" si="42"/>
        <v/>
      </c>
      <c r="N682" s="27" t="str">
        <f t="shared" si="43"/>
        <v/>
      </c>
    </row>
    <row r="683" spans="1:14" ht="15" customHeight="1" x14ac:dyDescent="0.25">
      <c r="A683" s="12">
        <v>46202</v>
      </c>
      <c r="B683" s="13" t="s">
        <v>98</v>
      </c>
      <c r="C683" s="13" t="s">
        <v>96</v>
      </c>
      <c r="D683" s="13" t="s">
        <v>97</v>
      </c>
      <c r="E683" s="14">
        <v>0.45</v>
      </c>
      <c r="F683" s="13" t="s">
        <v>55</v>
      </c>
      <c r="G683" s="15">
        <v>60.5</v>
      </c>
      <c r="K683" s="26" t="str">
        <f t="shared" si="40"/>
        <v/>
      </c>
      <c r="L683" s="26" t="str">
        <f t="shared" si="41"/>
        <v/>
      </c>
      <c r="M683" s="26" t="str">
        <f t="shared" si="42"/>
        <v/>
      </c>
      <c r="N683" s="27" t="str">
        <f t="shared" si="43"/>
        <v/>
      </c>
    </row>
    <row r="684" spans="1:14" ht="15" customHeight="1" x14ac:dyDescent="0.25">
      <c r="A684" s="12">
        <v>46202</v>
      </c>
      <c r="B684" s="13" t="s">
        <v>110</v>
      </c>
      <c r="C684" s="13" t="s">
        <v>99</v>
      </c>
      <c r="D684" s="13" t="s">
        <v>97</v>
      </c>
      <c r="E684" s="14">
        <v>0.68</v>
      </c>
      <c r="F684" s="13" t="s">
        <v>55</v>
      </c>
      <c r="G684" s="15">
        <v>180.63499999999999</v>
      </c>
      <c r="K684" s="26" t="str">
        <f t="shared" si="40"/>
        <v/>
      </c>
      <c r="L684" s="26" t="str">
        <f t="shared" si="41"/>
        <v/>
      </c>
      <c r="M684" s="26" t="str">
        <f t="shared" si="42"/>
        <v/>
      </c>
      <c r="N684" s="27" t="str">
        <f t="shared" si="43"/>
        <v/>
      </c>
    </row>
    <row r="685" spans="1:14" ht="15" customHeight="1" x14ac:dyDescent="0.25">
      <c r="A685" s="12">
        <v>46202</v>
      </c>
      <c r="B685" s="13" t="s">
        <v>108</v>
      </c>
      <c r="C685" s="13" t="s">
        <v>99</v>
      </c>
      <c r="D685" s="13" t="s">
        <v>97</v>
      </c>
      <c r="E685" s="14">
        <v>0.62</v>
      </c>
      <c r="F685" s="13" t="s">
        <v>55</v>
      </c>
      <c r="G685" s="15">
        <v>691.39</v>
      </c>
      <c r="K685" s="26" t="str">
        <f t="shared" si="40"/>
        <v/>
      </c>
      <c r="L685" s="26" t="str">
        <f t="shared" si="41"/>
        <v/>
      </c>
      <c r="M685" s="26" t="str">
        <f t="shared" si="42"/>
        <v/>
      </c>
      <c r="N685" s="27" t="str">
        <f t="shared" si="43"/>
        <v/>
      </c>
    </row>
    <row r="686" spans="1:14" ht="15" customHeight="1" x14ac:dyDescent="0.25">
      <c r="A686" s="12">
        <v>46202</v>
      </c>
      <c r="B686" s="13" t="s">
        <v>115</v>
      </c>
      <c r="C686" s="13" t="s">
        <v>113</v>
      </c>
      <c r="D686" s="13" t="s">
        <v>97</v>
      </c>
      <c r="E686" s="14">
        <v>0.62</v>
      </c>
      <c r="F686" s="13" t="s">
        <v>56</v>
      </c>
      <c r="G686" s="15">
        <v>189</v>
      </c>
      <c r="K686" s="26" t="str">
        <f t="shared" si="40"/>
        <v/>
      </c>
      <c r="L686" s="26" t="str">
        <f t="shared" si="41"/>
        <v/>
      </c>
      <c r="M686" s="26" t="str">
        <f t="shared" si="42"/>
        <v/>
      </c>
      <c r="N686" s="27" t="str">
        <f t="shared" si="43"/>
        <v/>
      </c>
    </row>
    <row r="687" spans="1:14" ht="15" customHeight="1" x14ac:dyDescent="0.25">
      <c r="A687" s="12">
        <v>46202</v>
      </c>
      <c r="B687" s="13" t="s">
        <v>102</v>
      </c>
      <c r="C687" s="13" t="s">
        <v>99</v>
      </c>
      <c r="D687" s="13" t="s">
        <v>97</v>
      </c>
      <c r="E687" s="14">
        <v>0.68</v>
      </c>
      <c r="F687" s="13" t="s">
        <v>55</v>
      </c>
      <c r="G687" s="15">
        <v>31.96</v>
      </c>
      <c r="K687" s="26" t="str">
        <f t="shared" si="40"/>
        <v/>
      </c>
      <c r="L687" s="26" t="str">
        <f t="shared" si="41"/>
        <v/>
      </c>
      <c r="M687" s="26" t="str">
        <f t="shared" si="42"/>
        <v/>
      </c>
      <c r="N687" s="27" t="str">
        <f t="shared" si="43"/>
        <v/>
      </c>
    </row>
    <row r="688" spans="1:14" ht="15" customHeight="1" x14ac:dyDescent="0.25">
      <c r="A688" s="12">
        <v>46202</v>
      </c>
      <c r="B688" s="13" t="s">
        <v>117</v>
      </c>
      <c r="C688" s="13" t="s">
        <v>113</v>
      </c>
      <c r="D688" s="13" t="s">
        <v>97</v>
      </c>
      <c r="E688" s="14">
        <v>0.48</v>
      </c>
      <c r="F688" s="13" t="s">
        <v>56</v>
      </c>
      <c r="G688" s="15">
        <v>4.9550000000000001</v>
      </c>
      <c r="K688" s="26" t="str">
        <f t="shared" si="40"/>
        <v/>
      </c>
      <c r="L688" s="26" t="str">
        <f t="shared" si="41"/>
        <v/>
      </c>
      <c r="M688" s="26" t="str">
        <f t="shared" si="42"/>
        <v/>
      </c>
      <c r="N688" s="27" t="str">
        <f t="shared" si="43"/>
        <v/>
      </c>
    </row>
    <row r="689" spans="1:14" ht="15" customHeight="1" x14ac:dyDescent="0.25">
      <c r="A689" s="12">
        <v>46202</v>
      </c>
      <c r="B689" s="13" t="s">
        <v>95</v>
      </c>
      <c r="C689" s="13" t="s">
        <v>96</v>
      </c>
      <c r="D689" s="13" t="s">
        <v>97</v>
      </c>
      <c r="E689" s="14">
        <v>0.52</v>
      </c>
      <c r="F689" s="13" t="s">
        <v>55</v>
      </c>
      <c r="G689" s="15">
        <v>115.39</v>
      </c>
      <c r="K689" s="26" t="str">
        <f t="shared" si="40"/>
        <v/>
      </c>
      <c r="L689" s="26" t="str">
        <f t="shared" si="41"/>
        <v/>
      </c>
      <c r="M689" s="26" t="str">
        <f t="shared" si="42"/>
        <v/>
      </c>
      <c r="N689" s="27" t="str">
        <f t="shared" si="43"/>
        <v/>
      </c>
    </row>
    <row r="690" spans="1:14" ht="15" customHeight="1" x14ac:dyDescent="0.25">
      <c r="A690" s="12">
        <v>46202</v>
      </c>
      <c r="B690" s="13" t="s">
        <v>109</v>
      </c>
      <c r="C690" s="13" t="s">
        <v>99</v>
      </c>
      <c r="D690" s="13" t="s">
        <v>97</v>
      </c>
      <c r="E690" s="14">
        <v>0.62</v>
      </c>
      <c r="F690" s="13" t="s">
        <v>55</v>
      </c>
      <c r="G690" s="15">
        <v>45.889899999999997</v>
      </c>
      <c r="K690" s="26" t="str">
        <f t="shared" si="40"/>
        <v/>
      </c>
      <c r="L690" s="26" t="str">
        <f t="shared" si="41"/>
        <v/>
      </c>
      <c r="M690" s="26" t="str">
        <f t="shared" si="42"/>
        <v/>
      </c>
      <c r="N690" s="27" t="str">
        <f t="shared" si="43"/>
        <v/>
      </c>
    </row>
    <row r="691" spans="1:14" ht="15" customHeight="1" x14ac:dyDescent="0.25">
      <c r="A691" s="12">
        <v>46202</v>
      </c>
      <c r="B691" s="13" t="s">
        <v>118</v>
      </c>
      <c r="C691" s="13" t="s">
        <v>119</v>
      </c>
      <c r="D691" s="13" t="s">
        <v>97</v>
      </c>
      <c r="E691" s="14">
        <v>0.52</v>
      </c>
      <c r="F691" s="13" t="s">
        <v>55</v>
      </c>
      <c r="G691" s="15">
        <v>737.23009999999999</v>
      </c>
      <c r="K691" s="26" t="str">
        <f t="shared" si="40"/>
        <v/>
      </c>
      <c r="L691" s="26" t="str">
        <f t="shared" si="41"/>
        <v/>
      </c>
      <c r="M691" s="26" t="str">
        <f t="shared" si="42"/>
        <v/>
      </c>
      <c r="N691" s="27" t="str">
        <f t="shared" si="43"/>
        <v/>
      </c>
    </row>
    <row r="692" spans="1:14" ht="15" customHeight="1" x14ac:dyDescent="0.25">
      <c r="A692" s="12">
        <v>46202</v>
      </c>
      <c r="B692" s="13" t="s">
        <v>120</v>
      </c>
      <c r="C692" s="13" t="s">
        <v>119</v>
      </c>
      <c r="D692" s="13" t="s">
        <v>97</v>
      </c>
      <c r="E692" s="14">
        <v>0.52</v>
      </c>
      <c r="F692" s="13" t="s">
        <v>56</v>
      </c>
      <c r="G692" s="15">
        <v>713.56500000000005</v>
      </c>
      <c r="K692" s="26" t="str">
        <f t="shared" si="40"/>
        <v/>
      </c>
      <c r="L692" s="26" t="str">
        <f t="shared" si="41"/>
        <v/>
      </c>
      <c r="M692" s="26" t="str">
        <f t="shared" si="42"/>
        <v/>
      </c>
      <c r="N692" s="27" t="str">
        <f t="shared" si="43"/>
        <v/>
      </c>
    </row>
    <row r="693" spans="1:14" ht="15" customHeight="1" x14ac:dyDescent="0.25">
      <c r="A693" s="12">
        <v>46202</v>
      </c>
      <c r="B693" s="13" t="s">
        <v>121</v>
      </c>
      <c r="C693" s="13" t="s">
        <v>119</v>
      </c>
      <c r="D693" s="13" t="s">
        <v>97</v>
      </c>
      <c r="E693" s="14">
        <v>0.57999999999999996</v>
      </c>
      <c r="F693" s="13" t="s">
        <v>55</v>
      </c>
      <c r="G693" s="15">
        <v>365.27499999999998</v>
      </c>
      <c r="K693" s="26" t="str">
        <f t="shared" si="40"/>
        <v/>
      </c>
      <c r="L693" s="26" t="str">
        <f t="shared" si="41"/>
        <v/>
      </c>
      <c r="M693" s="26" t="str">
        <f t="shared" si="42"/>
        <v/>
      </c>
      <c r="N693" s="27" t="str">
        <f t="shared" si="43"/>
        <v/>
      </c>
    </row>
    <row r="694" spans="1:14" ht="15" customHeight="1" x14ac:dyDescent="0.25">
      <c r="A694" s="12">
        <v>46202</v>
      </c>
      <c r="B694" s="13" t="s">
        <v>122</v>
      </c>
      <c r="C694" s="13" t="s">
        <v>119</v>
      </c>
      <c r="D694" s="13" t="s">
        <v>97</v>
      </c>
      <c r="E694" s="14">
        <v>0.55000000000000004</v>
      </c>
      <c r="F694" s="13" t="s">
        <v>56</v>
      </c>
      <c r="G694" s="15">
        <v>194.09</v>
      </c>
      <c r="K694" s="26" t="str">
        <f t="shared" si="40"/>
        <v/>
      </c>
      <c r="L694" s="26" t="str">
        <f t="shared" si="41"/>
        <v/>
      </c>
      <c r="M694" s="26" t="str">
        <f t="shared" si="42"/>
        <v/>
      </c>
      <c r="N694" s="27" t="str">
        <f t="shared" si="43"/>
        <v/>
      </c>
    </row>
    <row r="695" spans="1:14" ht="15" customHeight="1" x14ac:dyDescent="0.25">
      <c r="A695" s="12">
        <v>46202</v>
      </c>
      <c r="B695" s="13" t="s">
        <v>123</v>
      </c>
      <c r="C695" s="13" t="s">
        <v>119</v>
      </c>
      <c r="D695" s="13" t="s">
        <v>97</v>
      </c>
      <c r="E695" s="14">
        <v>0.55000000000000004</v>
      </c>
      <c r="F695" s="13" t="s">
        <v>55</v>
      </c>
      <c r="G695" s="15">
        <v>369.36989999999997</v>
      </c>
      <c r="K695" s="26" t="str">
        <f t="shared" si="40"/>
        <v/>
      </c>
      <c r="L695" s="26" t="str">
        <f t="shared" si="41"/>
        <v/>
      </c>
      <c r="M695" s="26" t="str">
        <f t="shared" si="42"/>
        <v/>
      </c>
      <c r="N695" s="27" t="str">
        <f t="shared" si="43"/>
        <v/>
      </c>
    </row>
    <row r="696" spans="1:14" ht="15" customHeight="1" x14ac:dyDescent="0.25">
      <c r="A696" s="12">
        <v>46203</v>
      </c>
      <c r="B696" s="13" t="s">
        <v>103</v>
      </c>
      <c r="C696" s="13" t="s">
        <v>99</v>
      </c>
      <c r="D696" s="13" t="s">
        <v>97</v>
      </c>
      <c r="E696" s="14">
        <v>0.55000000000000004</v>
      </c>
      <c r="F696" s="13" t="s">
        <v>56</v>
      </c>
      <c r="G696" s="15">
        <v>287.26499999999999</v>
      </c>
      <c r="K696" s="26" t="str">
        <f t="shared" si="40"/>
        <v/>
      </c>
      <c r="L696" s="26" t="str">
        <f t="shared" si="41"/>
        <v/>
      </c>
      <c r="M696" s="26" t="str">
        <f t="shared" si="42"/>
        <v/>
      </c>
      <c r="N696" s="27" t="str">
        <f t="shared" si="43"/>
        <v/>
      </c>
    </row>
    <row r="697" spans="1:14" ht="15" customHeight="1" x14ac:dyDescent="0.25">
      <c r="A697" s="12">
        <v>46203</v>
      </c>
      <c r="B697" s="13" t="s">
        <v>112</v>
      </c>
      <c r="C697" s="13" t="s">
        <v>113</v>
      </c>
      <c r="D697" s="13" t="s">
        <v>97</v>
      </c>
      <c r="E697" s="14">
        <v>0.52</v>
      </c>
      <c r="F697" s="13" t="s">
        <v>56</v>
      </c>
      <c r="G697" s="15">
        <v>16.999600000000001</v>
      </c>
      <c r="K697" s="26" t="str">
        <f t="shared" si="40"/>
        <v/>
      </c>
      <c r="L697" s="26" t="str">
        <f t="shared" si="41"/>
        <v/>
      </c>
      <c r="M697" s="26" t="str">
        <f t="shared" si="42"/>
        <v/>
      </c>
      <c r="N697" s="27" t="str">
        <f t="shared" si="43"/>
        <v/>
      </c>
    </row>
    <row r="698" spans="1:14" ht="15" customHeight="1" x14ac:dyDescent="0.25">
      <c r="A698" s="12">
        <v>46203</v>
      </c>
      <c r="B698" s="13" t="s">
        <v>105</v>
      </c>
      <c r="C698" s="13" t="s">
        <v>96</v>
      </c>
      <c r="D698" s="13" t="s">
        <v>97</v>
      </c>
      <c r="E698" s="14">
        <v>0.55000000000000004</v>
      </c>
      <c r="F698" s="13" t="s">
        <v>56</v>
      </c>
      <c r="G698" s="15">
        <v>64.930000000000007</v>
      </c>
      <c r="K698" s="26" t="str">
        <f t="shared" si="40"/>
        <v/>
      </c>
      <c r="L698" s="26" t="str">
        <f t="shared" si="41"/>
        <v/>
      </c>
      <c r="M698" s="26" t="str">
        <f t="shared" si="42"/>
        <v/>
      </c>
      <c r="N698" s="27" t="str">
        <f t="shared" si="43"/>
        <v/>
      </c>
    </row>
    <row r="699" spans="1:14" ht="15" customHeight="1" x14ac:dyDescent="0.25">
      <c r="A699" s="12">
        <v>46203</v>
      </c>
      <c r="B699" s="13" t="s">
        <v>114</v>
      </c>
      <c r="C699" s="13" t="s">
        <v>113</v>
      </c>
      <c r="D699" s="13" t="s">
        <v>97</v>
      </c>
      <c r="E699" s="14">
        <v>0.42</v>
      </c>
      <c r="F699" s="13" t="s">
        <v>56</v>
      </c>
      <c r="G699" s="15">
        <v>204.03</v>
      </c>
      <c r="K699" s="26" t="str">
        <f t="shared" si="40"/>
        <v/>
      </c>
      <c r="L699" s="26" t="str">
        <f t="shared" si="41"/>
        <v/>
      </c>
      <c r="M699" s="26" t="str">
        <f t="shared" si="42"/>
        <v/>
      </c>
      <c r="N699" s="27" t="str">
        <f t="shared" si="43"/>
        <v/>
      </c>
    </row>
    <row r="700" spans="1:14" ht="15" customHeight="1" x14ac:dyDescent="0.25">
      <c r="A700" s="12">
        <v>46203</v>
      </c>
      <c r="B700" s="13" t="s">
        <v>116</v>
      </c>
      <c r="C700" s="13" t="s">
        <v>113</v>
      </c>
      <c r="D700" s="13" t="s">
        <v>97</v>
      </c>
      <c r="E700" s="14">
        <v>0.42</v>
      </c>
      <c r="F700" s="13" t="s">
        <v>56</v>
      </c>
      <c r="G700" s="15">
        <v>16.475000000000001</v>
      </c>
      <c r="K700" s="26" t="str">
        <f t="shared" si="40"/>
        <v/>
      </c>
      <c r="L700" s="26" t="str">
        <f t="shared" si="41"/>
        <v/>
      </c>
      <c r="M700" s="26" t="str">
        <f t="shared" si="42"/>
        <v/>
      </c>
      <c r="N700" s="27" t="str">
        <f t="shared" si="43"/>
        <v/>
      </c>
    </row>
    <row r="701" spans="1:14" ht="15" customHeight="1" x14ac:dyDescent="0.25">
      <c r="A701" s="12">
        <v>46203</v>
      </c>
      <c r="B701" s="13" t="s">
        <v>104</v>
      </c>
      <c r="C701" s="13" t="s">
        <v>96</v>
      </c>
      <c r="D701" s="13" t="s">
        <v>97</v>
      </c>
      <c r="E701" s="14">
        <v>0.35</v>
      </c>
      <c r="F701" s="13" t="s">
        <v>55</v>
      </c>
      <c r="G701" s="15">
        <v>27.38</v>
      </c>
      <c r="K701" s="26" t="str">
        <f t="shared" si="40"/>
        <v/>
      </c>
      <c r="L701" s="26" t="str">
        <f t="shared" si="41"/>
        <v/>
      </c>
      <c r="M701" s="26" t="str">
        <f t="shared" si="42"/>
        <v/>
      </c>
      <c r="N701" s="27" t="str">
        <f t="shared" si="43"/>
        <v/>
      </c>
    </row>
    <row r="702" spans="1:14" ht="15" customHeight="1" x14ac:dyDescent="0.25">
      <c r="A702" s="12">
        <v>46203</v>
      </c>
      <c r="B702" s="13" t="s">
        <v>111</v>
      </c>
      <c r="C702" s="13" t="s">
        <v>113</v>
      </c>
      <c r="D702" s="13" t="s">
        <v>97</v>
      </c>
      <c r="E702" s="14">
        <v>0.55000000000000004</v>
      </c>
      <c r="F702" s="13" t="s">
        <v>56</v>
      </c>
      <c r="G702" s="15">
        <v>66.489999999999995</v>
      </c>
      <c r="K702" s="26" t="str">
        <f t="shared" si="40"/>
        <v/>
      </c>
      <c r="L702" s="26" t="str">
        <f t="shared" si="41"/>
        <v/>
      </c>
      <c r="M702" s="26" t="str">
        <f t="shared" si="42"/>
        <v/>
      </c>
      <c r="N702" s="27" t="str">
        <f t="shared" si="43"/>
        <v/>
      </c>
    </row>
    <row r="703" spans="1:14" ht="15" customHeight="1" x14ac:dyDescent="0.25">
      <c r="A703" s="12">
        <v>46203</v>
      </c>
      <c r="B703" s="13" t="s">
        <v>107</v>
      </c>
      <c r="C703" s="13" t="s">
        <v>96</v>
      </c>
      <c r="D703" s="13" t="s">
        <v>97</v>
      </c>
      <c r="E703" s="14">
        <v>0.52</v>
      </c>
      <c r="F703" s="13" t="s">
        <v>55</v>
      </c>
      <c r="G703" s="15">
        <v>76.165000000000006</v>
      </c>
      <c r="K703" s="26" t="str">
        <f t="shared" si="40"/>
        <v/>
      </c>
      <c r="L703" s="26" t="str">
        <f t="shared" si="41"/>
        <v/>
      </c>
      <c r="M703" s="26" t="str">
        <f t="shared" si="42"/>
        <v/>
      </c>
      <c r="N703" s="27" t="str">
        <f t="shared" si="43"/>
        <v/>
      </c>
    </row>
    <row r="704" spans="1:14" ht="15" customHeight="1" x14ac:dyDescent="0.25">
      <c r="A704" s="12">
        <v>46203</v>
      </c>
      <c r="B704" s="13" t="s">
        <v>106</v>
      </c>
      <c r="C704" s="13" t="s">
        <v>99</v>
      </c>
      <c r="D704" s="13" t="s">
        <v>97</v>
      </c>
      <c r="E704" s="14">
        <v>0.62</v>
      </c>
      <c r="F704" s="13" t="s">
        <v>55</v>
      </c>
      <c r="G704" s="15">
        <v>329.24</v>
      </c>
      <c r="K704" s="26" t="str">
        <f t="shared" si="40"/>
        <v/>
      </c>
      <c r="L704" s="26" t="str">
        <f t="shared" si="41"/>
        <v/>
      </c>
      <c r="M704" s="26" t="str">
        <f t="shared" si="42"/>
        <v/>
      </c>
      <c r="N704" s="27" t="str">
        <f t="shared" si="43"/>
        <v/>
      </c>
    </row>
    <row r="705" spans="1:14" ht="15" customHeight="1" x14ac:dyDescent="0.25">
      <c r="A705" s="12">
        <v>46203</v>
      </c>
      <c r="B705" s="13" t="s">
        <v>100</v>
      </c>
      <c r="C705" s="13" t="s">
        <v>96</v>
      </c>
      <c r="D705" s="13" t="s">
        <v>97</v>
      </c>
      <c r="E705" s="14">
        <v>0.52</v>
      </c>
      <c r="F705" s="13" t="s">
        <v>55</v>
      </c>
      <c r="G705" s="15">
        <v>368.51499999999999</v>
      </c>
      <c r="K705" s="26" t="str">
        <f t="shared" si="40"/>
        <v/>
      </c>
      <c r="L705" s="26" t="str">
        <f t="shared" si="41"/>
        <v/>
      </c>
      <c r="M705" s="26" t="str">
        <f t="shared" si="42"/>
        <v/>
      </c>
      <c r="N705" s="27" t="str">
        <f t="shared" si="43"/>
        <v/>
      </c>
    </row>
    <row r="706" spans="1:14" ht="15" customHeight="1" x14ac:dyDescent="0.25">
      <c r="A706" s="12">
        <v>46203</v>
      </c>
      <c r="B706" s="13" t="s">
        <v>101</v>
      </c>
      <c r="C706" s="13" t="s">
        <v>99</v>
      </c>
      <c r="D706" s="13" t="s">
        <v>97</v>
      </c>
      <c r="E706" s="14">
        <v>0.42</v>
      </c>
      <c r="F706" s="13" t="s">
        <v>55</v>
      </c>
      <c r="G706" s="15">
        <v>40.94</v>
      </c>
      <c r="K706" s="26" t="str">
        <f t="shared" si="40"/>
        <v/>
      </c>
      <c r="L706" s="26" t="str">
        <f t="shared" si="41"/>
        <v/>
      </c>
      <c r="M706" s="26" t="str">
        <f t="shared" si="42"/>
        <v/>
      </c>
      <c r="N706" s="27" t="str">
        <f t="shared" si="43"/>
        <v/>
      </c>
    </row>
    <row r="707" spans="1:14" ht="15" customHeight="1" x14ac:dyDescent="0.25">
      <c r="A707" s="12">
        <v>46203</v>
      </c>
      <c r="B707" s="13" t="s">
        <v>98</v>
      </c>
      <c r="C707" s="13" t="s">
        <v>96</v>
      </c>
      <c r="D707" s="13" t="s">
        <v>97</v>
      </c>
      <c r="E707" s="14">
        <v>0.45</v>
      </c>
      <c r="F707" s="13" t="s">
        <v>55</v>
      </c>
      <c r="G707" s="15">
        <v>63.07</v>
      </c>
      <c r="K707" s="26" t="str">
        <f t="shared" si="40"/>
        <v/>
      </c>
      <c r="L707" s="26" t="str">
        <f t="shared" si="41"/>
        <v/>
      </c>
      <c r="M707" s="26" t="str">
        <f t="shared" si="42"/>
        <v/>
      </c>
      <c r="N707" s="27" t="str">
        <f t="shared" si="43"/>
        <v/>
      </c>
    </row>
    <row r="708" spans="1:14" ht="15" customHeight="1" x14ac:dyDescent="0.25">
      <c r="A708" s="12">
        <v>46203</v>
      </c>
      <c r="B708" s="13" t="s">
        <v>110</v>
      </c>
      <c r="C708" s="13" t="s">
        <v>99</v>
      </c>
      <c r="D708" s="13" t="s">
        <v>97</v>
      </c>
      <c r="E708" s="14">
        <v>0.65</v>
      </c>
      <c r="F708" s="13" t="s">
        <v>55</v>
      </c>
      <c r="G708" s="15">
        <v>180.54259999999999</v>
      </c>
      <c r="K708" s="26" t="str">
        <f t="shared" si="40"/>
        <v/>
      </c>
      <c r="L708" s="26" t="str">
        <f t="shared" si="41"/>
        <v/>
      </c>
      <c r="M708" s="26" t="str">
        <f t="shared" si="42"/>
        <v/>
      </c>
      <c r="N708" s="27" t="str">
        <f t="shared" si="43"/>
        <v/>
      </c>
    </row>
    <row r="709" spans="1:14" ht="15" customHeight="1" x14ac:dyDescent="0.25">
      <c r="A709" s="12">
        <v>46203</v>
      </c>
      <c r="B709" s="13" t="s">
        <v>108</v>
      </c>
      <c r="C709" s="13" t="s">
        <v>99</v>
      </c>
      <c r="D709" s="13" t="s">
        <v>97</v>
      </c>
      <c r="E709" s="14">
        <v>0.62</v>
      </c>
      <c r="F709" s="13" t="s">
        <v>55</v>
      </c>
      <c r="G709" s="15">
        <v>712.49</v>
      </c>
      <c r="K709" s="26" t="str">
        <f t="shared" ref="K709:K772" si="44">IF(H709="","",(H709-G709)/G709)</f>
        <v/>
      </c>
      <c r="L709" s="26" t="str">
        <f t="shared" ref="L709:L772" si="45">IF(I709="","",(I709-G709)/G709)</f>
        <v/>
      </c>
      <c r="M709" s="26" t="str">
        <f t="shared" ref="M709:M772" si="46">IF(J709="","",(J709-G709)/G709)</f>
        <v/>
      </c>
      <c r="N709" s="27" t="str">
        <f t="shared" ref="N709:N772" si="47">IF(H709="","",IF(D709="HOLD",IF(ABS(K709)&lt;0.03,"YES","NO"),IF(D709="BUY",IF(K709&gt;0,"YES","NO"),IF(D709="SELL",IF(K709&lt;0,"YES","NO"),""))))</f>
        <v/>
      </c>
    </row>
    <row r="710" spans="1:14" ht="15" customHeight="1" x14ac:dyDescent="0.25">
      <c r="A710" s="12">
        <v>46203</v>
      </c>
      <c r="B710" s="13" t="s">
        <v>115</v>
      </c>
      <c r="C710" s="13" t="s">
        <v>113</v>
      </c>
      <c r="D710" s="13" t="s">
        <v>97</v>
      </c>
      <c r="E710" s="14">
        <v>0.62</v>
      </c>
      <c r="F710" s="13" t="s">
        <v>55</v>
      </c>
      <c r="G710" s="15">
        <v>188.48500000000001</v>
      </c>
      <c r="K710" s="26" t="str">
        <f t="shared" si="44"/>
        <v/>
      </c>
      <c r="L710" s="26" t="str">
        <f t="shared" si="45"/>
        <v/>
      </c>
      <c r="M710" s="26" t="str">
        <f t="shared" si="46"/>
        <v/>
      </c>
      <c r="N710" s="27" t="str">
        <f t="shared" si="47"/>
        <v/>
      </c>
    </row>
    <row r="711" spans="1:14" ht="15" customHeight="1" x14ac:dyDescent="0.25">
      <c r="A711" s="12">
        <v>46203</v>
      </c>
      <c r="B711" s="13" t="s">
        <v>102</v>
      </c>
      <c r="C711" s="13" t="s">
        <v>99</v>
      </c>
      <c r="D711" s="13" t="s">
        <v>97</v>
      </c>
      <c r="E711" s="14">
        <v>0.65</v>
      </c>
      <c r="F711" s="13" t="s">
        <v>55</v>
      </c>
      <c r="G711" s="15">
        <v>31.72</v>
      </c>
      <c r="K711" s="26" t="str">
        <f t="shared" si="44"/>
        <v/>
      </c>
      <c r="L711" s="26" t="str">
        <f t="shared" si="45"/>
        <v/>
      </c>
      <c r="M711" s="26" t="str">
        <f t="shared" si="46"/>
        <v/>
      </c>
      <c r="N711" s="27" t="str">
        <f t="shared" si="47"/>
        <v/>
      </c>
    </row>
    <row r="712" spans="1:14" ht="15" customHeight="1" x14ac:dyDescent="0.25">
      <c r="A712" s="12">
        <v>46203</v>
      </c>
      <c r="B712" s="13" t="s">
        <v>117</v>
      </c>
      <c r="C712" s="13" t="s">
        <v>113</v>
      </c>
      <c r="D712" s="13" t="s">
        <v>97</v>
      </c>
      <c r="E712" s="14">
        <v>0.52</v>
      </c>
      <c r="F712" s="13" t="s">
        <v>56</v>
      </c>
      <c r="G712" s="15">
        <v>5.29</v>
      </c>
      <c r="K712" s="26" t="str">
        <f t="shared" si="44"/>
        <v/>
      </c>
      <c r="L712" s="26" t="str">
        <f t="shared" si="45"/>
        <v/>
      </c>
      <c r="M712" s="26" t="str">
        <f t="shared" si="46"/>
        <v/>
      </c>
      <c r="N712" s="27" t="str">
        <f t="shared" si="47"/>
        <v/>
      </c>
    </row>
    <row r="713" spans="1:14" ht="15" customHeight="1" x14ac:dyDescent="0.25">
      <c r="A713" s="12">
        <v>46203</v>
      </c>
      <c r="B713" s="13" t="s">
        <v>95</v>
      </c>
      <c r="C713" s="13" t="s">
        <v>96</v>
      </c>
      <c r="D713" s="13" t="s">
        <v>97</v>
      </c>
      <c r="E713" s="14">
        <v>0.52</v>
      </c>
      <c r="F713" s="13" t="s">
        <v>56</v>
      </c>
      <c r="G713" s="15">
        <v>113.47</v>
      </c>
      <c r="K713" s="26" t="str">
        <f t="shared" si="44"/>
        <v/>
      </c>
      <c r="L713" s="26" t="str">
        <f t="shared" si="45"/>
        <v/>
      </c>
      <c r="M713" s="26" t="str">
        <f t="shared" si="46"/>
        <v/>
      </c>
      <c r="N713" s="27" t="str">
        <f t="shared" si="47"/>
        <v/>
      </c>
    </row>
    <row r="714" spans="1:14" ht="15" customHeight="1" x14ac:dyDescent="0.25">
      <c r="A714" s="12">
        <v>46203</v>
      </c>
      <c r="B714" s="13" t="s">
        <v>109</v>
      </c>
      <c r="C714" s="13" t="s">
        <v>99</v>
      </c>
      <c r="D714" s="13" t="s">
        <v>97</v>
      </c>
      <c r="E714" s="14">
        <v>0.55000000000000004</v>
      </c>
      <c r="F714" s="13" t="s">
        <v>56</v>
      </c>
      <c r="G714" s="15">
        <v>45.755000000000003</v>
      </c>
      <c r="K714" s="26" t="str">
        <f t="shared" si="44"/>
        <v/>
      </c>
      <c r="L714" s="26" t="str">
        <f t="shared" si="45"/>
        <v/>
      </c>
      <c r="M714" s="26" t="str">
        <f t="shared" si="46"/>
        <v/>
      </c>
      <c r="N714" s="27" t="str">
        <f t="shared" si="47"/>
        <v/>
      </c>
    </row>
    <row r="715" spans="1:14" ht="15" customHeight="1" x14ac:dyDescent="0.25">
      <c r="A715" s="12">
        <v>46203</v>
      </c>
      <c r="B715" s="13" t="s">
        <v>118</v>
      </c>
      <c r="C715" s="13" t="s">
        <v>119</v>
      </c>
      <c r="D715" s="13" t="s">
        <v>97</v>
      </c>
      <c r="E715" s="14">
        <v>0.55000000000000004</v>
      </c>
      <c r="F715" s="13" t="s">
        <v>55</v>
      </c>
      <c r="G715" s="15">
        <v>744.4</v>
      </c>
      <c r="K715" s="26" t="str">
        <f t="shared" si="44"/>
        <v/>
      </c>
      <c r="L715" s="26" t="str">
        <f t="shared" si="45"/>
        <v/>
      </c>
      <c r="M715" s="26" t="str">
        <f t="shared" si="46"/>
        <v/>
      </c>
      <c r="N715" s="27" t="str">
        <f t="shared" si="47"/>
        <v/>
      </c>
    </row>
    <row r="716" spans="1:14" ht="15" customHeight="1" x14ac:dyDescent="0.25">
      <c r="A716" s="12">
        <v>46203</v>
      </c>
      <c r="B716" s="13" t="s">
        <v>120</v>
      </c>
      <c r="C716" s="13" t="s">
        <v>119</v>
      </c>
      <c r="D716" s="13" t="s">
        <v>97</v>
      </c>
      <c r="E716" s="14">
        <v>0.52</v>
      </c>
      <c r="F716" s="13" t="s">
        <v>55</v>
      </c>
      <c r="G716" s="15">
        <v>732.22770000000003</v>
      </c>
      <c r="K716" s="26" t="str">
        <f t="shared" si="44"/>
        <v/>
      </c>
      <c r="L716" s="26" t="str">
        <f t="shared" si="45"/>
        <v/>
      </c>
      <c r="M716" s="26" t="str">
        <f t="shared" si="46"/>
        <v/>
      </c>
      <c r="N716" s="27" t="str">
        <f t="shared" si="47"/>
        <v/>
      </c>
    </row>
    <row r="717" spans="1:14" ht="15" customHeight="1" x14ac:dyDescent="0.25">
      <c r="A717" s="12">
        <v>46203</v>
      </c>
      <c r="B717" s="13" t="s">
        <v>121</v>
      </c>
      <c r="C717" s="13" t="s">
        <v>119</v>
      </c>
      <c r="D717" s="13" t="s">
        <v>97</v>
      </c>
      <c r="E717" s="14">
        <v>0.62</v>
      </c>
      <c r="F717" s="13" t="s">
        <v>55</v>
      </c>
      <c r="G717" s="15">
        <v>368.77</v>
      </c>
      <c r="K717" s="26" t="str">
        <f t="shared" si="44"/>
        <v/>
      </c>
      <c r="L717" s="26" t="str">
        <f t="shared" si="45"/>
        <v/>
      </c>
      <c r="M717" s="26" t="str">
        <f t="shared" si="46"/>
        <v/>
      </c>
      <c r="N717" s="27" t="str">
        <f t="shared" si="47"/>
        <v/>
      </c>
    </row>
    <row r="718" spans="1:14" ht="15" customHeight="1" x14ac:dyDescent="0.25">
      <c r="A718" s="12">
        <v>46203</v>
      </c>
      <c r="B718" s="13" t="s">
        <v>122</v>
      </c>
      <c r="C718" s="13" t="s">
        <v>119</v>
      </c>
      <c r="D718" s="13" t="s">
        <v>97</v>
      </c>
      <c r="E718" s="14">
        <v>0.57999999999999996</v>
      </c>
      <c r="F718" s="13" t="s">
        <v>56</v>
      </c>
      <c r="G718" s="15">
        <v>197.64500000000001</v>
      </c>
      <c r="K718" s="26" t="str">
        <f t="shared" si="44"/>
        <v/>
      </c>
      <c r="L718" s="26" t="str">
        <f t="shared" si="45"/>
        <v/>
      </c>
      <c r="M718" s="26" t="str">
        <f t="shared" si="46"/>
        <v/>
      </c>
      <c r="N718" s="27" t="str">
        <f t="shared" si="47"/>
        <v/>
      </c>
    </row>
    <row r="719" spans="1:14" ht="15" customHeight="1" x14ac:dyDescent="0.25">
      <c r="A719" s="12">
        <v>46203</v>
      </c>
      <c r="B719" s="13" t="s">
        <v>123</v>
      </c>
      <c r="C719" s="13" t="s">
        <v>119</v>
      </c>
      <c r="D719" s="13" t="s">
        <v>97</v>
      </c>
      <c r="E719" s="14">
        <v>0.48</v>
      </c>
      <c r="F719" s="13" t="s">
        <v>56</v>
      </c>
      <c r="G719" s="15">
        <v>370.22</v>
      </c>
      <c r="K719" s="26" t="str">
        <f t="shared" si="44"/>
        <v/>
      </c>
      <c r="L719" s="26" t="str">
        <f t="shared" si="45"/>
        <v/>
      </c>
      <c r="M719" s="26" t="str">
        <f t="shared" si="46"/>
        <v/>
      </c>
      <c r="N719" s="27" t="str">
        <f t="shared" si="47"/>
        <v/>
      </c>
    </row>
    <row r="720" spans="1:14" ht="15" customHeight="1" x14ac:dyDescent="0.25">
      <c r="A720" s="12">
        <v>46204</v>
      </c>
      <c r="B720" s="13" t="s">
        <v>103</v>
      </c>
      <c r="C720" s="13" t="s">
        <v>99</v>
      </c>
      <c r="D720" s="13" t="s">
        <v>97</v>
      </c>
      <c r="E720" s="14">
        <v>0.57999999999999996</v>
      </c>
      <c r="F720" s="13" t="s">
        <v>55</v>
      </c>
      <c r="G720" s="15">
        <v>294.82</v>
      </c>
      <c r="K720" s="26" t="str">
        <f t="shared" si="44"/>
        <v/>
      </c>
      <c r="L720" s="26" t="str">
        <f t="shared" si="45"/>
        <v/>
      </c>
      <c r="M720" s="26" t="str">
        <f t="shared" si="46"/>
        <v/>
      </c>
      <c r="N720" s="27" t="str">
        <f t="shared" si="47"/>
        <v/>
      </c>
    </row>
    <row r="721" spans="1:14" ht="15" customHeight="1" x14ac:dyDescent="0.25">
      <c r="A721" s="12">
        <v>46204</v>
      </c>
      <c r="B721" s="13" t="s">
        <v>112</v>
      </c>
      <c r="C721" s="13" t="s">
        <v>113</v>
      </c>
      <c r="D721" s="13" t="s">
        <v>97</v>
      </c>
      <c r="E721" s="14">
        <v>0.52</v>
      </c>
      <c r="F721" s="13" t="s">
        <v>56</v>
      </c>
      <c r="G721" s="15">
        <v>17.489999999999998</v>
      </c>
      <c r="K721" s="26" t="str">
        <f t="shared" si="44"/>
        <v/>
      </c>
      <c r="L721" s="26" t="str">
        <f t="shared" si="45"/>
        <v/>
      </c>
      <c r="M721" s="26" t="str">
        <f t="shared" si="46"/>
        <v/>
      </c>
      <c r="N721" s="27" t="str">
        <f t="shared" si="47"/>
        <v/>
      </c>
    </row>
    <row r="722" spans="1:14" ht="15" customHeight="1" x14ac:dyDescent="0.25">
      <c r="A722" s="12">
        <v>46204</v>
      </c>
      <c r="B722" s="13" t="s">
        <v>105</v>
      </c>
      <c r="C722" s="13" t="s">
        <v>96</v>
      </c>
      <c r="D722" s="13" t="s">
        <v>97</v>
      </c>
      <c r="E722" s="14">
        <v>0.57999999999999996</v>
      </c>
      <c r="F722" s="13" t="s">
        <v>56</v>
      </c>
      <c r="G722" s="15">
        <v>64.260000000000005</v>
      </c>
      <c r="K722" s="26" t="str">
        <f t="shared" si="44"/>
        <v/>
      </c>
      <c r="L722" s="26" t="str">
        <f t="shared" si="45"/>
        <v/>
      </c>
      <c r="M722" s="26" t="str">
        <f t="shared" si="46"/>
        <v/>
      </c>
      <c r="N722" s="27" t="str">
        <f t="shared" si="47"/>
        <v/>
      </c>
    </row>
    <row r="723" spans="1:14" ht="15" customHeight="1" x14ac:dyDescent="0.25">
      <c r="A723" s="12">
        <v>46204</v>
      </c>
      <c r="B723" s="13" t="s">
        <v>114</v>
      </c>
      <c r="C723" s="13" t="s">
        <v>113</v>
      </c>
      <c r="D723" s="13" t="s">
        <v>97</v>
      </c>
      <c r="E723" s="14">
        <v>0.45</v>
      </c>
      <c r="F723" s="13" t="s">
        <v>56</v>
      </c>
      <c r="G723" s="15">
        <v>219.98</v>
      </c>
      <c r="K723" s="26" t="str">
        <f t="shared" si="44"/>
        <v/>
      </c>
      <c r="L723" s="26" t="str">
        <f t="shared" si="45"/>
        <v/>
      </c>
      <c r="M723" s="26" t="str">
        <f t="shared" si="46"/>
        <v/>
      </c>
      <c r="N723" s="27" t="str">
        <f t="shared" si="47"/>
        <v/>
      </c>
    </row>
    <row r="724" spans="1:14" ht="15" customHeight="1" x14ac:dyDescent="0.25">
      <c r="A724" s="12">
        <v>46204</v>
      </c>
      <c r="B724" s="13" t="s">
        <v>116</v>
      </c>
      <c r="C724" s="13" t="s">
        <v>113</v>
      </c>
      <c r="D724" s="13" t="s">
        <v>97</v>
      </c>
      <c r="E724" s="14">
        <v>0.42</v>
      </c>
      <c r="F724" s="13" t="s">
        <v>56</v>
      </c>
      <c r="G724" s="15">
        <v>16.835000000000001</v>
      </c>
      <c r="K724" s="26" t="str">
        <f t="shared" si="44"/>
        <v/>
      </c>
      <c r="L724" s="26" t="str">
        <f t="shared" si="45"/>
        <v/>
      </c>
      <c r="M724" s="26" t="str">
        <f t="shared" si="46"/>
        <v/>
      </c>
      <c r="N724" s="27" t="str">
        <f t="shared" si="47"/>
        <v/>
      </c>
    </row>
    <row r="725" spans="1:14" ht="15" customHeight="1" x14ac:dyDescent="0.25">
      <c r="A725" s="12">
        <v>46204</v>
      </c>
      <c r="B725" s="13" t="s">
        <v>104</v>
      </c>
      <c r="C725" s="13" t="s">
        <v>96</v>
      </c>
      <c r="D725" s="13" t="s">
        <v>97</v>
      </c>
      <c r="E725" s="14">
        <v>0.38</v>
      </c>
      <c r="F725" s="13" t="s">
        <v>55</v>
      </c>
      <c r="G725" s="15">
        <v>27.39</v>
      </c>
      <c r="K725" s="26" t="str">
        <f t="shared" si="44"/>
        <v/>
      </c>
      <c r="L725" s="26" t="str">
        <f t="shared" si="45"/>
        <v/>
      </c>
      <c r="M725" s="26" t="str">
        <f t="shared" si="46"/>
        <v/>
      </c>
      <c r="N725" s="27" t="str">
        <f t="shared" si="47"/>
        <v/>
      </c>
    </row>
    <row r="726" spans="1:14" ht="15" customHeight="1" x14ac:dyDescent="0.25">
      <c r="A726" s="12">
        <v>46204</v>
      </c>
      <c r="B726" s="13" t="s">
        <v>111</v>
      </c>
      <c r="C726" s="13" t="s">
        <v>113</v>
      </c>
      <c r="D726" s="13" t="s">
        <v>97</v>
      </c>
      <c r="E726" s="14">
        <v>0.55000000000000004</v>
      </c>
      <c r="F726" s="13" t="s">
        <v>55</v>
      </c>
      <c r="G726" s="15">
        <v>64.614999999999995</v>
      </c>
      <c r="K726" s="26" t="str">
        <f t="shared" si="44"/>
        <v/>
      </c>
      <c r="L726" s="26" t="str">
        <f t="shared" si="45"/>
        <v/>
      </c>
      <c r="M726" s="26" t="str">
        <f t="shared" si="46"/>
        <v/>
      </c>
      <c r="N726" s="27" t="str">
        <f t="shared" si="47"/>
        <v/>
      </c>
    </row>
    <row r="727" spans="1:14" ht="15" customHeight="1" x14ac:dyDescent="0.25">
      <c r="A727" s="12">
        <v>46204</v>
      </c>
      <c r="B727" s="13" t="s">
        <v>107</v>
      </c>
      <c r="C727" s="13" t="s">
        <v>96</v>
      </c>
      <c r="D727" s="13" t="s">
        <v>97</v>
      </c>
      <c r="E727" s="14">
        <v>0.52</v>
      </c>
      <c r="F727" s="13" t="s">
        <v>55</v>
      </c>
      <c r="G727" s="15">
        <v>76.569999999999993</v>
      </c>
      <c r="K727" s="26" t="str">
        <f t="shared" si="44"/>
        <v/>
      </c>
      <c r="L727" s="26" t="str">
        <f t="shared" si="45"/>
        <v/>
      </c>
      <c r="M727" s="26" t="str">
        <f t="shared" si="46"/>
        <v/>
      </c>
      <c r="N727" s="27" t="str">
        <f t="shared" si="47"/>
        <v/>
      </c>
    </row>
    <row r="728" spans="1:14" ht="15" customHeight="1" x14ac:dyDescent="0.25">
      <c r="A728" s="12">
        <v>46204</v>
      </c>
      <c r="B728" s="13" t="s">
        <v>106</v>
      </c>
      <c r="C728" s="13" t="s">
        <v>99</v>
      </c>
      <c r="D728" s="13" t="s">
        <v>97</v>
      </c>
      <c r="E728" s="14">
        <v>0.62</v>
      </c>
      <c r="F728" s="13" t="s">
        <v>55</v>
      </c>
      <c r="G728" s="15">
        <v>332.13</v>
      </c>
      <c r="K728" s="26" t="str">
        <f t="shared" si="44"/>
        <v/>
      </c>
      <c r="L728" s="26" t="str">
        <f t="shared" si="45"/>
        <v/>
      </c>
      <c r="M728" s="26" t="str">
        <f t="shared" si="46"/>
        <v/>
      </c>
      <c r="N728" s="27" t="str">
        <f t="shared" si="47"/>
        <v/>
      </c>
    </row>
    <row r="729" spans="1:14" ht="15" customHeight="1" x14ac:dyDescent="0.25">
      <c r="A729" s="12">
        <v>46204</v>
      </c>
      <c r="B729" s="13" t="s">
        <v>100</v>
      </c>
      <c r="C729" s="13" t="s">
        <v>96</v>
      </c>
      <c r="D729" s="13" t="s">
        <v>97</v>
      </c>
      <c r="E729" s="14">
        <v>0.55000000000000004</v>
      </c>
      <c r="F729" s="13" t="s">
        <v>56</v>
      </c>
      <c r="G729" s="15">
        <v>385.47</v>
      </c>
      <c r="K729" s="26" t="str">
        <f t="shared" si="44"/>
        <v/>
      </c>
      <c r="L729" s="26" t="str">
        <f t="shared" si="45"/>
        <v/>
      </c>
      <c r="M729" s="26" t="str">
        <f t="shared" si="46"/>
        <v/>
      </c>
      <c r="N729" s="27" t="str">
        <f t="shared" si="47"/>
        <v/>
      </c>
    </row>
    <row r="730" spans="1:14" ht="15" customHeight="1" x14ac:dyDescent="0.25">
      <c r="A730" s="12">
        <v>46204</v>
      </c>
      <c r="B730" s="13" t="s">
        <v>101</v>
      </c>
      <c r="C730" s="13" t="s">
        <v>99</v>
      </c>
      <c r="D730" s="13" t="s">
        <v>97</v>
      </c>
      <c r="E730" s="14">
        <v>0.45</v>
      </c>
      <c r="F730" s="13" t="s">
        <v>55</v>
      </c>
      <c r="G730" s="15">
        <v>42.77</v>
      </c>
      <c r="K730" s="26" t="str">
        <f t="shared" si="44"/>
        <v/>
      </c>
      <c r="L730" s="26" t="str">
        <f t="shared" si="45"/>
        <v/>
      </c>
      <c r="M730" s="26" t="str">
        <f t="shared" si="46"/>
        <v/>
      </c>
      <c r="N730" s="27" t="str">
        <f t="shared" si="47"/>
        <v/>
      </c>
    </row>
    <row r="731" spans="1:14" ht="15" customHeight="1" x14ac:dyDescent="0.25">
      <c r="A731" s="12">
        <v>46204</v>
      </c>
      <c r="B731" s="13" t="s">
        <v>98</v>
      </c>
      <c r="C731" s="13" t="s">
        <v>96</v>
      </c>
      <c r="D731" s="13" t="s">
        <v>97</v>
      </c>
      <c r="E731" s="14">
        <v>0.52</v>
      </c>
      <c r="F731" s="13" t="s">
        <v>55</v>
      </c>
      <c r="G731" s="15">
        <v>63.25</v>
      </c>
      <c r="K731" s="26" t="str">
        <f t="shared" si="44"/>
        <v/>
      </c>
      <c r="L731" s="26" t="str">
        <f t="shared" si="45"/>
        <v/>
      </c>
      <c r="M731" s="26" t="str">
        <f t="shared" si="46"/>
        <v/>
      </c>
      <c r="N731" s="27" t="str">
        <f t="shared" si="47"/>
        <v/>
      </c>
    </row>
    <row r="732" spans="1:14" ht="15" customHeight="1" x14ac:dyDescent="0.25">
      <c r="A732" s="12">
        <v>46204</v>
      </c>
      <c r="B732" s="13" t="s">
        <v>110</v>
      </c>
      <c r="C732" s="13" t="s">
        <v>99</v>
      </c>
      <c r="D732" s="13" t="s">
        <v>97</v>
      </c>
      <c r="E732" s="14">
        <v>0.65</v>
      </c>
      <c r="F732" s="13" t="s">
        <v>55</v>
      </c>
      <c r="G732" s="15">
        <v>177.14</v>
      </c>
      <c r="K732" s="26" t="str">
        <f t="shared" si="44"/>
        <v/>
      </c>
      <c r="L732" s="26" t="str">
        <f t="shared" si="45"/>
        <v/>
      </c>
      <c r="M732" s="26" t="str">
        <f t="shared" si="46"/>
        <v/>
      </c>
      <c r="N732" s="27" t="str">
        <f t="shared" si="47"/>
        <v/>
      </c>
    </row>
    <row r="733" spans="1:14" ht="15" customHeight="1" x14ac:dyDescent="0.25">
      <c r="A733" s="12">
        <v>46204</v>
      </c>
      <c r="B733" s="13" t="s">
        <v>108</v>
      </c>
      <c r="C733" s="13" t="s">
        <v>99</v>
      </c>
      <c r="D733" s="13" t="s">
        <v>97</v>
      </c>
      <c r="E733" s="14">
        <v>0.62</v>
      </c>
      <c r="F733" s="13" t="s">
        <v>55</v>
      </c>
      <c r="G733" s="15">
        <v>693.54</v>
      </c>
      <c r="K733" s="26" t="str">
        <f t="shared" si="44"/>
        <v/>
      </c>
      <c r="L733" s="26" t="str">
        <f t="shared" si="45"/>
        <v/>
      </c>
      <c r="M733" s="26" t="str">
        <f t="shared" si="46"/>
        <v/>
      </c>
      <c r="N733" s="27" t="str">
        <f t="shared" si="47"/>
        <v/>
      </c>
    </row>
    <row r="734" spans="1:14" ht="15" customHeight="1" x14ac:dyDescent="0.25">
      <c r="A734" s="12">
        <v>46204</v>
      </c>
      <c r="B734" s="13" t="s">
        <v>115</v>
      </c>
      <c r="C734" s="13" t="s">
        <v>113</v>
      </c>
      <c r="D734" s="13" t="s">
        <v>97</v>
      </c>
      <c r="E734" s="14">
        <v>0.62</v>
      </c>
      <c r="F734" s="13" t="s">
        <v>55</v>
      </c>
      <c r="G734" s="15">
        <v>190</v>
      </c>
      <c r="K734" s="26" t="str">
        <f t="shared" si="44"/>
        <v/>
      </c>
      <c r="L734" s="26" t="str">
        <f t="shared" si="45"/>
        <v/>
      </c>
      <c r="M734" s="26" t="str">
        <f t="shared" si="46"/>
        <v/>
      </c>
      <c r="N734" s="27" t="str">
        <f t="shared" si="47"/>
        <v/>
      </c>
    </row>
    <row r="735" spans="1:14" ht="15" customHeight="1" x14ac:dyDescent="0.25">
      <c r="A735" s="12">
        <v>46204</v>
      </c>
      <c r="B735" s="13" t="s">
        <v>102</v>
      </c>
      <c r="C735" s="13" t="s">
        <v>99</v>
      </c>
      <c r="D735" s="13" t="s">
        <v>97</v>
      </c>
      <c r="E735" s="14">
        <v>0.65</v>
      </c>
      <c r="F735" s="13" t="s">
        <v>55</v>
      </c>
      <c r="G735" s="15">
        <v>31.94</v>
      </c>
      <c r="K735" s="26" t="str">
        <f t="shared" si="44"/>
        <v/>
      </c>
      <c r="L735" s="26" t="str">
        <f t="shared" si="45"/>
        <v/>
      </c>
      <c r="M735" s="26" t="str">
        <f t="shared" si="46"/>
        <v/>
      </c>
      <c r="N735" s="27" t="str">
        <f t="shared" si="47"/>
        <v/>
      </c>
    </row>
    <row r="736" spans="1:14" ht="15" customHeight="1" x14ac:dyDescent="0.25">
      <c r="A736" s="12">
        <v>46204</v>
      </c>
      <c r="B736" s="13" t="s">
        <v>117</v>
      </c>
      <c r="C736" s="13" t="s">
        <v>113</v>
      </c>
      <c r="D736" s="13" t="s">
        <v>97</v>
      </c>
      <c r="E736" s="14">
        <v>0.52</v>
      </c>
      <c r="F736" s="13" t="s">
        <v>56</v>
      </c>
      <c r="G736" s="15">
        <v>4.9950000000000001</v>
      </c>
      <c r="K736" s="26" t="str">
        <f t="shared" si="44"/>
        <v/>
      </c>
      <c r="L736" s="26" t="str">
        <f t="shared" si="45"/>
        <v/>
      </c>
      <c r="M736" s="26" t="str">
        <f t="shared" si="46"/>
        <v/>
      </c>
      <c r="N736" s="27" t="str">
        <f t="shared" si="47"/>
        <v/>
      </c>
    </row>
    <row r="737" spans="1:14" ht="15" customHeight="1" x14ac:dyDescent="0.25">
      <c r="A737" s="12">
        <v>46204</v>
      </c>
      <c r="B737" s="13" t="s">
        <v>95</v>
      </c>
      <c r="C737" s="13" t="s">
        <v>96</v>
      </c>
      <c r="D737" s="13" t="s">
        <v>97</v>
      </c>
      <c r="E737" s="14">
        <v>0.45</v>
      </c>
      <c r="F737" s="13" t="s">
        <v>56</v>
      </c>
      <c r="G737" s="15">
        <v>107.625</v>
      </c>
      <c r="K737" s="26" t="str">
        <f t="shared" si="44"/>
        <v/>
      </c>
      <c r="L737" s="26" t="str">
        <f t="shared" si="45"/>
        <v/>
      </c>
      <c r="M737" s="26" t="str">
        <f t="shared" si="46"/>
        <v/>
      </c>
      <c r="N737" s="27" t="str">
        <f t="shared" si="47"/>
        <v/>
      </c>
    </row>
    <row r="738" spans="1:14" ht="15" customHeight="1" x14ac:dyDescent="0.25">
      <c r="A738" s="12">
        <v>46204</v>
      </c>
      <c r="B738" s="13" t="s">
        <v>109</v>
      </c>
      <c r="C738" s="13" t="s">
        <v>99</v>
      </c>
      <c r="D738" s="13" t="s">
        <v>97</v>
      </c>
      <c r="E738" s="14">
        <v>0.57999999999999996</v>
      </c>
      <c r="F738" s="13" t="s">
        <v>55</v>
      </c>
      <c r="G738" s="15">
        <v>44.77</v>
      </c>
      <c r="K738" s="26" t="str">
        <f t="shared" si="44"/>
        <v/>
      </c>
      <c r="L738" s="26" t="str">
        <f t="shared" si="45"/>
        <v/>
      </c>
      <c r="M738" s="26" t="str">
        <f t="shared" si="46"/>
        <v/>
      </c>
      <c r="N738" s="27" t="str">
        <f t="shared" si="47"/>
        <v/>
      </c>
    </row>
    <row r="739" spans="1:14" ht="15" customHeight="1" x14ac:dyDescent="0.25">
      <c r="A739" s="12">
        <v>46204</v>
      </c>
      <c r="B739" s="13" t="s">
        <v>118</v>
      </c>
      <c r="C739" s="13" t="s">
        <v>119</v>
      </c>
      <c r="D739" s="13" t="s">
        <v>97</v>
      </c>
      <c r="E739" s="14">
        <v>0.52</v>
      </c>
      <c r="F739" s="13" t="s">
        <v>55</v>
      </c>
      <c r="G739" s="15">
        <v>747.93</v>
      </c>
      <c r="K739" s="26" t="str">
        <f t="shared" si="44"/>
        <v/>
      </c>
      <c r="L739" s="26" t="str">
        <f t="shared" si="45"/>
        <v/>
      </c>
      <c r="M739" s="26" t="str">
        <f t="shared" si="46"/>
        <v/>
      </c>
      <c r="N739" s="27" t="str">
        <f t="shared" si="47"/>
        <v/>
      </c>
    </row>
    <row r="740" spans="1:14" ht="15" customHeight="1" x14ac:dyDescent="0.25">
      <c r="A740" s="12">
        <v>46204</v>
      </c>
      <c r="B740" s="13" t="s">
        <v>120</v>
      </c>
      <c r="C740" s="13" t="s">
        <v>119</v>
      </c>
      <c r="D740" s="13" t="s">
        <v>97</v>
      </c>
      <c r="E740" s="14">
        <v>0.55000000000000004</v>
      </c>
      <c r="F740" s="13" t="s">
        <v>55</v>
      </c>
      <c r="G740" s="15">
        <v>729.42499999999995</v>
      </c>
      <c r="K740" s="26" t="str">
        <f t="shared" si="44"/>
        <v/>
      </c>
      <c r="L740" s="26" t="str">
        <f t="shared" si="45"/>
        <v/>
      </c>
      <c r="M740" s="26" t="str">
        <f t="shared" si="46"/>
        <v/>
      </c>
      <c r="N740" s="27" t="str">
        <f t="shared" si="47"/>
        <v/>
      </c>
    </row>
    <row r="741" spans="1:14" ht="15" customHeight="1" x14ac:dyDescent="0.25">
      <c r="A741" s="12">
        <v>46204</v>
      </c>
      <c r="B741" s="13" t="s">
        <v>121</v>
      </c>
      <c r="C741" s="13" t="s">
        <v>119</v>
      </c>
      <c r="D741" s="13" t="s">
        <v>97</v>
      </c>
      <c r="E741" s="14">
        <v>0.6</v>
      </c>
      <c r="F741" s="13" t="s">
        <v>55</v>
      </c>
      <c r="G741" s="15">
        <v>370.5</v>
      </c>
      <c r="K741" s="26" t="str">
        <f t="shared" si="44"/>
        <v/>
      </c>
      <c r="L741" s="26" t="str">
        <f t="shared" si="45"/>
        <v/>
      </c>
      <c r="M741" s="26" t="str">
        <f t="shared" si="46"/>
        <v/>
      </c>
      <c r="N741" s="27" t="str">
        <f t="shared" si="47"/>
        <v/>
      </c>
    </row>
    <row r="742" spans="1:14" ht="15" customHeight="1" x14ac:dyDescent="0.25">
      <c r="A742" s="12">
        <v>46204</v>
      </c>
      <c r="B742" s="13" t="s">
        <v>122</v>
      </c>
      <c r="C742" s="13" t="s">
        <v>119</v>
      </c>
      <c r="D742" s="13" t="s">
        <v>97</v>
      </c>
      <c r="E742" s="14">
        <v>0.55000000000000004</v>
      </c>
      <c r="F742" s="13" t="s">
        <v>55</v>
      </c>
      <c r="G742" s="15">
        <v>195.97</v>
      </c>
      <c r="K742" s="26" t="str">
        <f t="shared" si="44"/>
        <v/>
      </c>
      <c r="L742" s="26" t="str">
        <f t="shared" si="45"/>
        <v/>
      </c>
      <c r="M742" s="26" t="str">
        <f t="shared" si="46"/>
        <v/>
      </c>
      <c r="N742" s="27" t="str">
        <f t="shared" si="47"/>
        <v/>
      </c>
    </row>
    <row r="743" spans="1:14" ht="15" customHeight="1" x14ac:dyDescent="0.25">
      <c r="A743" s="12">
        <v>46204</v>
      </c>
      <c r="B743" s="13" t="s">
        <v>123</v>
      </c>
      <c r="C743" s="13" t="s">
        <v>119</v>
      </c>
      <c r="D743" s="13" t="s">
        <v>124</v>
      </c>
      <c r="E743" s="14">
        <v>0.65</v>
      </c>
      <c r="F743" s="13" t="s">
        <v>55</v>
      </c>
      <c r="G743" s="15">
        <v>375.1</v>
      </c>
      <c r="K743" s="26" t="str">
        <f t="shared" si="44"/>
        <v/>
      </c>
      <c r="L743" s="26" t="str">
        <f t="shared" si="45"/>
        <v/>
      </c>
      <c r="M743" s="26" t="str">
        <f t="shared" si="46"/>
        <v/>
      </c>
      <c r="N743" s="27" t="str">
        <f t="shared" si="47"/>
        <v/>
      </c>
    </row>
    <row r="744" spans="1:14" ht="15" customHeight="1" x14ac:dyDescent="0.25">
      <c r="A744" s="12">
        <v>46205</v>
      </c>
      <c r="B744" s="13" t="s">
        <v>103</v>
      </c>
      <c r="C744" s="13" t="s">
        <v>99</v>
      </c>
      <c r="D744" s="13" t="s">
        <v>97</v>
      </c>
      <c r="E744" s="14">
        <v>0.62</v>
      </c>
      <c r="F744" s="13" t="s">
        <v>55</v>
      </c>
      <c r="G744" s="15">
        <v>305.18</v>
      </c>
      <c r="K744" s="26" t="str">
        <f t="shared" si="44"/>
        <v/>
      </c>
      <c r="L744" s="26" t="str">
        <f t="shared" si="45"/>
        <v/>
      </c>
      <c r="M744" s="26" t="str">
        <f t="shared" si="46"/>
        <v/>
      </c>
      <c r="N744" s="27" t="str">
        <f t="shared" si="47"/>
        <v/>
      </c>
    </row>
    <row r="745" spans="1:14" ht="15" customHeight="1" x14ac:dyDescent="0.25">
      <c r="A745" s="12">
        <v>46205</v>
      </c>
      <c r="B745" s="13" t="s">
        <v>112</v>
      </c>
      <c r="C745" s="13" t="s">
        <v>113</v>
      </c>
      <c r="D745" s="13" t="s">
        <v>97</v>
      </c>
      <c r="E745" s="14">
        <v>0.52</v>
      </c>
      <c r="F745" s="13" t="s">
        <v>56</v>
      </c>
      <c r="G745" s="15">
        <v>18</v>
      </c>
      <c r="K745" s="26" t="str">
        <f t="shared" si="44"/>
        <v/>
      </c>
      <c r="L745" s="26" t="str">
        <f t="shared" si="45"/>
        <v/>
      </c>
      <c r="M745" s="26" t="str">
        <f t="shared" si="46"/>
        <v/>
      </c>
      <c r="N745" s="27" t="str">
        <f t="shared" si="47"/>
        <v/>
      </c>
    </row>
    <row r="746" spans="1:14" ht="15" customHeight="1" x14ac:dyDescent="0.25">
      <c r="A746" s="12">
        <v>46205</v>
      </c>
      <c r="B746" s="13" t="s">
        <v>105</v>
      </c>
      <c r="C746" s="13" t="s">
        <v>96</v>
      </c>
      <c r="D746" s="13" t="s">
        <v>97</v>
      </c>
      <c r="E746" s="14">
        <v>0.55000000000000004</v>
      </c>
      <c r="F746" s="13" t="s">
        <v>56</v>
      </c>
      <c r="G746" s="15">
        <v>63.08</v>
      </c>
      <c r="K746" s="26" t="str">
        <f t="shared" si="44"/>
        <v/>
      </c>
      <c r="L746" s="26" t="str">
        <f t="shared" si="45"/>
        <v/>
      </c>
      <c r="M746" s="26" t="str">
        <f t="shared" si="46"/>
        <v/>
      </c>
      <c r="N746" s="27" t="str">
        <f t="shared" si="47"/>
        <v/>
      </c>
    </row>
    <row r="747" spans="1:14" ht="15" customHeight="1" x14ac:dyDescent="0.25">
      <c r="A747" s="12">
        <v>46205</v>
      </c>
      <c r="B747" s="13" t="s">
        <v>114</v>
      </c>
      <c r="C747" s="13" t="s">
        <v>113</v>
      </c>
      <c r="D747" s="13" t="s">
        <v>97</v>
      </c>
      <c r="E747" s="14">
        <v>0.42</v>
      </c>
      <c r="F747" s="13" t="s">
        <v>56</v>
      </c>
      <c r="G747" s="15">
        <v>210.995</v>
      </c>
      <c r="K747" s="26" t="str">
        <f t="shared" si="44"/>
        <v/>
      </c>
      <c r="L747" s="26" t="str">
        <f t="shared" si="45"/>
        <v/>
      </c>
      <c r="M747" s="26" t="str">
        <f t="shared" si="46"/>
        <v/>
      </c>
      <c r="N747" s="27" t="str">
        <f t="shared" si="47"/>
        <v/>
      </c>
    </row>
    <row r="748" spans="1:14" ht="15" customHeight="1" x14ac:dyDescent="0.25">
      <c r="A748" s="12">
        <v>46205</v>
      </c>
      <c r="B748" s="13" t="s">
        <v>116</v>
      </c>
      <c r="C748" s="13" t="s">
        <v>113</v>
      </c>
      <c r="D748" s="13" t="s">
        <v>97</v>
      </c>
      <c r="E748" s="14">
        <v>0.42</v>
      </c>
      <c r="F748" s="13" t="s">
        <v>56</v>
      </c>
      <c r="G748" s="15">
        <v>17.015000000000001</v>
      </c>
      <c r="K748" s="26" t="str">
        <f t="shared" si="44"/>
        <v/>
      </c>
      <c r="L748" s="26" t="str">
        <f t="shared" si="45"/>
        <v/>
      </c>
      <c r="M748" s="26" t="str">
        <f t="shared" si="46"/>
        <v/>
      </c>
      <c r="N748" s="27" t="str">
        <f t="shared" si="47"/>
        <v/>
      </c>
    </row>
    <row r="749" spans="1:14" ht="15" customHeight="1" x14ac:dyDescent="0.25">
      <c r="A749" s="12">
        <v>46205</v>
      </c>
      <c r="B749" s="13" t="s">
        <v>104</v>
      </c>
      <c r="C749" s="13" t="s">
        <v>96</v>
      </c>
      <c r="D749" s="13" t="s">
        <v>97</v>
      </c>
      <c r="E749" s="14">
        <v>0.38</v>
      </c>
      <c r="F749" s="13" t="s">
        <v>55</v>
      </c>
      <c r="G749" s="15">
        <v>28.19</v>
      </c>
      <c r="K749" s="26" t="str">
        <f t="shared" si="44"/>
        <v/>
      </c>
      <c r="L749" s="26" t="str">
        <f t="shared" si="45"/>
        <v/>
      </c>
      <c r="M749" s="26" t="str">
        <f t="shared" si="46"/>
        <v/>
      </c>
      <c r="N749" s="27" t="str">
        <f t="shared" si="47"/>
        <v/>
      </c>
    </row>
    <row r="750" spans="1:14" ht="15" customHeight="1" x14ac:dyDescent="0.25">
      <c r="A750" s="12">
        <v>46205</v>
      </c>
      <c r="B750" s="13" t="s">
        <v>111</v>
      </c>
      <c r="C750" s="13" t="s">
        <v>113</v>
      </c>
      <c r="D750" s="13" t="s">
        <v>97</v>
      </c>
      <c r="E750" s="14">
        <v>0.55000000000000004</v>
      </c>
      <c r="F750" s="13" t="s">
        <v>55</v>
      </c>
      <c r="G750" s="15">
        <v>66.135000000000005</v>
      </c>
      <c r="K750" s="26" t="str">
        <f t="shared" si="44"/>
        <v/>
      </c>
      <c r="L750" s="26" t="str">
        <f t="shared" si="45"/>
        <v/>
      </c>
      <c r="M750" s="26" t="str">
        <f t="shared" si="46"/>
        <v/>
      </c>
      <c r="N750" s="27" t="str">
        <f t="shared" si="47"/>
        <v/>
      </c>
    </row>
    <row r="751" spans="1:14" ht="15" customHeight="1" x14ac:dyDescent="0.25">
      <c r="A751" s="12">
        <v>46205</v>
      </c>
      <c r="B751" s="13" t="s">
        <v>107</v>
      </c>
      <c r="C751" s="13" t="s">
        <v>96</v>
      </c>
      <c r="D751" s="13" t="s">
        <v>97</v>
      </c>
      <c r="E751" s="14">
        <v>0.52</v>
      </c>
      <c r="F751" s="13" t="s">
        <v>55</v>
      </c>
      <c r="G751" s="15">
        <v>75.349999999999994</v>
      </c>
      <c r="K751" s="26" t="str">
        <f t="shared" si="44"/>
        <v/>
      </c>
      <c r="L751" s="26" t="str">
        <f t="shared" si="45"/>
        <v/>
      </c>
      <c r="M751" s="26" t="str">
        <f t="shared" si="46"/>
        <v/>
      </c>
      <c r="N751" s="27" t="str">
        <f t="shared" si="47"/>
        <v/>
      </c>
    </row>
    <row r="752" spans="1:14" ht="15" customHeight="1" x14ac:dyDescent="0.25">
      <c r="A752" s="12">
        <v>46205</v>
      </c>
      <c r="B752" s="13" t="s">
        <v>106</v>
      </c>
      <c r="C752" s="13" t="s">
        <v>99</v>
      </c>
      <c r="D752" s="13" t="s">
        <v>97</v>
      </c>
      <c r="E752" s="14">
        <v>0.65</v>
      </c>
      <c r="F752" s="13" t="s">
        <v>55</v>
      </c>
      <c r="G752" s="15">
        <v>333.39499999999998</v>
      </c>
      <c r="K752" s="26" t="str">
        <f t="shared" si="44"/>
        <v/>
      </c>
      <c r="L752" s="26" t="str">
        <f t="shared" si="45"/>
        <v/>
      </c>
      <c r="M752" s="26" t="str">
        <f t="shared" si="46"/>
        <v/>
      </c>
      <c r="N752" s="27" t="str">
        <f t="shared" si="47"/>
        <v/>
      </c>
    </row>
    <row r="753" spans="1:14" ht="15" customHeight="1" x14ac:dyDescent="0.25">
      <c r="A753" s="12">
        <v>46205</v>
      </c>
      <c r="B753" s="13" t="s">
        <v>100</v>
      </c>
      <c r="C753" s="13" t="s">
        <v>96</v>
      </c>
      <c r="D753" s="13" t="s">
        <v>97</v>
      </c>
      <c r="E753" s="14">
        <v>0.55000000000000004</v>
      </c>
      <c r="F753" s="13" t="s">
        <v>56</v>
      </c>
      <c r="G753" s="15">
        <v>389.56</v>
      </c>
      <c r="K753" s="26" t="str">
        <f t="shared" si="44"/>
        <v/>
      </c>
      <c r="L753" s="26" t="str">
        <f t="shared" si="45"/>
        <v/>
      </c>
      <c r="M753" s="26" t="str">
        <f t="shared" si="46"/>
        <v/>
      </c>
      <c r="N753" s="27" t="str">
        <f t="shared" si="47"/>
        <v/>
      </c>
    </row>
    <row r="754" spans="1:14" ht="15" customHeight="1" x14ac:dyDescent="0.25">
      <c r="A754" s="12">
        <v>46205</v>
      </c>
      <c r="B754" s="13" t="s">
        <v>101</v>
      </c>
      <c r="C754" s="13" t="s">
        <v>99</v>
      </c>
      <c r="D754" s="13" t="s">
        <v>97</v>
      </c>
      <c r="E754" s="14">
        <v>0.48</v>
      </c>
      <c r="F754" s="13" t="s">
        <v>55</v>
      </c>
      <c r="G754" s="15">
        <v>43.94</v>
      </c>
      <c r="K754" s="26" t="str">
        <f t="shared" si="44"/>
        <v/>
      </c>
      <c r="L754" s="26" t="str">
        <f t="shared" si="45"/>
        <v/>
      </c>
      <c r="M754" s="26" t="str">
        <f t="shared" si="46"/>
        <v/>
      </c>
      <c r="N754" s="27" t="str">
        <f t="shared" si="47"/>
        <v/>
      </c>
    </row>
    <row r="755" spans="1:14" ht="15" customHeight="1" x14ac:dyDescent="0.25">
      <c r="A755" s="12">
        <v>46205</v>
      </c>
      <c r="B755" s="13" t="s">
        <v>98</v>
      </c>
      <c r="C755" s="13" t="s">
        <v>96</v>
      </c>
      <c r="D755" s="13" t="s">
        <v>97</v>
      </c>
      <c r="E755" s="14">
        <v>0.55000000000000004</v>
      </c>
      <c r="F755" s="13" t="s">
        <v>55</v>
      </c>
      <c r="G755" s="15">
        <v>64.754999999999995</v>
      </c>
      <c r="K755" s="26" t="str">
        <f t="shared" si="44"/>
        <v/>
      </c>
      <c r="L755" s="26" t="str">
        <f t="shared" si="45"/>
        <v/>
      </c>
      <c r="M755" s="26" t="str">
        <f t="shared" si="46"/>
        <v/>
      </c>
      <c r="N755" s="27" t="str">
        <f t="shared" si="47"/>
        <v/>
      </c>
    </row>
    <row r="756" spans="1:14" ht="15" customHeight="1" x14ac:dyDescent="0.25">
      <c r="A756" s="12">
        <v>46205</v>
      </c>
      <c r="B756" s="13" t="s">
        <v>110</v>
      </c>
      <c r="C756" s="13" t="s">
        <v>99</v>
      </c>
      <c r="D756" s="13" t="s">
        <v>97</v>
      </c>
      <c r="E756" s="14">
        <v>0.68</v>
      </c>
      <c r="F756" s="13" t="s">
        <v>55</v>
      </c>
      <c r="G756" s="15">
        <v>181.47499999999999</v>
      </c>
      <c r="K756" s="26" t="str">
        <f t="shared" si="44"/>
        <v/>
      </c>
      <c r="L756" s="26" t="str">
        <f t="shared" si="45"/>
        <v/>
      </c>
      <c r="M756" s="26" t="str">
        <f t="shared" si="46"/>
        <v/>
      </c>
      <c r="N756" s="27" t="str">
        <f t="shared" si="47"/>
        <v/>
      </c>
    </row>
    <row r="757" spans="1:14" ht="15" customHeight="1" x14ac:dyDescent="0.25">
      <c r="A757" s="12">
        <v>46205</v>
      </c>
      <c r="B757" s="13" t="s">
        <v>108</v>
      </c>
      <c r="C757" s="13" t="s">
        <v>99</v>
      </c>
      <c r="D757" s="13" t="s">
        <v>97</v>
      </c>
      <c r="E757" s="14">
        <v>0.62</v>
      </c>
      <c r="F757" s="13" t="s">
        <v>55</v>
      </c>
      <c r="G757" s="15">
        <v>688.85599999999999</v>
      </c>
      <c r="K757" s="26" t="str">
        <f t="shared" si="44"/>
        <v/>
      </c>
      <c r="L757" s="26" t="str">
        <f t="shared" si="45"/>
        <v/>
      </c>
      <c r="M757" s="26" t="str">
        <f t="shared" si="46"/>
        <v/>
      </c>
      <c r="N757" s="27" t="str">
        <f t="shared" si="47"/>
        <v/>
      </c>
    </row>
    <row r="758" spans="1:14" ht="15" customHeight="1" x14ac:dyDescent="0.25">
      <c r="A758" s="12">
        <v>46205</v>
      </c>
      <c r="B758" s="13" t="s">
        <v>115</v>
      </c>
      <c r="C758" s="13" t="s">
        <v>113</v>
      </c>
      <c r="D758" s="13" t="s">
        <v>97</v>
      </c>
      <c r="E758" s="14">
        <v>0.62</v>
      </c>
      <c r="F758" s="13" t="s">
        <v>56</v>
      </c>
      <c r="G758" s="15">
        <v>197.66499999999999</v>
      </c>
      <c r="K758" s="26" t="str">
        <f t="shared" si="44"/>
        <v/>
      </c>
      <c r="L758" s="26" t="str">
        <f t="shared" si="45"/>
        <v/>
      </c>
      <c r="M758" s="26" t="str">
        <f t="shared" si="46"/>
        <v/>
      </c>
      <c r="N758" s="27" t="str">
        <f t="shared" si="47"/>
        <v/>
      </c>
    </row>
    <row r="759" spans="1:14" ht="15" customHeight="1" x14ac:dyDescent="0.25">
      <c r="A759" s="12">
        <v>46205</v>
      </c>
      <c r="B759" s="13" t="s">
        <v>102</v>
      </c>
      <c r="C759" s="13" t="s">
        <v>99</v>
      </c>
      <c r="D759" s="13" t="s">
        <v>97</v>
      </c>
      <c r="E759" s="14">
        <v>0.65</v>
      </c>
      <c r="F759" s="13" t="s">
        <v>55</v>
      </c>
      <c r="G759" s="15">
        <v>32.228900000000003</v>
      </c>
      <c r="K759" s="26" t="str">
        <f t="shared" si="44"/>
        <v/>
      </c>
      <c r="L759" s="26" t="str">
        <f t="shared" si="45"/>
        <v/>
      </c>
      <c r="M759" s="26" t="str">
        <f t="shared" si="46"/>
        <v/>
      </c>
      <c r="N759" s="27" t="str">
        <f t="shared" si="47"/>
        <v/>
      </c>
    </row>
    <row r="760" spans="1:14" ht="15" customHeight="1" x14ac:dyDescent="0.25">
      <c r="A760" s="12">
        <v>46205</v>
      </c>
      <c r="B760" s="13" t="s">
        <v>117</v>
      </c>
      <c r="C760" s="13" t="s">
        <v>113</v>
      </c>
      <c r="D760" s="13" t="s">
        <v>97</v>
      </c>
      <c r="E760" s="14">
        <v>0.42</v>
      </c>
      <c r="F760" s="13" t="s">
        <v>56</v>
      </c>
      <c r="G760" s="15">
        <v>4.5926</v>
      </c>
      <c r="K760" s="26" t="str">
        <f t="shared" si="44"/>
        <v/>
      </c>
      <c r="L760" s="26" t="str">
        <f t="shared" si="45"/>
        <v/>
      </c>
      <c r="M760" s="26" t="str">
        <f t="shared" si="46"/>
        <v/>
      </c>
      <c r="N760" s="27" t="str">
        <f t="shared" si="47"/>
        <v/>
      </c>
    </row>
    <row r="761" spans="1:14" ht="15" customHeight="1" x14ac:dyDescent="0.25">
      <c r="A761" s="12">
        <v>46205</v>
      </c>
      <c r="B761" s="13" t="s">
        <v>95</v>
      </c>
      <c r="C761" s="13" t="s">
        <v>96</v>
      </c>
      <c r="D761" s="13" t="s">
        <v>97</v>
      </c>
      <c r="E761" s="14">
        <v>0.45</v>
      </c>
      <c r="F761" s="13" t="s">
        <v>55</v>
      </c>
      <c r="G761" s="15">
        <v>110.99</v>
      </c>
      <c r="K761" s="26" t="str">
        <f t="shared" si="44"/>
        <v/>
      </c>
      <c r="L761" s="26" t="str">
        <f t="shared" si="45"/>
        <v/>
      </c>
      <c r="M761" s="26" t="str">
        <f t="shared" si="46"/>
        <v/>
      </c>
      <c r="N761" s="27" t="str">
        <f t="shared" si="47"/>
        <v/>
      </c>
    </row>
    <row r="762" spans="1:14" ht="15" customHeight="1" x14ac:dyDescent="0.25">
      <c r="A762" s="12">
        <v>46205</v>
      </c>
      <c r="B762" s="13" t="s">
        <v>109</v>
      </c>
      <c r="C762" s="13" t="s">
        <v>99</v>
      </c>
      <c r="D762" s="13" t="s">
        <v>97</v>
      </c>
      <c r="E762" s="14">
        <v>0.57999999999999996</v>
      </c>
      <c r="F762" s="13" t="s">
        <v>55</v>
      </c>
      <c r="G762" s="15">
        <v>45.274999999999999</v>
      </c>
      <c r="K762" s="26" t="str">
        <f t="shared" si="44"/>
        <v/>
      </c>
      <c r="L762" s="26" t="str">
        <f t="shared" si="45"/>
        <v/>
      </c>
      <c r="M762" s="26" t="str">
        <f t="shared" si="46"/>
        <v/>
      </c>
      <c r="N762" s="27" t="str">
        <f t="shared" si="47"/>
        <v/>
      </c>
    </row>
    <row r="763" spans="1:14" ht="15" customHeight="1" x14ac:dyDescent="0.25">
      <c r="A763" s="12">
        <v>46205</v>
      </c>
      <c r="B763" s="13" t="s">
        <v>118</v>
      </c>
      <c r="C763" s="13" t="s">
        <v>119</v>
      </c>
      <c r="D763" s="13" t="s">
        <v>97</v>
      </c>
      <c r="E763" s="14">
        <v>0.55000000000000004</v>
      </c>
      <c r="F763" s="13" t="s">
        <v>55</v>
      </c>
      <c r="G763" s="15">
        <v>747.97</v>
      </c>
      <c r="K763" s="26" t="str">
        <f t="shared" si="44"/>
        <v/>
      </c>
      <c r="L763" s="26" t="str">
        <f t="shared" si="45"/>
        <v/>
      </c>
      <c r="M763" s="26" t="str">
        <f t="shared" si="46"/>
        <v/>
      </c>
      <c r="N763" s="27" t="str">
        <f t="shared" si="47"/>
        <v/>
      </c>
    </row>
    <row r="764" spans="1:14" ht="15" customHeight="1" x14ac:dyDescent="0.25">
      <c r="A764" s="12">
        <v>46205</v>
      </c>
      <c r="B764" s="13" t="s">
        <v>120</v>
      </c>
      <c r="C764" s="13" t="s">
        <v>119</v>
      </c>
      <c r="D764" s="13" t="s">
        <v>97</v>
      </c>
      <c r="E764" s="14">
        <v>0.55000000000000004</v>
      </c>
      <c r="F764" s="13" t="s">
        <v>55</v>
      </c>
      <c r="G764" s="15">
        <v>721.125</v>
      </c>
      <c r="K764" s="26" t="str">
        <f t="shared" si="44"/>
        <v/>
      </c>
      <c r="L764" s="26" t="str">
        <f t="shared" si="45"/>
        <v/>
      </c>
      <c r="M764" s="26" t="str">
        <f t="shared" si="46"/>
        <v/>
      </c>
      <c r="N764" s="27" t="str">
        <f t="shared" si="47"/>
        <v/>
      </c>
    </row>
    <row r="765" spans="1:14" ht="15" customHeight="1" x14ac:dyDescent="0.25">
      <c r="A765" s="12">
        <v>46205</v>
      </c>
      <c r="B765" s="13" t="s">
        <v>121</v>
      </c>
      <c r="C765" s="13" t="s">
        <v>119</v>
      </c>
      <c r="D765" s="13" t="s">
        <v>97</v>
      </c>
      <c r="E765" s="14">
        <v>0.57999999999999996</v>
      </c>
      <c r="F765" s="13" t="s">
        <v>55</v>
      </c>
      <c r="G765" s="15">
        <v>370.39</v>
      </c>
      <c r="K765" s="26" t="str">
        <f t="shared" si="44"/>
        <v/>
      </c>
      <c r="L765" s="26" t="str">
        <f t="shared" si="45"/>
        <v/>
      </c>
      <c r="M765" s="26" t="str">
        <f t="shared" si="46"/>
        <v/>
      </c>
      <c r="N765" s="27" t="str">
        <f t="shared" si="47"/>
        <v/>
      </c>
    </row>
    <row r="766" spans="1:14" ht="15" customHeight="1" x14ac:dyDescent="0.25">
      <c r="A766" s="12">
        <v>46205</v>
      </c>
      <c r="B766" s="13" t="s">
        <v>122</v>
      </c>
      <c r="C766" s="13" t="s">
        <v>119</v>
      </c>
      <c r="D766" s="13" t="s">
        <v>97</v>
      </c>
      <c r="E766" s="14">
        <v>0.57999999999999996</v>
      </c>
      <c r="F766" s="13" t="s">
        <v>56</v>
      </c>
      <c r="G766" s="15">
        <v>196.80500000000001</v>
      </c>
      <c r="K766" s="26" t="str">
        <f t="shared" si="44"/>
        <v/>
      </c>
      <c r="L766" s="26" t="str">
        <f t="shared" si="45"/>
        <v/>
      </c>
      <c r="M766" s="26" t="str">
        <f t="shared" si="46"/>
        <v/>
      </c>
      <c r="N766" s="27" t="str">
        <f t="shared" si="47"/>
        <v/>
      </c>
    </row>
    <row r="767" spans="1:14" ht="15" customHeight="1" x14ac:dyDescent="0.25">
      <c r="A767" s="12">
        <v>46205</v>
      </c>
      <c r="B767" s="13" t="s">
        <v>123</v>
      </c>
      <c r="C767" s="13" t="s">
        <v>119</v>
      </c>
      <c r="D767" s="13" t="s">
        <v>97</v>
      </c>
      <c r="E767" s="14">
        <v>0.48</v>
      </c>
      <c r="F767" s="13" t="s">
        <v>56</v>
      </c>
      <c r="G767" s="15">
        <v>377.91</v>
      </c>
      <c r="K767" s="26" t="str">
        <f t="shared" si="44"/>
        <v/>
      </c>
      <c r="L767" s="26" t="str">
        <f t="shared" si="45"/>
        <v/>
      </c>
      <c r="M767" s="26" t="str">
        <f t="shared" si="46"/>
        <v/>
      </c>
      <c r="N767" s="27" t="str">
        <f t="shared" si="47"/>
        <v/>
      </c>
    </row>
    <row r="768" spans="1:14" ht="15" customHeight="1" x14ac:dyDescent="0.25">
      <c r="A768" s="12">
        <v>46209</v>
      </c>
      <c r="B768" s="13" t="s">
        <v>103</v>
      </c>
      <c r="C768" s="13" t="s">
        <v>99</v>
      </c>
      <c r="D768" s="13" t="s">
        <v>97</v>
      </c>
      <c r="E768" s="14">
        <v>0.65</v>
      </c>
      <c r="F768" s="13" t="s">
        <v>55</v>
      </c>
      <c r="G768" s="15">
        <v>311.39999999999998</v>
      </c>
      <c r="K768" s="26" t="str">
        <f t="shared" si="44"/>
        <v/>
      </c>
      <c r="L768" s="26" t="str">
        <f t="shared" si="45"/>
        <v/>
      </c>
      <c r="M768" s="26" t="str">
        <f t="shared" si="46"/>
        <v/>
      </c>
      <c r="N768" s="27" t="str">
        <f t="shared" si="47"/>
        <v/>
      </c>
    </row>
    <row r="769" spans="1:14" ht="15" customHeight="1" x14ac:dyDescent="0.25">
      <c r="A769" s="12">
        <v>46209</v>
      </c>
      <c r="B769" s="13" t="s">
        <v>112</v>
      </c>
      <c r="C769" s="13" t="s">
        <v>113</v>
      </c>
      <c r="D769" s="13" t="s">
        <v>97</v>
      </c>
      <c r="E769" s="14">
        <v>0.45</v>
      </c>
      <c r="F769" s="13" t="s">
        <v>55</v>
      </c>
      <c r="G769" s="15">
        <v>17.399899999999999</v>
      </c>
      <c r="K769" s="26" t="str">
        <f t="shared" si="44"/>
        <v/>
      </c>
      <c r="L769" s="26" t="str">
        <f t="shared" si="45"/>
        <v/>
      </c>
      <c r="M769" s="26" t="str">
        <f t="shared" si="46"/>
        <v/>
      </c>
      <c r="N769" s="27" t="str">
        <f t="shared" si="47"/>
        <v/>
      </c>
    </row>
    <row r="770" spans="1:14" ht="15" customHeight="1" x14ac:dyDescent="0.25">
      <c r="A770" s="12">
        <v>46209</v>
      </c>
      <c r="B770" s="13" t="s">
        <v>105</v>
      </c>
      <c r="C770" s="13" t="s">
        <v>96</v>
      </c>
      <c r="D770" s="13" t="s">
        <v>97</v>
      </c>
      <c r="E770" s="14">
        <v>0.52</v>
      </c>
      <c r="F770" s="13" t="s">
        <v>56</v>
      </c>
      <c r="G770" s="15">
        <v>64.14</v>
      </c>
      <c r="K770" s="26" t="str">
        <f t="shared" si="44"/>
        <v/>
      </c>
      <c r="L770" s="26" t="str">
        <f t="shared" si="45"/>
        <v/>
      </c>
      <c r="M770" s="26" t="str">
        <f t="shared" si="46"/>
        <v/>
      </c>
      <c r="N770" s="27" t="str">
        <f t="shared" si="47"/>
        <v/>
      </c>
    </row>
    <row r="771" spans="1:14" ht="15" customHeight="1" x14ac:dyDescent="0.25">
      <c r="A771" s="12">
        <v>46209</v>
      </c>
      <c r="B771" s="13" t="s">
        <v>114</v>
      </c>
      <c r="C771" s="13" t="s">
        <v>113</v>
      </c>
      <c r="D771" s="13" t="s">
        <v>97</v>
      </c>
      <c r="E771" s="14">
        <v>0.42</v>
      </c>
      <c r="F771" s="13" t="s">
        <v>56</v>
      </c>
      <c r="G771" s="15">
        <v>195.82499999999999</v>
      </c>
      <c r="K771" s="26" t="str">
        <f t="shared" si="44"/>
        <v/>
      </c>
      <c r="L771" s="26" t="str">
        <f t="shared" si="45"/>
        <v/>
      </c>
      <c r="M771" s="26" t="str">
        <f t="shared" si="46"/>
        <v/>
      </c>
      <c r="N771" s="27" t="str">
        <f t="shared" si="47"/>
        <v/>
      </c>
    </row>
    <row r="772" spans="1:14" ht="15" customHeight="1" x14ac:dyDescent="0.25">
      <c r="A772" s="12">
        <v>46209</v>
      </c>
      <c r="B772" s="13" t="s">
        <v>116</v>
      </c>
      <c r="C772" s="13" t="s">
        <v>113</v>
      </c>
      <c r="D772" s="13" t="s">
        <v>97</v>
      </c>
      <c r="E772" s="14">
        <v>0.45</v>
      </c>
      <c r="F772" s="13" t="s">
        <v>56</v>
      </c>
      <c r="G772" s="15">
        <v>17.37</v>
      </c>
      <c r="K772" s="26" t="str">
        <f t="shared" si="44"/>
        <v/>
      </c>
      <c r="L772" s="26" t="str">
        <f t="shared" si="45"/>
        <v/>
      </c>
      <c r="M772" s="26" t="str">
        <f t="shared" si="46"/>
        <v/>
      </c>
      <c r="N772" s="27" t="str">
        <f t="shared" si="47"/>
        <v/>
      </c>
    </row>
    <row r="773" spans="1:14" ht="15" customHeight="1" x14ac:dyDescent="0.25">
      <c r="A773" s="12">
        <v>46209</v>
      </c>
      <c r="B773" s="13" t="s">
        <v>104</v>
      </c>
      <c r="C773" s="13" t="s">
        <v>96</v>
      </c>
      <c r="D773" s="13" t="s">
        <v>97</v>
      </c>
      <c r="E773" s="14">
        <v>0.38</v>
      </c>
      <c r="F773" s="13" t="s">
        <v>55</v>
      </c>
      <c r="G773" s="15">
        <v>27.145</v>
      </c>
      <c r="K773" s="26" t="str">
        <f t="shared" ref="K773:K836" si="48">IF(H773="","",(H773-G773)/G773)</f>
        <v/>
      </c>
      <c r="L773" s="26" t="str">
        <f t="shared" ref="L773:L836" si="49">IF(I773="","",(I773-G773)/G773)</f>
        <v/>
      </c>
      <c r="M773" s="26" t="str">
        <f t="shared" ref="M773:M836" si="50">IF(J773="","",(J773-G773)/G773)</f>
        <v/>
      </c>
      <c r="N773" s="27" t="str">
        <f t="shared" ref="N773:N836" si="51">IF(H773="","",IF(D773="HOLD",IF(ABS(K773)&lt;0.03,"YES","NO"),IF(D773="BUY",IF(K773&gt;0,"YES","NO"),IF(D773="SELL",IF(K773&lt;0,"YES","NO"),""))))</f>
        <v/>
      </c>
    </row>
    <row r="774" spans="1:14" ht="15" customHeight="1" x14ac:dyDescent="0.25">
      <c r="A774" s="12">
        <v>46209</v>
      </c>
      <c r="B774" s="13" t="s">
        <v>111</v>
      </c>
      <c r="C774" s="13" t="s">
        <v>113</v>
      </c>
      <c r="D774" s="13" t="s">
        <v>97</v>
      </c>
      <c r="E774" s="14">
        <v>0.55000000000000004</v>
      </c>
      <c r="F774" s="13" t="s">
        <v>56</v>
      </c>
      <c r="G774" s="15">
        <v>68.385000000000005</v>
      </c>
      <c r="K774" s="26" t="str">
        <f t="shared" si="48"/>
        <v/>
      </c>
      <c r="L774" s="26" t="str">
        <f t="shared" si="49"/>
        <v/>
      </c>
      <c r="M774" s="26" t="str">
        <f t="shared" si="50"/>
        <v/>
      </c>
      <c r="N774" s="27" t="str">
        <f t="shared" si="51"/>
        <v/>
      </c>
    </row>
    <row r="775" spans="1:14" ht="15" customHeight="1" x14ac:dyDescent="0.25">
      <c r="A775" s="12">
        <v>46209</v>
      </c>
      <c r="B775" s="13" t="s">
        <v>107</v>
      </c>
      <c r="C775" s="13" t="s">
        <v>96</v>
      </c>
      <c r="D775" s="13" t="s">
        <v>97</v>
      </c>
      <c r="E775" s="14">
        <v>0.52</v>
      </c>
      <c r="F775" s="13" t="s">
        <v>56</v>
      </c>
      <c r="G775" s="15">
        <v>76.48</v>
      </c>
      <c r="K775" s="26" t="str">
        <f t="shared" si="48"/>
        <v/>
      </c>
      <c r="L775" s="26" t="str">
        <f t="shared" si="49"/>
        <v/>
      </c>
      <c r="M775" s="26" t="str">
        <f t="shared" si="50"/>
        <v/>
      </c>
      <c r="N775" s="27" t="str">
        <f t="shared" si="51"/>
        <v/>
      </c>
    </row>
    <row r="776" spans="1:14" ht="15" customHeight="1" x14ac:dyDescent="0.25">
      <c r="A776" s="12">
        <v>46209</v>
      </c>
      <c r="B776" s="13" t="s">
        <v>106</v>
      </c>
      <c r="C776" s="13" t="s">
        <v>99</v>
      </c>
      <c r="D776" s="13" t="s">
        <v>97</v>
      </c>
      <c r="E776" s="14">
        <v>0.63</v>
      </c>
      <c r="F776" s="13" t="s">
        <v>55</v>
      </c>
      <c r="G776" s="15">
        <v>335.37</v>
      </c>
      <c r="K776" s="26" t="str">
        <f t="shared" si="48"/>
        <v/>
      </c>
      <c r="L776" s="26" t="str">
        <f t="shared" si="49"/>
        <v/>
      </c>
      <c r="M776" s="26" t="str">
        <f t="shared" si="50"/>
        <v/>
      </c>
      <c r="N776" s="27" t="str">
        <f t="shared" si="51"/>
        <v/>
      </c>
    </row>
    <row r="777" spans="1:14" ht="15" customHeight="1" x14ac:dyDescent="0.25">
      <c r="A777" s="12">
        <v>46209</v>
      </c>
      <c r="B777" s="13" t="s">
        <v>100</v>
      </c>
      <c r="C777" s="13" t="s">
        <v>96</v>
      </c>
      <c r="D777" s="13" t="s">
        <v>97</v>
      </c>
      <c r="E777" s="14">
        <v>0.55000000000000004</v>
      </c>
      <c r="F777" s="13" t="s">
        <v>55</v>
      </c>
      <c r="G777" s="15">
        <v>382.72500000000002</v>
      </c>
      <c r="K777" s="26" t="str">
        <f t="shared" si="48"/>
        <v/>
      </c>
      <c r="L777" s="26" t="str">
        <f t="shared" si="49"/>
        <v/>
      </c>
      <c r="M777" s="26" t="str">
        <f t="shared" si="50"/>
        <v/>
      </c>
      <c r="N777" s="27" t="str">
        <f t="shared" si="51"/>
        <v/>
      </c>
    </row>
    <row r="778" spans="1:14" ht="15" customHeight="1" x14ac:dyDescent="0.25">
      <c r="A778" s="12">
        <v>46209</v>
      </c>
      <c r="B778" s="13" t="s">
        <v>101</v>
      </c>
      <c r="C778" s="13" t="s">
        <v>99</v>
      </c>
      <c r="D778" s="13" t="s">
        <v>97</v>
      </c>
      <c r="E778" s="14">
        <v>0.52</v>
      </c>
      <c r="F778" s="13" t="s">
        <v>55</v>
      </c>
      <c r="G778" s="15">
        <v>41.884999999999998</v>
      </c>
      <c r="K778" s="26" t="str">
        <f t="shared" si="48"/>
        <v/>
      </c>
      <c r="L778" s="26" t="str">
        <f t="shared" si="49"/>
        <v/>
      </c>
      <c r="M778" s="26" t="str">
        <f t="shared" si="50"/>
        <v/>
      </c>
      <c r="N778" s="27" t="str">
        <f t="shared" si="51"/>
        <v/>
      </c>
    </row>
    <row r="779" spans="1:14" ht="15" customHeight="1" x14ac:dyDescent="0.25">
      <c r="A779" s="12">
        <v>46209</v>
      </c>
      <c r="B779" s="13" t="s">
        <v>98</v>
      </c>
      <c r="C779" s="13" t="s">
        <v>96</v>
      </c>
      <c r="D779" s="13" t="s">
        <v>97</v>
      </c>
      <c r="E779" s="14">
        <v>0.57999999999999996</v>
      </c>
      <c r="F779" s="13" t="s">
        <v>55</v>
      </c>
      <c r="G779" s="15">
        <v>64.319999999999993</v>
      </c>
      <c r="K779" s="26" t="str">
        <f t="shared" si="48"/>
        <v/>
      </c>
      <c r="L779" s="26" t="str">
        <f t="shared" si="49"/>
        <v/>
      </c>
      <c r="M779" s="26" t="str">
        <f t="shared" si="50"/>
        <v/>
      </c>
      <c r="N779" s="27" t="str">
        <f t="shared" si="51"/>
        <v/>
      </c>
    </row>
    <row r="780" spans="1:14" ht="15" customHeight="1" x14ac:dyDescent="0.25">
      <c r="A780" s="12">
        <v>46209</v>
      </c>
      <c r="B780" s="13" t="s">
        <v>110</v>
      </c>
      <c r="C780" s="13" t="s">
        <v>99</v>
      </c>
      <c r="D780" s="13" t="s">
        <v>97</v>
      </c>
      <c r="E780" s="14">
        <v>0.65</v>
      </c>
      <c r="F780" s="13" t="s">
        <v>55</v>
      </c>
      <c r="G780" s="15">
        <v>181.99</v>
      </c>
      <c r="K780" s="26" t="str">
        <f t="shared" si="48"/>
        <v/>
      </c>
      <c r="L780" s="26" t="str">
        <f t="shared" si="49"/>
        <v/>
      </c>
      <c r="M780" s="26" t="str">
        <f t="shared" si="50"/>
        <v/>
      </c>
      <c r="N780" s="27" t="str">
        <f t="shared" si="51"/>
        <v/>
      </c>
    </row>
    <row r="781" spans="1:14" ht="15" customHeight="1" x14ac:dyDescent="0.25">
      <c r="A781" s="12">
        <v>46209</v>
      </c>
      <c r="B781" s="13" t="s">
        <v>108</v>
      </c>
      <c r="C781" s="13" t="s">
        <v>99</v>
      </c>
      <c r="D781" s="13" t="s">
        <v>97</v>
      </c>
      <c r="E781" s="14">
        <v>0.62</v>
      </c>
      <c r="F781" s="13" t="s">
        <v>56</v>
      </c>
      <c r="G781" s="15">
        <v>685.72500000000002</v>
      </c>
      <c r="K781" s="26" t="str">
        <f t="shared" si="48"/>
        <v/>
      </c>
      <c r="L781" s="26" t="str">
        <f t="shared" si="49"/>
        <v/>
      </c>
      <c r="M781" s="26" t="str">
        <f t="shared" si="50"/>
        <v/>
      </c>
      <c r="N781" s="27" t="str">
        <f t="shared" si="51"/>
        <v/>
      </c>
    </row>
    <row r="782" spans="1:14" ht="15" customHeight="1" x14ac:dyDescent="0.25">
      <c r="A782" s="12">
        <v>46209</v>
      </c>
      <c r="B782" s="13" t="s">
        <v>115</v>
      </c>
      <c r="C782" s="13" t="s">
        <v>113</v>
      </c>
      <c r="D782" s="13" t="s">
        <v>97</v>
      </c>
      <c r="E782" s="14">
        <v>0.62</v>
      </c>
      <c r="F782" s="13" t="s">
        <v>55</v>
      </c>
      <c r="G782" s="15">
        <v>199.18</v>
      </c>
      <c r="K782" s="26" t="str">
        <f t="shared" si="48"/>
        <v/>
      </c>
      <c r="L782" s="26" t="str">
        <f t="shared" si="49"/>
        <v/>
      </c>
      <c r="M782" s="26" t="str">
        <f t="shared" si="50"/>
        <v/>
      </c>
      <c r="N782" s="27" t="str">
        <f t="shared" si="51"/>
        <v/>
      </c>
    </row>
    <row r="783" spans="1:14" ht="15" customHeight="1" x14ac:dyDescent="0.25">
      <c r="A783" s="12">
        <v>46209</v>
      </c>
      <c r="B783" s="13" t="s">
        <v>102</v>
      </c>
      <c r="C783" s="13" t="s">
        <v>99</v>
      </c>
      <c r="D783" s="13" t="s">
        <v>97</v>
      </c>
      <c r="E783" s="14">
        <v>0.65</v>
      </c>
      <c r="F783" s="13" t="s">
        <v>55</v>
      </c>
      <c r="G783" s="15">
        <v>32.0745</v>
      </c>
      <c r="K783" s="26" t="str">
        <f t="shared" si="48"/>
        <v/>
      </c>
      <c r="L783" s="26" t="str">
        <f t="shared" si="49"/>
        <v/>
      </c>
      <c r="M783" s="26" t="str">
        <f t="shared" si="50"/>
        <v/>
      </c>
      <c r="N783" s="27" t="str">
        <f t="shared" si="51"/>
        <v/>
      </c>
    </row>
    <row r="784" spans="1:14" ht="15" customHeight="1" x14ac:dyDescent="0.25">
      <c r="A784" s="12">
        <v>46209</v>
      </c>
      <c r="B784" s="13" t="s">
        <v>117</v>
      </c>
      <c r="C784" s="13" t="s">
        <v>113</v>
      </c>
      <c r="D784" s="13" t="s">
        <v>97</v>
      </c>
      <c r="E784" s="14">
        <v>0.45</v>
      </c>
      <c r="F784" s="13" t="s">
        <v>56</v>
      </c>
      <c r="G784" s="15">
        <v>4.7549999999999999</v>
      </c>
      <c r="K784" s="26" t="str">
        <f t="shared" si="48"/>
        <v/>
      </c>
      <c r="L784" s="26" t="str">
        <f t="shared" si="49"/>
        <v/>
      </c>
      <c r="M784" s="26" t="str">
        <f t="shared" si="50"/>
        <v/>
      </c>
      <c r="N784" s="27" t="str">
        <f t="shared" si="51"/>
        <v/>
      </c>
    </row>
    <row r="785" spans="1:14" ht="15" customHeight="1" x14ac:dyDescent="0.25">
      <c r="A785" s="12">
        <v>46209</v>
      </c>
      <c r="B785" s="13" t="s">
        <v>95</v>
      </c>
      <c r="C785" s="13" t="s">
        <v>96</v>
      </c>
      <c r="D785" s="13" t="s">
        <v>97</v>
      </c>
      <c r="E785" s="14">
        <v>0.45</v>
      </c>
      <c r="F785" s="13" t="s">
        <v>55</v>
      </c>
      <c r="G785" s="15">
        <v>110.245</v>
      </c>
      <c r="K785" s="26" t="str">
        <f t="shared" si="48"/>
        <v/>
      </c>
      <c r="L785" s="26" t="str">
        <f t="shared" si="49"/>
        <v/>
      </c>
      <c r="M785" s="26" t="str">
        <f t="shared" si="50"/>
        <v/>
      </c>
      <c r="N785" s="27" t="str">
        <f t="shared" si="51"/>
        <v/>
      </c>
    </row>
    <row r="786" spans="1:14" ht="15" customHeight="1" x14ac:dyDescent="0.25">
      <c r="A786" s="12">
        <v>46209</v>
      </c>
      <c r="B786" s="13" t="s">
        <v>109</v>
      </c>
      <c r="C786" s="13" t="s">
        <v>99</v>
      </c>
      <c r="D786" s="13" t="s">
        <v>97</v>
      </c>
      <c r="E786" s="14">
        <v>0.55000000000000004</v>
      </c>
      <c r="F786" s="13" t="s">
        <v>56</v>
      </c>
      <c r="G786" s="15">
        <v>45.32</v>
      </c>
      <c r="K786" s="26" t="str">
        <f t="shared" si="48"/>
        <v/>
      </c>
      <c r="L786" s="26" t="str">
        <f t="shared" si="49"/>
        <v/>
      </c>
      <c r="M786" s="26" t="str">
        <f t="shared" si="50"/>
        <v/>
      </c>
      <c r="N786" s="27" t="str">
        <f t="shared" si="51"/>
        <v/>
      </c>
    </row>
    <row r="787" spans="1:14" ht="15" customHeight="1" x14ac:dyDescent="0.25">
      <c r="A787" s="12">
        <v>46209</v>
      </c>
      <c r="B787" s="13" t="s">
        <v>118</v>
      </c>
      <c r="C787" s="13" t="s">
        <v>119</v>
      </c>
      <c r="D787" s="13" t="s">
        <v>97</v>
      </c>
      <c r="E787" s="14">
        <v>0.55000000000000004</v>
      </c>
      <c r="F787" s="13" t="s">
        <v>55</v>
      </c>
      <c r="G787" s="15">
        <v>749.61</v>
      </c>
      <c r="K787" s="26" t="str">
        <f t="shared" si="48"/>
        <v/>
      </c>
      <c r="L787" s="26" t="str">
        <f t="shared" si="49"/>
        <v/>
      </c>
      <c r="M787" s="26" t="str">
        <f t="shared" si="50"/>
        <v/>
      </c>
      <c r="N787" s="27" t="str">
        <f t="shared" si="51"/>
        <v/>
      </c>
    </row>
    <row r="788" spans="1:14" ht="15" customHeight="1" x14ac:dyDescent="0.25">
      <c r="A788" s="12">
        <v>46209</v>
      </c>
      <c r="B788" s="13" t="s">
        <v>120</v>
      </c>
      <c r="C788" s="13" t="s">
        <v>119</v>
      </c>
      <c r="D788" s="13" t="s">
        <v>97</v>
      </c>
      <c r="E788" s="14">
        <v>0.48</v>
      </c>
      <c r="F788" s="13" t="s">
        <v>56</v>
      </c>
      <c r="G788" s="15">
        <v>724.58</v>
      </c>
      <c r="K788" s="26" t="str">
        <f t="shared" si="48"/>
        <v/>
      </c>
      <c r="L788" s="26" t="str">
        <f t="shared" si="49"/>
        <v/>
      </c>
      <c r="M788" s="26" t="str">
        <f t="shared" si="50"/>
        <v/>
      </c>
      <c r="N788" s="27" t="str">
        <f t="shared" si="51"/>
        <v/>
      </c>
    </row>
    <row r="789" spans="1:14" ht="15" customHeight="1" x14ac:dyDescent="0.25">
      <c r="A789" s="12">
        <v>46209</v>
      </c>
      <c r="B789" s="13" t="s">
        <v>121</v>
      </c>
      <c r="C789" s="13" t="s">
        <v>119</v>
      </c>
      <c r="D789" s="13" t="s">
        <v>97</v>
      </c>
      <c r="E789" s="14">
        <v>0.62</v>
      </c>
      <c r="F789" s="13" t="s">
        <v>55</v>
      </c>
      <c r="G789" s="15">
        <v>371.09</v>
      </c>
      <c r="K789" s="26" t="str">
        <f t="shared" si="48"/>
        <v/>
      </c>
      <c r="L789" s="26" t="str">
        <f t="shared" si="49"/>
        <v/>
      </c>
      <c r="M789" s="26" t="str">
        <f t="shared" si="50"/>
        <v/>
      </c>
      <c r="N789" s="27" t="str">
        <f t="shared" si="51"/>
        <v/>
      </c>
    </row>
    <row r="790" spans="1:14" ht="15" customHeight="1" x14ac:dyDescent="0.25">
      <c r="A790" s="12">
        <v>46209</v>
      </c>
      <c r="B790" s="13" t="s">
        <v>122</v>
      </c>
      <c r="C790" s="13" t="s">
        <v>119</v>
      </c>
      <c r="D790" s="13" t="s">
        <v>97</v>
      </c>
      <c r="E790" s="14">
        <v>0.55000000000000004</v>
      </c>
      <c r="F790" s="13" t="s">
        <v>56</v>
      </c>
      <c r="G790" s="15">
        <v>196.505</v>
      </c>
      <c r="K790" s="26" t="str">
        <f t="shared" si="48"/>
        <v/>
      </c>
      <c r="L790" s="26" t="str">
        <f t="shared" si="49"/>
        <v/>
      </c>
      <c r="M790" s="26" t="str">
        <f t="shared" si="50"/>
        <v/>
      </c>
      <c r="N790" s="27" t="str">
        <f t="shared" si="51"/>
        <v/>
      </c>
    </row>
    <row r="791" spans="1:14" ht="15" customHeight="1" x14ac:dyDescent="0.25">
      <c r="A791" s="12">
        <v>46209</v>
      </c>
      <c r="B791" s="13" t="s">
        <v>123</v>
      </c>
      <c r="C791" s="13" t="s">
        <v>119</v>
      </c>
      <c r="D791" s="13" t="s">
        <v>97</v>
      </c>
      <c r="E791" s="14">
        <v>0.55000000000000004</v>
      </c>
      <c r="F791" s="13" t="s">
        <v>56</v>
      </c>
      <c r="G791" s="15">
        <v>379.81</v>
      </c>
      <c r="K791" s="26" t="str">
        <f t="shared" si="48"/>
        <v/>
      </c>
      <c r="L791" s="26" t="str">
        <f t="shared" si="49"/>
        <v/>
      </c>
      <c r="M791" s="26" t="str">
        <f t="shared" si="50"/>
        <v/>
      </c>
      <c r="N791" s="27" t="str">
        <f t="shared" si="51"/>
        <v/>
      </c>
    </row>
    <row r="792" spans="1:14" ht="15" customHeight="1" x14ac:dyDescent="0.25">
      <c r="K792" s="26" t="str">
        <f t="shared" si="48"/>
        <v/>
      </c>
      <c r="L792" s="26" t="str">
        <f t="shared" si="49"/>
        <v/>
      </c>
      <c r="M792" s="26" t="str">
        <f t="shared" si="50"/>
        <v/>
      </c>
      <c r="N792" s="27" t="str">
        <f t="shared" si="51"/>
        <v/>
      </c>
    </row>
    <row r="793" spans="1:14" ht="15" customHeight="1" x14ac:dyDescent="0.25">
      <c r="K793" s="26" t="str">
        <f t="shared" si="48"/>
        <v/>
      </c>
      <c r="L793" s="26" t="str">
        <f t="shared" si="49"/>
        <v/>
      </c>
      <c r="M793" s="26" t="str">
        <f t="shared" si="50"/>
        <v/>
      </c>
      <c r="N793" s="27" t="str">
        <f t="shared" si="51"/>
        <v/>
      </c>
    </row>
    <row r="794" spans="1:14" ht="15" customHeight="1" x14ac:dyDescent="0.25">
      <c r="K794" s="26" t="str">
        <f t="shared" si="48"/>
        <v/>
      </c>
      <c r="L794" s="26" t="str">
        <f t="shared" si="49"/>
        <v/>
      </c>
      <c r="M794" s="26" t="str">
        <f t="shared" si="50"/>
        <v/>
      </c>
      <c r="N794" s="27" t="str">
        <f t="shared" si="51"/>
        <v/>
      </c>
    </row>
    <row r="795" spans="1:14" ht="15" customHeight="1" x14ac:dyDescent="0.25">
      <c r="K795" s="26" t="str">
        <f t="shared" si="48"/>
        <v/>
      </c>
      <c r="L795" s="26" t="str">
        <f t="shared" si="49"/>
        <v/>
      </c>
      <c r="M795" s="26" t="str">
        <f t="shared" si="50"/>
        <v/>
      </c>
      <c r="N795" s="27" t="str">
        <f t="shared" si="51"/>
        <v/>
      </c>
    </row>
    <row r="796" spans="1:14" ht="15" customHeight="1" x14ac:dyDescent="0.25">
      <c r="K796" s="26" t="str">
        <f t="shared" si="48"/>
        <v/>
      </c>
      <c r="L796" s="26" t="str">
        <f t="shared" si="49"/>
        <v/>
      </c>
      <c r="M796" s="26" t="str">
        <f t="shared" si="50"/>
        <v/>
      </c>
      <c r="N796" s="27" t="str">
        <f t="shared" si="51"/>
        <v/>
      </c>
    </row>
    <row r="797" spans="1:14" ht="15" customHeight="1" x14ac:dyDescent="0.25">
      <c r="K797" s="26" t="str">
        <f t="shared" si="48"/>
        <v/>
      </c>
      <c r="L797" s="26" t="str">
        <f t="shared" si="49"/>
        <v/>
      </c>
      <c r="M797" s="26" t="str">
        <f t="shared" si="50"/>
        <v/>
      </c>
      <c r="N797" s="27" t="str">
        <f t="shared" si="51"/>
        <v/>
      </c>
    </row>
    <row r="798" spans="1:14" ht="15" customHeight="1" x14ac:dyDescent="0.25">
      <c r="K798" s="26" t="str">
        <f t="shared" si="48"/>
        <v/>
      </c>
      <c r="L798" s="26" t="str">
        <f t="shared" si="49"/>
        <v/>
      </c>
      <c r="M798" s="26" t="str">
        <f t="shared" si="50"/>
        <v/>
      </c>
      <c r="N798" s="27" t="str">
        <f t="shared" si="51"/>
        <v/>
      </c>
    </row>
    <row r="799" spans="1:14" ht="15" customHeight="1" x14ac:dyDescent="0.25">
      <c r="K799" s="26" t="str">
        <f t="shared" si="48"/>
        <v/>
      </c>
      <c r="L799" s="26" t="str">
        <f t="shared" si="49"/>
        <v/>
      </c>
      <c r="M799" s="26" t="str">
        <f t="shared" si="50"/>
        <v/>
      </c>
      <c r="N799" s="27" t="str">
        <f t="shared" si="51"/>
        <v/>
      </c>
    </row>
    <row r="800" spans="1:14" ht="15" customHeight="1" x14ac:dyDescent="0.25">
      <c r="K800" s="26" t="str">
        <f t="shared" si="48"/>
        <v/>
      </c>
      <c r="L800" s="26" t="str">
        <f t="shared" si="49"/>
        <v/>
      </c>
      <c r="M800" s="26" t="str">
        <f t="shared" si="50"/>
        <v/>
      </c>
      <c r="N800" s="27" t="str">
        <f t="shared" si="51"/>
        <v/>
      </c>
    </row>
    <row r="801" spans="11:14" ht="15" customHeight="1" x14ac:dyDescent="0.25">
      <c r="K801" s="26" t="str">
        <f t="shared" si="48"/>
        <v/>
      </c>
      <c r="L801" s="26" t="str">
        <f t="shared" si="49"/>
        <v/>
      </c>
      <c r="M801" s="26" t="str">
        <f t="shared" si="50"/>
        <v/>
      </c>
      <c r="N801" s="27" t="str">
        <f t="shared" si="51"/>
        <v/>
      </c>
    </row>
    <row r="802" spans="11:14" ht="15" customHeight="1" x14ac:dyDescent="0.25">
      <c r="K802" s="26" t="str">
        <f t="shared" si="48"/>
        <v/>
      </c>
      <c r="L802" s="26" t="str">
        <f t="shared" si="49"/>
        <v/>
      </c>
      <c r="M802" s="26" t="str">
        <f t="shared" si="50"/>
        <v/>
      </c>
      <c r="N802" s="27" t="str">
        <f t="shared" si="51"/>
        <v/>
      </c>
    </row>
    <row r="803" spans="11:14" ht="15" customHeight="1" x14ac:dyDescent="0.25">
      <c r="K803" s="26" t="str">
        <f t="shared" si="48"/>
        <v/>
      </c>
      <c r="L803" s="26" t="str">
        <f t="shared" si="49"/>
        <v/>
      </c>
      <c r="M803" s="26" t="str">
        <f t="shared" si="50"/>
        <v/>
      </c>
      <c r="N803" s="27" t="str">
        <f t="shared" si="51"/>
        <v/>
      </c>
    </row>
    <row r="804" spans="11:14" ht="15" customHeight="1" x14ac:dyDescent="0.25">
      <c r="K804" s="26" t="str">
        <f t="shared" si="48"/>
        <v/>
      </c>
      <c r="L804" s="26" t="str">
        <f t="shared" si="49"/>
        <v/>
      </c>
      <c r="M804" s="26" t="str">
        <f t="shared" si="50"/>
        <v/>
      </c>
      <c r="N804" s="27" t="str">
        <f t="shared" si="51"/>
        <v/>
      </c>
    </row>
    <row r="805" spans="11:14" ht="15" customHeight="1" x14ac:dyDescent="0.25">
      <c r="K805" s="26" t="str">
        <f t="shared" si="48"/>
        <v/>
      </c>
      <c r="L805" s="26" t="str">
        <f t="shared" si="49"/>
        <v/>
      </c>
      <c r="M805" s="26" t="str">
        <f t="shared" si="50"/>
        <v/>
      </c>
      <c r="N805" s="27" t="str">
        <f t="shared" si="51"/>
        <v/>
      </c>
    </row>
    <row r="806" spans="11:14" ht="15" customHeight="1" x14ac:dyDescent="0.25">
      <c r="K806" s="26" t="str">
        <f t="shared" si="48"/>
        <v/>
      </c>
      <c r="L806" s="26" t="str">
        <f t="shared" si="49"/>
        <v/>
      </c>
      <c r="M806" s="26" t="str">
        <f t="shared" si="50"/>
        <v/>
      </c>
      <c r="N806" s="27" t="str">
        <f t="shared" si="51"/>
        <v/>
      </c>
    </row>
    <row r="807" spans="11:14" ht="15" customHeight="1" x14ac:dyDescent="0.25">
      <c r="K807" s="26" t="str">
        <f t="shared" si="48"/>
        <v/>
      </c>
      <c r="L807" s="26" t="str">
        <f t="shared" si="49"/>
        <v/>
      </c>
      <c r="M807" s="26" t="str">
        <f t="shared" si="50"/>
        <v/>
      </c>
      <c r="N807" s="27" t="str">
        <f t="shared" si="51"/>
        <v/>
      </c>
    </row>
    <row r="808" spans="11:14" ht="15" customHeight="1" x14ac:dyDescent="0.25">
      <c r="K808" s="26" t="str">
        <f t="shared" si="48"/>
        <v/>
      </c>
      <c r="L808" s="26" t="str">
        <f t="shared" si="49"/>
        <v/>
      </c>
      <c r="M808" s="26" t="str">
        <f t="shared" si="50"/>
        <v/>
      </c>
      <c r="N808" s="27" t="str">
        <f t="shared" si="51"/>
        <v/>
      </c>
    </row>
    <row r="809" spans="11:14" ht="15" customHeight="1" x14ac:dyDescent="0.25">
      <c r="K809" s="26" t="str">
        <f t="shared" si="48"/>
        <v/>
      </c>
      <c r="L809" s="26" t="str">
        <f t="shared" si="49"/>
        <v/>
      </c>
      <c r="M809" s="26" t="str">
        <f t="shared" si="50"/>
        <v/>
      </c>
      <c r="N809" s="27" t="str">
        <f t="shared" si="51"/>
        <v/>
      </c>
    </row>
    <row r="810" spans="11:14" ht="15" customHeight="1" x14ac:dyDescent="0.25">
      <c r="K810" s="26" t="str">
        <f t="shared" si="48"/>
        <v/>
      </c>
      <c r="L810" s="26" t="str">
        <f t="shared" si="49"/>
        <v/>
      </c>
      <c r="M810" s="26" t="str">
        <f t="shared" si="50"/>
        <v/>
      </c>
      <c r="N810" s="27" t="str">
        <f t="shared" si="51"/>
        <v/>
      </c>
    </row>
    <row r="811" spans="11:14" ht="15" customHeight="1" x14ac:dyDescent="0.25">
      <c r="K811" s="26" t="str">
        <f t="shared" si="48"/>
        <v/>
      </c>
      <c r="L811" s="26" t="str">
        <f t="shared" si="49"/>
        <v/>
      </c>
      <c r="M811" s="26" t="str">
        <f t="shared" si="50"/>
        <v/>
      </c>
      <c r="N811" s="27" t="str">
        <f t="shared" si="51"/>
        <v/>
      </c>
    </row>
    <row r="812" spans="11:14" ht="15" customHeight="1" x14ac:dyDescent="0.25">
      <c r="K812" s="26" t="str">
        <f t="shared" si="48"/>
        <v/>
      </c>
      <c r="L812" s="26" t="str">
        <f t="shared" si="49"/>
        <v/>
      </c>
      <c r="M812" s="26" t="str">
        <f t="shared" si="50"/>
        <v/>
      </c>
      <c r="N812" s="27" t="str">
        <f t="shared" si="51"/>
        <v/>
      </c>
    </row>
    <row r="813" spans="11:14" ht="15" customHeight="1" x14ac:dyDescent="0.25">
      <c r="K813" s="26" t="str">
        <f t="shared" si="48"/>
        <v/>
      </c>
      <c r="L813" s="26" t="str">
        <f t="shared" si="49"/>
        <v/>
      </c>
      <c r="M813" s="26" t="str">
        <f t="shared" si="50"/>
        <v/>
      </c>
      <c r="N813" s="27" t="str">
        <f t="shared" si="51"/>
        <v/>
      </c>
    </row>
    <row r="814" spans="11:14" ht="15" customHeight="1" x14ac:dyDescent="0.25">
      <c r="K814" s="26" t="str">
        <f t="shared" si="48"/>
        <v/>
      </c>
      <c r="L814" s="26" t="str">
        <f t="shared" si="49"/>
        <v/>
      </c>
      <c r="M814" s="26" t="str">
        <f t="shared" si="50"/>
        <v/>
      </c>
      <c r="N814" s="27" t="str">
        <f t="shared" si="51"/>
        <v/>
      </c>
    </row>
    <row r="815" spans="11:14" ht="15" customHeight="1" x14ac:dyDescent="0.25">
      <c r="K815" s="26" t="str">
        <f t="shared" si="48"/>
        <v/>
      </c>
      <c r="L815" s="26" t="str">
        <f t="shared" si="49"/>
        <v/>
      </c>
      <c r="M815" s="26" t="str">
        <f t="shared" si="50"/>
        <v/>
      </c>
      <c r="N815" s="27" t="str">
        <f t="shared" si="51"/>
        <v/>
      </c>
    </row>
    <row r="816" spans="11:14" ht="15" customHeight="1" x14ac:dyDescent="0.25">
      <c r="K816" s="26" t="str">
        <f t="shared" si="48"/>
        <v/>
      </c>
      <c r="L816" s="26" t="str">
        <f t="shared" si="49"/>
        <v/>
      </c>
      <c r="M816" s="26" t="str">
        <f t="shared" si="50"/>
        <v/>
      </c>
      <c r="N816" s="27" t="str">
        <f t="shared" si="51"/>
        <v/>
      </c>
    </row>
    <row r="817" spans="11:14" ht="15" customHeight="1" x14ac:dyDescent="0.25">
      <c r="K817" s="26" t="str">
        <f t="shared" si="48"/>
        <v/>
      </c>
      <c r="L817" s="26" t="str">
        <f t="shared" si="49"/>
        <v/>
      </c>
      <c r="M817" s="26" t="str">
        <f t="shared" si="50"/>
        <v/>
      </c>
      <c r="N817" s="27" t="str">
        <f t="shared" si="51"/>
        <v/>
      </c>
    </row>
    <row r="818" spans="11:14" ht="15" customHeight="1" x14ac:dyDescent="0.25">
      <c r="K818" s="26" t="str">
        <f t="shared" si="48"/>
        <v/>
      </c>
      <c r="L818" s="26" t="str">
        <f t="shared" si="49"/>
        <v/>
      </c>
      <c r="M818" s="26" t="str">
        <f t="shared" si="50"/>
        <v/>
      </c>
      <c r="N818" s="27" t="str">
        <f t="shared" si="51"/>
        <v/>
      </c>
    </row>
    <row r="819" spans="11:14" ht="15" customHeight="1" x14ac:dyDescent="0.25">
      <c r="K819" s="26" t="str">
        <f t="shared" si="48"/>
        <v/>
      </c>
      <c r="L819" s="26" t="str">
        <f t="shared" si="49"/>
        <v/>
      </c>
      <c r="M819" s="26" t="str">
        <f t="shared" si="50"/>
        <v/>
      </c>
      <c r="N819" s="27" t="str">
        <f t="shared" si="51"/>
        <v/>
      </c>
    </row>
    <row r="820" spans="11:14" ht="15" customHeight="1" x14ac:dyDescent="0.25">
      <c r="K820" s="26" t="str">
        <f t="shared" si="48"/>
        <v/>
      </c>
      <c r="L820" s="26" t="str">
        <f t="shared" si="49"/>
        <v/>
      </c>
      <c r="M820" s="26" t="str">
        <f t="shared" si="50"/>
        <v/>
      </c>
      <c r="N820" s="27" t="str">
        <f t="shared" si="51"/>
        <v/>
      </c>
    </row>
    <row r="821" spans="11:14" ht="15" customHeight="1" x14ac:dyDescent="0.25">
      <c r="K821" s="26" t="str">
        <f t="shared" si="48"/>
        <v/>
      </c>
      <c r="L821" s="26" t="str">
        <f t="shared" si="49"/>
        <v/>
      </c>
      <c r="M821" s="26" t="str">
        <f t="shared" si="50"/>
        <v/>
      </c>
      <c r="N821" s="27" t="str">
        <f t="shared" si="51"/>
        <v/>
      </c>
    </row>
    <row r="822" spans="11:14" ht="15" customHeight="1" x14ac:dyDescent="0.25">
      <c r="K822" s="26" t="str">
        <f t="shared" si="48"/>
        <v/>
      </c>
      <c r="L822" s="26" t="str">
        <f t="shared" si="49"/>
        <v/>
      </c>
      <c r="M822" s="26" t="str">
        <f t="shared" si="50"/>
        <v/>
      </c>
      <c r="N822" s="27" t="str">
        <f t="shared" si="51"/>
        <v/>
      </c>
    </row>
    <row r="823" spans="11:14" ht="15" customHeight="1" x14ac:dyDescent="0.25">
      <c r="K823" s="26" t="str">
        <f t="shared" si="48"/>
        <v/>
      </c>
      <c r="L823" s="26" t="str">
        <f t="shared" si="49"/>
        <v/>
      </c>
      <c r="M823" s="26" t="str">
        <f t="shared" si="50"/>
        <v/>
      </c>
      <c r="N823" s="27" t="str">
        <f t="shared" si="51"/>
        <v/>
      </c>
    </row>
    <row r="824" spans="11:14" ht="15" customHeight="1" x14ac:dyDescent="0.25">
      <c r="K824" s="26" t="str">
        <f t="shared" si="48"/>
        <v/>
      </c>
      <c r="L824" s="26" t="str">
        <f t="shared" si="49"/>
        <v/>
      </c>
      <c r="M824" s="26" t="str">
        <f t="shared" si="50"/>
        <v/>
      </c>
      <c r="N824" s="27" t="str">
        <f t="shared" si="51"/>
        <v/>
      </c>
    </row>
    <row r="825" spans="11:14" ht="15" customHeight="1" x14ac:dyDescent="0.25">
      <c r="K825" s="26" t="str">
        <f t="shared" si="48"/>
        <v/>
      </c>
      <c r="L825" s="26" t="str">
        <f t="shared" si="49"/>
        <v/>
      </c>
      <c r="M825" s="26" t="str">
        <f t="shared" si="50"/>
        <v/>
      </c>
      <c r="N825" s="27" t="str">
        <f t="shared" si="51"/>
        <v/>
      </c>
    </row>
    <row r="826" spans="11:14" ht="15" customHeight="1" x14ac:dyDescent="0.25">
      <c r="K826" s="26" t="str">
        <f t="shared" si="48"/>
        <v/>
      </c>
      <c r="L826" s="26" t="str">
        <f t="shared" si="49"/>
        <v/>
      </c>
      <c r="M826" s="26" t="str">
        <f t="shared" si="50"/>
        <v/>
      </c>
      <c r="N826" s="27" t="str">
        <f t="shared" si="51"/>
        <v/>
      </c>
    </row>
    <row r="827" spans="11:14" ht="15" customHeight="1" x14ac:dyDescent="0.25">
      <c r="K827" s="26" t="str">
        <f t="shared" si="48"/>
        <v/>
      </c>
      <c r="L827" s="26" t="str">
        <f t="shared" si="49"/>
        <v/>
      </c>
      <c r="M827" s="26" t="str">
        <f t="shared" si="50"/>
        <v/>
      </c>
      <c r="N827" s="27" t="str">
        <f t="shared" si="51"/>
        <v/>
      </c>
    </row>
    <row r="828" spans="11:14" ht="15" customHeight="1" x14ac:dyDescent="0.25">
      <c r="K828" s="26" t="str">
        <f t="shared" si="48"/>
        <v/>
      </c>
      <c r="L828" s="26" t="str">
        <f t="shared" si="49"/>
        <v/>
      </c>
      <c r="M828" s="26" t="str">
        <f t="shared" si="50"/>
        <v/>
      </c>
      <c r="N828" s="27" t="str">
        <f t="shared" si="51"/>
        <v/>
      </c>
    </row>
    <row r="829" spans="11:14" ht="15" customHeight="1" x14ac:dyDescent="0.25">
      <c r="K829" s="26" t="str">
        <f t="shared" si="48"/>
        <v/>
      </c>
      <c r="L829" s="26" t="str">
        <f t="shared" si="49"/>
        <v/>
      </c>
      <c r="M829" s="26" t="str">
        <f t="shared" si="50"/>
        <v/>
      </c>
      <c r="N829" s="27" t="str">
        <f t="shared" si="51"/>
        <v/>
      </c>
    </row>
    <row r="830" spans="11:14" ht="15" customHeight="1" x14ac:dyDescent="0.25">
      <c r="K830" s="26" t="str">
        <f t="shared" si="48"/>
        <v/>
      </c>
      <c r="L830" s="26" t="str">
        <f t="shared" si="49"/>
        <v/>
      </c>
      <c r="M830" s="26" t="str">
        <f t="shared" si="50"/>
        <v/>
      </c>
      <c r="N830" s="27" t="str">
        <f t="shared" si="51"/>
        <v/>
      </c>
    </row>
    <row r="831" spans="11:14" ht="15" customHeight="1" x14ac:dyDescent="0.25">
      <c r="K831" s="26" t="str">
        <f t="shared" si="48"/>
        <v/>
      </c>
      <c r="L831" s="26" t="str">
        <f t="shared" si="49"/>
        <v/>
      </c>
      <c r="M831" s="26" t="str">
        <f t="shared" si="50"/>
        <v/>
      </c>
      <c r="N831" s="27" t="str">
        <f t="shared" si="51"/>
        <v/>
      </c>
    </row>
    <row r="832" spans="11:14" ht="15" customHeight="1" x14ac:dyDescent="0.25">
      <c r="K832" s="26" t="str">
        <f t="shared" si="48"/>
        <v/>
      </c>
      <c r="L832" s="26" t="str">
        <f t="shared" si="49"/>
        <v/>
      </c>
      <c r="M832" s="26" t="str">
        <f t="shared" si="50"/>
        <v/>
      </c>
      <c r="N832" s="27" t="str">
        <f t="shared" si="51"/>
        <v/>
      </c>
    </row>
    <row r="833" spans="11:14" ht="15" customHeight="1" x14ac:dyDescent="0.25">
      <c r="K833" s="26" t="str">
        <f t="shared" si="48"/>
        <v/>
      </c>
      <c r="L833" s="26" t="str">
        <f t="shared" si="49"/>
        <v/>
      </c>
      <c r="M833" s="26" t="str">
        <f t="shared" si="50"/>
        <v/>
      </c>
      <c r="N833" s="27" t="str">
        <f t="shared" si="51"/>
        <v/>
      </c>
    </row>
    <row r="834" spans="11:14" ht="15" customHeight="1" x14ac:dyDescent="0.25">
      <c r="K834" s="26" t="str">
        <f t="shared" si="48"/>
        <v/>
      </c>
      <c r="L834" s="26" t="str">
        <f t="shared" si="49"/>
        <v/>
      </c>
      <c r="M834" s="26" t="str">
        <f t="shared" si="50"/>
        <v/>
      </c>
      <c r="N834" s="27" t="str">
        <f t="shared" si="51"/>
        <v/>
      </c>
    </row>
    <row r="835" spans="11:14" ht="15" customHeight="1" x14ac:dyDescent="0.25">
      <c r="K835" s="26" t="str">
        <f t="shared" si="48"/>
        <v/>
      </c>
      <c r="L835" s="26" t="str">
        <f t="shared" si="49"/>
        <v/>
      </c>
      <c r="M835" s="26" t="str">
        <f t="shared" si="50"/>
        <v/>
      </c>
      <c r="N835" s="27" t="str">
        <f t="shared" si="51"/>
        <v/>
      </c>
    </row>
    <row r="836" spans="11:14" ht="15" customHeight="1" x14ac:dyDescent="0.25">
      <c r="K836" s="26" t="str">
        <f t="shared" si="48"/>
        <v/>
      </c>
      <c r="L836" s="26" t="str">
        <f t="shared" si="49"/>
        <v/>
      </c>
      <c r="M836" s="26" t="str">
        <f t="shared" si="50"/>
        <v/>
      </c>
      <c r="N836" s="27" t="str">
        <f t="shared" si="51"/>
        <v/>
      </c>
    </row>
    <row r="837" spans="11:14" ht="15" customHeight="1" x14ac:dyDescent="0.25">
      <c r="K837" s="26" t="str">
        <f t="shared" ref="K837:K900" si="52">IF(H837="","",(H837-G837)/G837)</f>
        <v/>
      </c>
      <c r="L837" s="26" t="str">
        <f t="shared" ref="L837:L900" si="53">IF(I837="","",(I837-G837)/G837)</f>
        <v/>
      </c>
      <c r="M837" s="26" t="str">
        <f t="shared" ref="M837:M900" si="54">IF(J837="","",(J837-G837)/G837)</f>
        <v/>
      </c>
      <c r="N837" s="27" t="str">
        <f t="shared" ref="N837:N900" si="55">IF(H837="","",IF(D837="HOLD",IF(ABS(K837)&lt;0.03,"YES","NO"),IF(D837="BUY",IF(K837&gt;0,"YES","NO"),IF(D837="SELL",IF(K837&lt;0,"YES","NO"),""))))</f>
        <v/>
      </c>
    </row>
    <row r="838" spans="11:14" ht="15" customHeight="1" x14ac:dyDescent="0.25">
      <c r="K838" s="26" t="str">
        <f t="shared" si="52"/>
        <v/>
      </c>
      <c r="L838" s="26" t="str">
        <f t="shared" si="53"/>
        <v/>
      </c>
      <c r="M838" s="26" t="str">
        <f t="shared" si="54"/>
        <v/>
      </c>
      <c r="N838" s="27" t="str">
        <f t="shared" si="55"/>
        <v/>
      </c>
    </row>
    <row r="839" spans="11:14" ht="15" customHeight="1" x14ac:dyDescent="0.25">
      <c r="K839" s="26" t="str">
        <f t="shared" si="52"/>
        <v/>
      </c>
      <c r="L839" s="26" t="str">
        <f t="shared" si="53"/>
        <v/>
      </c>
      <c r="M839" s="26" t="str">
        <f t="shared" si="54"/>
        <v/>
      </c>
      <c r="N839" s="27" t="str">
        <f t="shared" si="55"/>
        <v/>
      </c>
    </row>
    <row r="840" spans="11:14" ht="15" customHeight="1" x14ac:dyDescent="0.25">
      <c r="K840" s="26" t="str">
        <f t="shared" si="52"/>
        <v/>
      </c>
      <c r="L840" s="26" t="str">
        <f t="shared" si="53"/>
        <v/>
      </c>
      <c r="M840" s="26" t="str">
        <f t="shared" si="54"/>
        <v/>
      </c>
      <c r="N840" s="27" t="str">
        <f t="shared" si="55"/>
        <v/>
      </c>
    </row>
    <row r="841" spans="11:14" ht="15" customHeight="1" x14ac:dyDescent="0.25">
      <c r="K841" s="26" t="str">
        <f t="shared" si="52"/>
        <v/>
      </c>
      <c r="L841" s="26" t="str">
        <f t="shared" si="53"/>
        <v/>
      </c>
      <c r="M841" s="26" t="str">
        <f t="shared" si="54"/>
        <v/>
      </c>
      <c r="N841" s="27" t="str">
        <f t="shared" si="55"/>
        <v/>
      </c>
    </row>
    <row r="842" spans="11:14" ht="15" customHeight="1" x14ac:dyDescent="0.25">
      <c r="K842" s="26" t="str">
        <f t="shared" si="52"/>
        <v/>
      </c>
      <c r="L842" s="26" t="str">
        <f t="shared" si="53"/>
        <v/>
      </c>
      <c r="M842" s="26" t="str">
        <f t="shared" si="54"/>
        <v/>
      </c>
      <c r="N842" s="27" t="str">
        <f t="shared" si="55"/>
        <v/>
      </c>
    </row>
    <row r="843" spans="11:14" ht="15" customHeight="1" x14ac:dyDescent="0.25">
      <c r="K843" s="26" t="str">
        <f t="shared" si="52"/>
        <v/>
      </c>
      <c r="L843" s="26" t="str">
        <f t="shared" si="53"/>
        <v/>
      </c>
      <c r="M843" s="26" t="str">
        <f t="shared" si="54"/>
        <v/>
      </c>
      <c r="N843" s="27" t="str">
        <f t="shared" si="55"/>
        <v/>
      </c>
    </row>
    <row r="844" spans="11:14" ht="15" customHeight="1" x14ac:dyDescent="0.25">
      <c r="K844" s="26" t="str">
        <f t="shared" si="52"/>
        <v/>
      </c>
      <c r="L844" s="26" t="str">
        <f t="shared" si="53"/>
        <v/>
      </c>
      <c r="M844" s="26" t="str">
        <f t="shared" si="54"/>
        <v/>
      </c>
      <c r="N844" s="27" t="str">
        <f t="shared" si="55"/>
        <v/>
      </c>
    </row>
    <row r="845" spans="11:14" ht="15" customHeight="1" x14ac:dyDescent="0.25">
      <c r="K845" s="26" t="str">
        <f t="shared" si="52"/>
        <v/>
      </c>
      <c r="L845" s="26" t="str">
        <f t="shared" si="53"/>
        <v/>
      </c>
      <c r="M845" s="26" t="str">
        <f t="shared" si="54"/>
        <v/>
      </c>
      <c r="N845" s="27" t="str">
        <f t="shared" si="55"/>
        <v/>
      </c>
    </row>
    <row r="846" spans="11:14" ht="15" customHeight="1" x14ac:dyDescent="0.25">
      <c r="K846" s="26" t="str">
        <f t="shared" si="52"/>
        <v/>
      </c>
      <c r="L846" s="26" t="str">
        <f t="shared" si="53"/>
        <v/>
      </c>
      <c r="M846" s="26" t="str">
        <f t="shared" si="54"/>
        <v/>
      </c>
      <c r="N846" s="27" t="str">
        <f t="shared" si="55"/>
        <v/>
      </c>
    </row>
    <row r="847" spans="11:14" ht="15" customHeight="1" x14ac:dyDescent="0.25">
      <c r="K847" s="26" t="str">
        <f t="shared" si="52"/>
        <v/>
      </c>
      <c r="L847" s="26" t="str">
        <f t="shared" si="53"/>
        <v/>
      </c>
      <c r="M847" s="26" t="str">
        <f t="shared" si="54"/>
        <v/>
      </c>
      <c r="N847" s="27" t="str">
        <f t="shared" si="55"/>
        <v/>
      </c>
    </row>
    <row r="848" spans="11:14" ht="15" customHeight="1" x14ac:dyDescent="0.25">
      <c r="K848" s="26" t="str">
        <f t="shared" si="52"/>
        <v/>
      </c>
      <c r="L848" s="26" t="str">
        <f t="shared" si="53"/>
        <v/>
      </c>
      <c r="M848" s="26" t="str">
        <f t="shared" si="54"/>
        <v/>
      </c>
      <c r="N848" s="27" t="str">
        <f t="shared" si="55"/>
        <v/>
      </c>
    </row>
    <row r="849" spans="11:14" ht="15" customHeight="1" x14ac:dyDescent="0.25">
      <c r="K849" s="26" t="str">
        <f t="shared" si="52"/>
        <v/>
      </c>
      <c r="L849" s="26" t="str">
        <f t="shared" si="53"/>
        <v/>
      </c>
      <c r="M849" s="26" t="str">
        <f t="shared" si="54"/>
        <v/>
      </c>
      <c r="N849" s="27" t="str">
        <f t="shared" si="55"/>
        <v/>
      </c>
    </row>
    <row r="850" spans="11:14" ht="15" customHeight="1" x14ac:dyDescent="0.25">
      <c r="K850" s="26" t="str">
        <f t="shared" si="52"/>
        <v/>
      </c>
      <c r="L850" s="26" t="str">
        <f t="shared" si="53"/>
        <v/>
      </c>
      <c r="M850" s="26" t="str">
        <f t="shared" si="54"/>
        <v/>
      </c>
      <c r="N850" s="27" t="str">
        <f t="shared" si="55"/>
        <v/>
      </c>
    </row>
    <row r="851" spans="11:14" ht="15" customHeight="1" x14ac:dyDescent="0.25">
      <c r="K851" s="26" t="str">
        <f t="shared" si="52"/>
        <v/>
      </c>
      <c r="L851" s="26" t="str">
        <f t="shared" si="53"/>
        <v/>
      </c>
      <c r="M851" s="26" t="str">
        <f t="shared" si="54"/>
        <v/>
      </c>
      <c r="N851" s="27" t="str">
        <f t="shared" si="55"/>
        <v/>
      </c>
    </row>
    <row r="852" spans="11:14" ht="15" customHeight="1" x14ac:dyDescent="0.25">
      <c r="K852" s="26" t="str">
        <f t="shared" si="52"/>
        <v/>
      </c>
      <c r="L852" s="26" t="str">
        <f t="shared" si="53"/>
        <v/>
      </c>
      <c r="M852" s="26" t="str">
        <f t="shared" si="54"/>
        <v/>
      </c>
      <c r="N852" s="27" t="str">
        <f t="shared" si="55"/>
        <v/>
      </c>
    </row>
    <row r="853" spans="11:14" ht="15" customHeight="1" x14ac:dyDescent="0.25">
      <c r="K853" s="26" t="str">
        <f t="shared" si="52"/>
        <v/>
      </c>
      <c r="L853" s="26" t="str">
        <f t="shared" si="53"/>
        <v/>
      </c>
      <c r="M853" s="26" t="str">
        <f t="shared" si="54"/>
        <v/>
      </c>
      <c r="N853" s="27" t="str">
        <f t="shared" si="55"/>
        <v/>
      </c>
    </row>
    <row r="854" spans="11:14" ht="15" customHeight="1" x14ac:dyDescent="0.25">
      <c r="K854" s="26" t="str">
        <f t="shared" si="52"/>
        <v/>
      </c>
      <c r="L854" s="26" t="str">
        <f t="shared" si="53"/>
        <v/>
      </c>
      <c r="M854" s="26" t="str">
        <f t="shared" si="54"/>
        <v/>
      </c>
      <c r="N854" s="27" t="str">
        <f t="shared" si="55"/>
        <v/>
      </c>
    </row>
    <row r="855" spans="11:14" ht="15" customHeight="1" x14ac:dyDescent="0.25">
      <c r="K855" s="26" t="str">
        <f t="shared" si="52"/>
        <v/>
      </c>
      <c r="L855" s="26" t="str">
        <f t="shared" si="53"/>
        <v/>
      </c>
      <c r="M855" s="26" t="str">
        <f t="shared" si="54"/>
        <v/>
      </c>
      <c r="N855" s="27" t="str">
        <f t="shared" si="55"/>
        <v/>
      </c>
    </row>
    <row r="856" spans="11:14" ht="15" customHeight="1" x14ac:dyDescent="0.25">
      <c r="K856" s="26" t="str">
        <f t="shared" si="52"/>
        <v/>
      </c>
      <c r="L856" s="26" t="str">
        <f t="shared" si="53"/>
        <v/>
      </c>
      <c r="M856" s="26" t="str">
        <f t="shared" si="54"/>
        <v/>
      </c>
      <c r="N856" s="27" t="str">
        <f t="shared" si="55"/>
        <v/>
      </c>
    </row>
    <row r="857" spans="11:14" ht="15" customHeight="1" x14ac:dyDescent="0.25">
      <c r="K857" s="26" t="str">
        <f t="shared" si="52"/>
        <v/>
      </c>
      <c r="L857" s="26" t="str">
        <f t="shared" si="53"/>
        <v/>
      </c>
      <c r="M857" s="26" t="str">
        <f t="shared" si="54"/>
        <v/>
      </c>
      <c r="N857" s="27" t="str">
        <f t="shared" si="55"/>
        <v/>
      </c>
    </row>
    <row r="858" spans="11:14" ht="15" customHeight="1" x14ac:dyDescent="0.25">
      <c r="K858" s="26" t="str">
        <f t="shared" si="52"/>
        <v/>
      </c>
      <c r="L858" s="26" t="str">
        <f t="shared" si="53"/>
        <v/>
      </c>
      <c r="M858" s="26" t="str">
        <f t="shared" si="54"/>
        <v/>
      </c>
      <c r="N858" s="27" t="str">
        <f t="shared" si="55"/>
        <v/>
      </c>
    </row>
    <row r="859" spans="11:14" ht="15" customHeight="1" x14ac:dyDescent="0.25">
      <c r="K859" s="26" t="str">
        <f t="shared" si="52"/>
        <v/>
      </c>
      <c r="L859" s="26" t="str">
        <f t="shared" si="53"/>
        <v/>
      </c>
      <c r="M859" s="26" t="str">
        <f t="shared" si="54"/>
        <v/>
      </c>
      <c r="N859" s="27" t="str">
        <f t="shared" si="55"/>
        <v/>
      </c>
    </row>
    <row r="860" spans="11:14" ht="15" customHeight="1" x14ac:dyDescent="0.25">
      <c r="K860" s="26" t="str">
        <f t="shared" si="52"/>
        <v/>
      </c>
      <c r="L860" s="26" t="str">
        <f t="shared" si="53"/>
        <v/>
      </c>
      <c r="M860" s="26" t="str">
        <f t="shared" si="54"/>
        <v/>
      </c>
      <c r="N860" s="27" t="str">
        <f t="shared" si="55"/>
        <v/>
      </c>
    </row>
    <row r="861" spans="11:14" ht="15" customHeight="1" x14ac:dyDescent="0.25">
      <c r="K861" s="26" t="str">
        <f t="shared" si="52"/>
        <v/>
      </c>
      <c r="L861" s="26" t="str">
        <f t="shared" si="53"/>
        <v/>
      </c>
      <c r="M861" s="26" t="str">
        <f t="shared" si="54"/>
        <v/>
      </c>
      <c r="N861" s="27" t="str">
        <f t="shared" si="55"/>
        <v/>
      </c>
    </row>
    <row r="862" spans="11:14" ht="15" customHeight="1" x14ac:dyDescent="0.25">
      <c r="K862" s="26" t="str">
        <f t="shared" si="52"/>
        <v/>
      </c>
      <c r="L862" s="26" t="str">
        <f t="shared" si="53"/>
        <v/>
      </c>
      <c r="M862" s="26" t="str">
        <f t="shared" si="54"/>
        <v/>
      </c>
      <c r="N862" s="27" t="str">
        <f t="shared" si="55"/>
        <v/>
      </c>
    </row>
    <row r="863" spans="11:14" ht="15" customHeight="1" x14ac:dyDescent="0.25">
      <c r="K863" s="26" t="str">
        <f t="shared" si="52"/>
        <v/>
      </c>
      <c r="L863" s="26" t="str">
        <f t="shared" si="53"/>
        <v/>
      </c>
      <c r="M863" s="26" t="str">
        <f t="shared" si="54"/>
        <v/>
      </c>
      <c r="N863" s="27" t="str">
        <f t="shared" si="55"/>
        <v/>
      </c>
    </row>
    <row r="864" spans="11:14" ht="15" customHeight="1" x14ac:dyDescent="0.25">
      <c r="K864" s="26" t="str">
        <f t="shared" si="52"/>
        <v/>
      </c>
      <c r="L864" s="26" t="str">
        <f t="shared" si="53"/>
        <v/>
      </c>
      <c r="M864" s="26" t="str">
        <f t="shared" si="54"/>
        <v/>
      </c>
      <c r="N864" s="27" t="str">
        <f t="shared" si="55"/>
        <v/>
      </c>
    </row>
    <row r="865" spans="11:14" ht="15" customHeight="1" x14ac:dyDescent="0.25">
      <c r="K865" s="26" t="str">
        <f t="shared" si="52"/>
        <v/>
      </c>
      <c r="L865" s="26" t="str">
        <f t="shared" si="53"/>
        <v/>
      </c>
      <c r="M865" s="26" t="str">
        <f t="shared" si="54"/>
        <v/>
      </c>
      <c r="N865" s="27" t="str">
        <f t="shared" si="55"/>
        <v/>
      </c>
    </row>
    <row r="866" spans="11:14" ht="15" customHeight="1" x14ac:dyDescent="0.25">
      <c r="K866" s="26" t="str">
        <f t="shared" si="52"/>
        <v/>
      </c>
      <c r="L866" s="26" t="str">
        <f t="shared" si="53"/>
        <v/>
      </c>
      <c r="M866" s="26" t="str">
        <f t="shared" si="54"/>
        <v/>
      </c>
      <c r="N866" s="27" t="str">
        <f t="shared" si="55"/>
        <v/>
      </c>
    </row>
    <row r="867" spans="11:14" ht="15" customHeight="1" x14ac:dyDescent="0.25">
      <c r="K867" s="26" t="str">
        <f t="shared" si="52"/>
        <v/>
      </c>
      <c r="L867" s="26" t="str">
        <f t="shared" si="53"/>
        <v/>
      </c>
      <c r="M867" s="26" t="str">
        <f t="shared" si="54"/>
        <v/>
      </c>
      <c r="N867" s="27" t="str">
        <f t="shared" si="55"/>
        <v/>
      </c>
    </row>
    <row r="868" spans="11:14" ht="15" customHeight="1" x14ac:dyDescent="0.25">
      <c r="K868" s="26" t="str">
        <f t="shared" si="52"/>
        <v/>
      </c>
      <c r="L868" s="26" t="str">
        <f t="shared" si="53"/>
        <v/>
      </c>
      <c r="M868" s="26" t="str">
        <f t="shared" si="54"/>
        <v/>
      </c>
      <c r="N868" s="27" t="str">
        <f t="shared" si="55"/>
        <v/>
      </c>
    </row>
    <row r="869" spans="11:14" ht="15" customHeight="1" x14ac:dyDescent="0.25">
      <c r="K869" s="26" t="str">
        <f t="shared" si="52"/>
        <v/>
      </c>
      <c r="L869" s="26" t="str">
        <f t="shared" si="53"/>
        <v/>
      </c>
      <c r="M869" s="26" t="str">
        <f t="shared" si="54"/>
        <v/>
      </c>
      <c r="N869" s="27" t="str">
        <f t="shared" si="55"/>
        <v/>
      </c>
    </row>
    <row r="870" spans="11:14" ht="15" customHeight="1" x14ac:dyDescent="0.25">
      <c r="K870" s="26" t="str">
        <f t="shared" si="52"/>
        <v/>
      </c>
      <c r="L870" s="26" t="str">
        <f t="shared" si="53"/>
        <v/>
      </c>
      <c r="M870" s="26" t="str">
        <f t="shared" si="54"/>
        <v/>
      </c>
      <c r="N870" s="27" t="str">
        <f t="shared" si="55"/>
        <v/>
      </c>
    </row>
    <row r="871" spans="11:14" ht="15" customHeight="1" x14ac:dyDescent="0.25">
      <c r="K871" s="26" t="str">
        <f t="shared" si="52"/>
        <v/>
      </c>
      <c r="L871" s="26" t="str">
        <f t="shared" si="53"/>
        <v/>
      </c>
      <c r="M871" s="26" t="str">
        <f t="shared" si="54"/>
        <v/>
      </c>
      <c r="N871" s="27" t="str">
        <f t="shared" si="55"/>
        <v/>
      </c>
    </row>
    <row r="872" spans="11:14" ht="15" customHeight="1" x14ac:dyDescent="0.25">
      <c r="K872" s="26" t="str">
        <f t="shared" si="52"/>
        <v/>
      </c>
      <c r="L872" s="26" t="str">
        <f t="shared" si="53"/>
        <v/>
      </c>
      <c r="M872" s="26" t="str">
        <f t="shared" si="54"/>
        <v/>
      </c>
      <c r="N872" s="27" t="str">
        <f t="shared" si="55"/>
        <v/>
      </c>
    </row>
    <row r="873" spans="11:14" ht="15" customHeight="1" x14ac:dyDescent="0.25">
      <c r="K873" s="26" t="str">
        <f t="shared" si="52"/>
        <v/>
      </c>
      <c r="L873" s="26" t="str">
        <f t="shared" si="53"/>
        <v/>
      </c>
      <c r="M873" s="26" t="str">
        <f t="shared" si="54"/>
        <v/>
      </c>
      <c r="N873" s="27" t="str">
        <f t="shared" si="55"/>
        <v/>
      </c>
    </row>
    <row r="874" spans="11:14" ht="15" customHeight="1" x14ac:dyDescent="0.25">
      <c r="K874" s="26" t="str">
        <f t="shared" si="52"/>
        <v/>
      </c>
      <c r="L874" s="26" t="str">
        <f t="shared" si="53"/>
        <v/>
      </c>
      <c r="M874" s="26" t="str">
        <f t="shared" si="54"/>
        <v/>
      </c>
      <c r="N874" s="27" t="str">
        <f t="shared" si="55"/>
        <v/>
      </c>
    </row>
    <row r="875" spans="11:14" ht="15" customHeight="1" x14ac:dyDescent="0.25">
      <c r="K875" s="26" t="str">
        <f t="shared" si="52"/>
        <v/>
      </c>
      <c r="L875" s="26" t="str">
        <f t="shared" si="53"/>
        <v/>
      </c>
      <c r="M875" s="26" t="str">
        <f t="shared" si="54"/>
        <v/>
      </c>
      <c r="N875" s="27" t="str">
        <f t="shared" si="55"/>
        <v/>
      </c>
    </row>
    <row r="876" spans="11:14" ht="15" customHeight="1" x14ac:dyDescent="0.25">
      <c r="K876" s="26" t="str">
        <f t="shared" si="52"/>
        <v/>
      </c>
      <c r="L876" s="26" t="str">
        <f t="shared" si="53"/>
        <v/>
      </c>
      <c r="M876" s="26" t="str">
        <f t="shared" si="54"/>
        <v/>
      </c>
      <c r="N876" s="27" t="str">
        <f t="shared" si="55"/>
        <v/>
      </c>
    </row>
    <row r="877" spans="11:14" ht="15" customHeight="1" x14ac:dyDescent="0.25">
      <c r="K877" s="26" t="str">
        <f t="shared" si="52"/>
        <v/>
      </c>
      <c r="L877" s="26" t="str">
        <f t="shared" si="53"/>
        <v/>
      </c>
      <c r="M877" s="26" t="str">
        <f t="shared" si="54"/>
        <v/>
      </c>
      <c r="N877" s="27" t="str">
        <f t="shared" si="55"/>
        <v/>
      </c>
    </row>
    <row r="878" spans="11:14" ht="15" customHeight="1" x14ac:dyDescent="0.25">
      <c r="K878" s="26" t="str">
        <f t="shared" si="52"/>
        <v/>
      </c>
      <c r="L878" s="26" t="str">
        <f t="shared" si="53"/>
        <v/>
      </c>
      <c r="M878" s="26" t="str">
        <f t="shared" si="54"/>
        <v/>
      </c>
      <c r="N878" s="27" t="str">
        <f t="shared" si="55"/>
        <v/>
      </c>
    </row>
    <row r="879" spans="11:14" ht="15" customHeight="1" x14ac:dyDescent="0.25">
      <c r="K879" s="26" t="str">
        <f t="shared" si="52"/>
        <v/>
      </c>
      <c r="L879" s="26" t="str">
        <f t="shared" si="53"/>
        <v/>
      </c>
      <c r="M879" s="26" t="str">
        <f t="shared" si="54"/>
        <v/>
      </c>
      <c r="N879" s="27" t="str">
        <f t="shared" si="55"/>
        <v/>
      </c>
    </row>
    <row r="880" spans="11:14" ht="15" customHeight="1" x14ac:dyDescent="0.25">
      <c r="K880" s="26" t="str">
        <f t="shared" si="52"/>
        <v/>
      </c>
      <c r="L880" s="26" t="str">
        <f t="shared" si="53"/>
        <v/>
      </c>
      <c r="M880" s="26" t="str">
        <f t="shared" si="54"/>
        <v/>
      </c>
      <c r="N880" s="27" t="str">
        <f t="shared" si="55"/>
        <v/>
      </c>
    </row>
    <row r="881" spans="11:14" ht="15" customHeight="1" x14ac:dyDescent="0.25">
      <c r="K881" s="26" t="str">
        <f t="shared" si="52"/>
        <v/>
      </c>
      <c r="L881" s="26" t="str">
        <f t="shared" si="53"/>
        <v/>
      </c>
      <c r="M881" s="26" t="str">
        <f t="shared" si="54"/>
        <v/>
      </c>
      <c r="N881" s="27" t="str">
        <f t="shared" si="55"/>
        <v/>
      </c>
    </row>
    <row r="882" spans="11:14" ht="15" customHeight="1" x14ac:dyDescent="0.25">
      <c r="K882" s="26" t="str">
        <f t="shared" si="52"/>
        <v/>
      </c>
      <c r="L882" s="26" t="str">
        <f t="shared" si="53"/>
        <v/>
      </c>
      <c r="M882" s="26" t="str">
        <f t="shared" si="54"/>
        <v/>
      </c>
      <c r="N882" s="27" t="str">
        <f t="shared" si="55"/>
        <v/>
      </c>
    </row>
    <row r="883" spans="11:14" ht="15" customHeight="1" x14ac:dyDescent="0.25">
      <c r="K883" s="26" t="str">
        <f t="shared" si="52"/>
        <v/>
      </c>
      <c r="L883" s="26" t="str">
        <f t="shared" si="53"/>
        <v/>
      </c>
      <c r="M883" s="26" t="str">
        <f t="shared" si="54"/>
        <v/>
      </c>
      <c r="N883" s="27" t="str">
        <f t="shared" si="55"/>
        <v/>
      </c>
    </row>
    <row r="884" spans="11:14" ht="15" customHeight="1" x14ac:dyDescent="0.25">
      <c r="K884" s="26" t="str">
        <f t="shared" si="52"/>
        <v/>
      </c>
      <c r="L884" s="26" t="str">
        <f t="shared" si="53"/>
        <v/>
      </c>
      <c r="M884" s="26" t="str">
        <f t="shared" si="54"/>
        <v/>
      </c>
      <c r="N884" s="27" t="str">
        <f t="shared" si="55"/>
        <v/>
      </c>
    </row>
    <row r="885" spans="11:14" ht="15" customHeight="1" x14ac:dyDescent="0.25">
      <c r="K885" s="26" t="str">
        <f t="shared" si="52"/>
        <v/>
      </c>
      <c r="L885" s="26" t="str">
        <f t="shared" si="53"/>
        <v/>
      </c>
      <c r="M885" s="26" t="str">
        <f t="shared" si="54"/>
        <v/>
      </c>
      <c r="N885" s="27" t="str">
        <f t="shared" si="55"/>
        <v/>
      </c>
    </row>
    <row r="886" spans="11:14" ht="15" customHeight="1" x14ac:dyDescent="0.25">
      <c r="K886" s="26" t="str">
        <f t="shared" si="52"/>
        <v/>
      </c>
      <c r="L886" s="26" t="str">
        <f t="shared" si="53"/>
        <v/>
      </c>
      <c r="M886" s="26" t="str">
        <f t="shared" si="54"/>
        <v/>
      </c>
      <c r="N886" s="27" t="str">
        <f t="shared" si="55"/>
        <v/>
      </c>
    </row>
    <row r="887" spans="11:14" ht="15" customHeight="1" x14ac:dyDescent="0.25">
      <c r="K887" s="26" t="str">
        <f t="shared" si="52"/>
        <v/>
      </c>
      <c r="L887" s="26" t="str">
        <f t="shared" si="53"/>
        <v/>
      </c>
      <c r="M887" s="26" t="str">
        <f t="shared" si="54"/>
        <v/>
      </c>
      <c r="N887" s="27" t="str">
        <f t="shared" si="55"/>
        <v/>
      </c>
    </row>
    <row r="888" spans="11:14" ht="15" customHeight="1" x14ac:dyDescent="0.25">
      <c r="K888" s="26" t="str">
        <f t="shared" si="52"/>
        <v/>
      </c>
      <c r="L888" s="26" t="str">
        <f t="shared" si="53"/>
        <v/>
      </c>
      <c r="M888" s="26" t="str">
        <f t="shared" si="54"/>
        <v/>
      </c>
      <c r="N888" s="27" t="str">
        <f t="shared" si="55"/>
        <v/>
      </c>
    </row>
    <row r="889" spans="11:14" ht="15" customHeight="1" x14ac:dyDescent="0.25">
      <c r="K889" s="26" t="str">
        <f t="shared" si="52"/>
        <v/>
      </c>
      <c r="L889" s="26" t="str">
        <f t="shared" si="53"/>
        <v/>
      </c>
      <c r="M889" s="26" t="str">
        <f t="shared" si="54"/>
        <v/>
      </c>
      <c r="N889" s="27" t="str">
        <f t="shared" si="55"/>
        <v/>
      </c>
    </row>
    <row r="890" spans="11:14" ht="15" customHeight="1" x14ac:dyDescent="0.25">
      <c r="K890" s="26" t="str">
        <f t="shared" si="52"/>
        <v/>
      </c>
      <c r="L890" s="26" t="str">
        <f t="shared" si="53"/>
        <v/>
      </c>
      <c r="M890" s="26" t="str">
        <f t="shared" si="54"/>
        <v/>
      </c>
      <c r="N890" s="27" t="str">
        <f t="shared" si="55"/>
        <v/>
      </c>
    </row>
    <row r="891" spans="11:14" ht="15" customHeight="1" x14ac:dyDescent="0.25">
      <c r="K891" s="26" t="str">
        <f t="shared" si="52"/>
        <v/>
      </c>
      <c r="L891" s="26" t="str">
        <f t="shared" si="53"/>
        <v/>
      </c>
      <c r="M891" s="26" t="str">
        <f t="shared" si="54"/>
        <v/>
      </c>
      <c r="N891" s="27" t="str">
        <f t="shared" si="55"/>
        <v/>
      </c>
    </row>
    <row r="892" spans="11:14" ht="15" customHeight="1" x14ac:dyDescent="0.25">
      <c r="K892" s="26" t="str">
        <f t="shared" si="52"/>
        <v/>
      </c>
      <c r="L892" s="26" t="str">
        <f t="shared" si="53"/>
        <v/>
      </c>
      <c r="M892" s="26" t="str">
        <f t="shared" si="54"/>
        <v/>
      </c>
      <c r="N892" s="27" t="str">
        <f t="shared" si="55"/>
        <v/>
      </c>
    </row>
    <row r="893" spans="11:14" ht="15" customHeight="1" x14ac:dyDescent="0.25">
      <c r="K893" s="26" t="str">
        <f t="shared" si="52"/>
        <v/>
      </c>
      <c r="L893" s="26" t="str">
        <f t="shared" si="53"/>
        <v/>
      </c>
      <c r="M893" s="26" t="str">
        <f t="shared" si="54"/>
        <v/>
      </c>
      <c r="N893" s="27" t="str">
        <f t="shared" si="55"/>
        <v/>
      </c>
    </row>
    <row r="894" spans="11:14" ht="15" customHeight="1" x14ac:dyDescent="0.25">
      <c r="K894" s="26" t="str">
        <f t="shared" si="52"/>
        <v/>
      </c>
      <c r="L894" s="26" t="str">
        <f t="shared" si="53"/>
        <v/>
      </c>
      <c r="M894" s="26" t="str">
        <f t="shared" si="54"/>
        <v/>
      </c>
      <c r="N894" s="27" t="str">
        <f t="shared" si="55"/>
        <v/>
      </c>
    </row>
    <row r="895" spans="11:14" ht="15" customHeight="1" x14ac:dyDescent="0.25">
      <c r="K895" s="26" t="str">
        <f t="shared" si="52"/>
        <v/>
      </c>
      <c r="L895" s="26" t="str">
        <f t="shared" si="53"/>
        <v/>
      </c>
      <c r="M895" s="26" t="str">
        <f t="shared" si="54"/>
        <v/>
      </c>
      <c r="N895" s="27" t="str">
        <f t="shared" si="55"/>
        <v/>
      </c>
    </row>
    <row r="896" spans="11:14" ht="15" customHeight="1" x14ac:dyDescent="0.25">
      <c r="K896" s="26" t="str">
        <f t="shared" si="52"/>
        <v/>
      </c>
      <c r="L896" s="26" t="str">
        <f t="shared" si="53"/>
        <v/>
      </c>
      <c r="M896" s="26" t="str">
        <f t="shared" si="54"/>
        <v/>
      </c>
      <c r="N896" s="27" t="str">
        <f t="shared" si="55"/>
        <v/>
      </c>
    </row>
    <row r="897" spans="11:14" ht="15" customHeight="1" x14ac:dyDescent="0.25">
      <c r="K897" s="26" t="str">
        <f t="shared" si="52"/>
        <v/>
      </c>
      <c r="L897" s="26" t="str">
        <f t="shared" si="53"/>
        <v/>
      </c>
      <c r="M897" s="26" t="str">
        <f t="shared" si="54"/>
        <v/>
      </c>
      <c r="N897" s="27" t="str">
        <f t="shared" si="55"/>
        <v/>
      </c>
    </row>
    <row r="898" spans="11:14" ht="15" customHeight="1" x14ac:dyDescent="0.25">
      <c r="K898" s="26" t="str">
        <f t="shared" si="52"/>
        <v/>
      </c>
      <c r="L898" s="26" t="str">
        <f t="shared" si="53"/>
        <v/>
      </c>
      <c r="M898" s="26" t="str">
        <f t="shared" si="54"/>
        <v/>
      </c>
      <c r="N898" s="27" t="str">
        <f t="shared" si="55"/>
        <v/>
      </c>
    </row>
    <row r="899" spans="11:14" ht="15" customHeight="1" x14ac:dyDescent="0.25">
      <c r="K899" s="26" t="str">
        <f t="shared" si="52"/>
        <v/>
      </c>
      <c r="L899" s="26" t="str">
        <f t="shared" si="53"/>
        <v/>
      </c>
      <c r="M899" s="26" t="str">
        <f t="shared" si="54"/>
        <v/>
      </c>
      <c r="N899" s="27" t="str">
        <f t="shared" si="55"/>
        <v/>
      </c>
    </row>
    <row r="900" spans="11:14" ht="15" customHeight="1" x14ac:dyDescent="0.25">
      <c r="K900" s="26" t="str">
        <f t="shared" si="52"/>
        <v/>
      </c>
      <c r="L900" s="26" t="str">
        <f t="shared" si="53"/>
        <v/>
      </c>
      <c r="M900" s="26" t="str">
        <f t="shared" si="54"/>
        <v/>
      </c>
      <c r="N900" s="27" t="str">
        <f t="shared" si="55"/>
        <v/>
      </c>
    </row>
    <row r="901" spans="11:14" ht="15" customHeight="1" x14ac:dyDescent="0.25">
      <c r="K901" s="26" t="str">
        <f t="shared" ref="K901:K964" si="56">IF(H901="","",(H901-G901)/G901)</f>
        <v/>
      </c>
      <c r="L901" s="26" t="str">
        <f t="shared" ref="L901:L964" si="57">IF(I901="","",(I901-G901)/G901)</f>
        <v/>
      </c>
      <c r="M901" s="26" t="str">
        <f t="shared" ref="M901:M964" si="58">IF(J901="","",(J901-G901)/G901)</f>
        <v/>
      </c>
      <c r="N901" s="27" t="str">
        <f t="shared" ref="N901:N964" si="59">IF(H901="","",IF(D901="HOLD",IF(ABS(K901)&lt;0.03,"YES","NO"),IF(D901="BUY",IF(K901&gt;0,"YES","NO"),IF(D901="SELL",IF(K901&lt;0,"YES","NO"),""))))</f>
        <v/>
      </c>
    </row>
    <row r="902" spans="11:14" ht="15" customHeight="1" x14ac:dyDescent="0.25">
      <c r="K902" s="26" t="str">
        <f t="shared" si="56"/>
        <v/>
      </c>
      <c r="L902" s="26" t="str">
        <f t="shared" si="57"/>
        <v/>
      </c>
      <c r="M902" s="26" t="str">
        <f t="shared" si="58"/>
        <v/>
      </c>
      <c r="N902" s="27" t="str">
        <f t="shared" si="59"/>
        <v/>
      </c>
    </row>
    <row r="903" spans="11:14" ht="15" customHeight="1" x14ac:dyDescent="0.25">
      <c r="K903" s="26" t="str">
        <f t="shared" si="56"/>
        <v/>
      </c>
      <c r="L903" s="26" t="str">
        <f t="shared" si="57"/>
        <v/>
      </c>
      <c r="M903" s="26" t="str">
        <f t="shared" si="58"/>
        <v/>
      </c>
      <c r="N903" s="27" t="str">
        <f t="shared" si="59"/>
        <v/>
      </c>
    </row>
    <row r="904" spans="11:14" ht="15" customHeight="1" x14ac:dyDescent="0.25">
      <c r="K904" s="26" t="str">
        <f t="shared" si="56"/>
        <v/>
      </c>
      <c r="L904" s="26" t="str">
        <f t="shared" si="57"/>
        <v/>
      </c>
      <c r="M904" s="26" t="str">
        <f t="shared" si="58"/>
        <v/>
      </c>
      <c r="N904" s="27" t="str">
        <f t="shared" si="59"/>
        <v/>
      </c>
    </row>
    <row r="905" spans="11:14" ht="15" customHeight="1" x14ac:dyDescent="0.25">
      <c r="K905" s="26" t="str">
        <f t="shared" si="56"/>
        <v/>
      </c>
      <c r="L905" s="26" t="str">
        <f t="shared" si="57"/>
        <v/>
      </c>
      <c r="M905" s="26" t="str">
        <f t="shared" si="58"/>
        <v/>
      </c>
      <c r="N905" s="27" t="str">
        <f t="shared" si="59"/>
        <v/>
      </c>
    </row>
    <row r="906" spans="11:14" ht="15" customHeight="1" x14ac:dyDescent="0.25">
      <c r="K906" s="26" t="str">
        <f t="shared" si="56"/>
        <v/>
      </c>
      <c r="L906" s="26" t="str">
        <f t="shared" si="57"/>
        <v/>
      </c>
      <c r="M906" s="26" t="str">
        <f t="shared" si="58"/>
        <v/>
      </c>
      <c r="N906" s="27" t="str">
        <f t="shared" si="59"/>
        <v/>
      </c>
    </row>
    <row r="907" spans="11:14" ht="15" customHeight="1" x14ac:dyDescent="0.25">
      <c r="K907" s="26" t="str">
        <f t="shared" si="56"/>
        <v/>
      </c>
      <c r="L907" s="26" t="str">
        <f t="shared" si="57"/>
        <v/>
      </c>
      <c r="M907" s="26" t="str">
        <f t="shared" si="58"/>
        <v/>
      </c>
      <c r="N907" s="27" t="str">
        <f t="shared" si="59"/>
        <v/>
      </c>
    </row>
    <row r="908" spans="11:14" ht="15" customHeight="1" x14ac:dyDescent="0.25">
      <c r="K908" s="26" t="str">
        <f t="shared" si="56"/>
        <v/>
      </c>
      <c r="L908" s="26" t="str">
        <f t="shared" si="57"/>
        <v/>
      </c>
      <c r="M908" s="26" t="str">
        <f t="shared" si="58"/>
        <v/>
      </c>
      <c r="N908" s="27" t="str">
        <f t="shared" si="59"/>
        <v/>
      </c>
    </row>
    <row r="909" spans="11:14" ht="15" customHeight="1" x14ac:dyDescent="0.25">
      <c r="K909" s="26" t="str">
        <f t="shared" si="56"/>
        <v/>
      </c>
      <c r="L909" s="26" t="str">
        <f t="shared" si="57"/>
        <v/>
      </c>
      <c r="M909" s="26" t="str">
        <f t="shared" si="58"/>
        <v/>
      </c>
      <c r="N909" s="27" t="str">
        <f t="shared" si="59"/>
        <v/>
      </c>
    </row>
    <row r="910" spans="11:14" ht="15" customHeight="1" x14ac:dyDescent="0.25">
      <c r="K910" s="26" t="str">
        <f t="shared" si="56"/>
        <v/>
      </c>
      <c r="L910" s="26" t="str">
        <f t="shared" si="57"/>
        <v/>
      </c>
      <c r="M910" s="26" t="str">
        <f t="shared" si="58"/>
        <v/>
      </c>
      <c r="N910" s="27" t="str">
        <f t="shared" si="59"/>
        <v/>
      </c>
    </row>
    <row r="911" spans="11:14" ht="15" customHeight="1" x14ac:dyDescent="0.25">
      <c r="K911" s="26" t="str">
        <f t="shared" si="56"/>
        <v/>
      </c>
      <c r="L911" s="26" t="str">
        <f t="shared" si="57"/>
        <v/>
      </c>
      <c r="M911" s="26" t="str">
        <f t="shared" si="58"/>
        <v/>
      </c>
      <c r="N911" s="27" t="str">
        <f t="shared" si="59"/>
        <v/>
      </c>
    </row>
    <row r="912" spans="11:14" ht="15" customHeight="1" x14ac:dyDescent="0.25">
      <c r="K912" s="26" t="str">
        <f t="shared" si="56"/>
        <v/>
      </c>
      <c r="L912" s="26" t="str">
        <f t="shared" si="57"/>
        <v/>
      </c>
      <c r="M912" s="26" t="str">
        <f t="shared" si="58"/>
        <v/>
      </c>
      <c r="N912" s="27" t="str">
        <f t="shared" si="59"/>
        <v/>
      </c>
    </row>
    <row r="913" spans="11:14" ht="15" customHeight="1" x14ac:dyDescent="0.25">
      <c r="K913" s="26" t="str">
        <f t="shared" si="56"/>
        <v/>
      </c>
      <c r="L913" s="26" t="str">
        <f t="shared" si="57"/>
        <v/>
      </c>
      <c r="M913" s="26" t="str">
        <f t="shared" si="58"/>
        <v/>
      </c>
      <c r="N913" s="27" t="str">
        <f t="shared" si="59"/>
        <v/>
      </c>
    </row>
    <row r="914" spans="11:14" ht="15" customHeight="1" x14ac:dyDescent="0.25">
      <c r="K914" s="26" t="str">
        <f t="shared" si="56"/>
        <v/>
      </c>
      <c r="L914" s="26" t="str">
        <f t="shared" si="57"/>
        <v/>
      </c>
      <c r="M914" s="26" t="str">
        <f t="shared" si="58"/>
        <v/>
      </c>
      <c r="N914" s="27" t="str">
        <f t="shared" si="59"/>
        <v/>
      </c>
    </row>
    <row r="915" spans="11:14" ht="15" customHeight="1" x14ac:dyDescent="0.25">
      <c r="K915" s="26" t="str">
        <f t="shared" si="56"/>
        <v/>
      </c>
      <c r="L915" s="26" t="str">
        <f t="shared" si="57"/>
        <v/>
      </c>
      <c r="M915" s="26" t="str">
        <f t="shared" si="58"/>
        <v/>
      </c>
      <c r="N915" s="27" t="str">
        <f t="shared" si="59"/>
        <v/>
      </c>
    </row>
    <row r="916" spans="11:14" ht="15" customHeight="1" x14ac:dyDescent="0.25">
      <c r="K916" s="26" t="str">
        <f t="shared" si="56"/>
        <v/>
      </c>
      <c r="L916" s="26" t="str">
        <f t="shared" si="57"/>
        <v/>
      </c>
      <c r="M916" s="26" t="str">
        <f t="shared" si="58"/>
        <v/>
      </c>
      <c r="N916" s="27" t="str">
        <f t="shared" si="59"/>
        <v/>
      </c>
    </row>
    <row r="917" spans="11:14" ht="15" customHeight="1" x14ac:dyDescent="0.25">
      <c r="K917" s="26" t="str">
        <f t="shared" si="56"/>
        <v/>
      </c>
      <c r="L917" s="26" t="str">
        <f t="shared" si="57"/>
        <v/>
      </c>
      <c r="M917" s="26" t="str">
        <f t="shared" si="58"/>
        <v/>
      </c>
      <c r="N917" s="27" t="str">
        <f t="shared" si="59"/>
        <v/>
      </c>
    </row>
    <row r="918" spans="11:14" ht="15" customHeight="1" x14ac:dyDescent="0.25">
      <c r="K918" s="26" t="str">
        <f t="shared" si="56"/>
        <v/>
      </c>
      <c r="L918" s="26" t="str">
        <f t="shared" si="57"/>
        <v/>
      </c>
      <c r="M918" s="26" t="str">
        <f t="shared" si="58"/>
        <v/>
      </c>
      <c r="N918" s="27" t="str">
        <f t="shared" si="59"/>
        <v/>
      </c>
    </row>
    <row r="919" spans="11:14" ht="15" customHeight="1" x14ac:dyDescent="0.25">
      <c r="K919" s="26" t="str">
        <f t="shared" si="56"/>
        <v/>
      </c>
      <c r="L919" s="26" t="str">
        <f t="shared" si="57"/>
        <v/>
      </c>
      <c r="M919" s="26" t="str">
        <f t="shared" si="58"/>
        <v/>
      </c>
      <c r="N919" s="27" t="str">
        <f t="shared" si="59"/>
        <v/>
      </c>
    </row>
    <row r="920" spans="11:14" ht="15" customHeight="1" x14ac:dyDescent="0.25">
      <c r="K920" s="26" t="str">
        <f t="shared" si="56"/>
        <v/>
      </c>
      <c r="L920" s="26" t="str">
        <f t="shared" si="57"/>
        <v/>
      </c>
      <c r="M920" s="26" t="str">
        <f t="shared" si="58"/>
        <v/>
      </c>
      <c r="N920" s="27" t="str">
        <f t="shared" si="59"/>
        <v/>
      </c>
    </row>
    <row r="921" spans="11:14" ht="15" customHeight="1" x14ac:dyDescent="0.25">
      <c r="K921" s="26" t="str">
        <f t="shared" si="56"/>
        <v/>
      </c>
      <c r="L921" s="26" t="str">
        <f t="shared" si="57"/>
        <v/>
      </c>
      <c r="M921" s="26" t="str">
        <f t="shared" si="58"/>
        <v/>
      </c>
      <c r="N921" s="27" t="str">
        <f t="shared" si="59"/>
        <v/>
      </c>
    </row>
    <row r="922" spans="11:14" ht="15" customHeight="1" x14ac:dyDescent="0.25">
      <c r="K922" s="26" t="str">
        <f t="shared" si="56"/>
        <v/>
      </c>
      <c r="L922" s="26" t="str">
        <f t="shared" si="57"/>
        <v/>
      </c>
      <c r="M922" s="26" t="str">
        <f t="shared" si="58"/>
        <v/>
      </c>
      <c r="N922" s="27" t="str">
        <f t="shared" si="59"/>
        <v/>
      </c>
    </row>
    <row r="923" spans="11:14" ht="15" customHeight="1" x14ac:dyDescent="0.25">
      <c r="K923" s="26" t="str">
        <f t="shared" si="56"/>
        <v/>
      </c>
      <c r="L923" s="26" t="str">
        <f t="shared" si="57"/>
        <v/>
      </c>
      <c r="M923" s="26" t="str">
        <f t="shared" si="58"/>
        <v/>
      </c>
      <c r="N923" s="27" t="str">
        <f t="shared" si="59"/>
        <v/>
      </c>
    </row>
    <row r="924" spans="11:14" ht="15" customHeight="1" x14ac:dyDescent="0.25">
      <c r="K924" s="26" t="str">
        <f t="shared" si="56"/>
        <v/>
      </c>
      <c r="L924" s="26" t="str">
        <f t="shared" si="57"/>
        <v/>
      </c>
      <c r="M924" s="26" t="str">
        <f t="shared" si="58"/>
        <v/>
      </c>
      <c r="N924" s="27" t="str">
        <f t="shared" si="59"/>
        <v/>
      </c>
    </row>
    <row r="925" spans="11:14" ht="15" customHeight="1" x14ac:dyDescent="0.25">
      <c r="K925" s="26" t="str">
        <f t="shared" si="56"/>
        <v/>
      </c>
      <c r="L925" s="26" t="str">
        <f t="shared" si="57"/>
        <v/>
      </c>
      <c r="M925" s="26" t="str">
        <f t="shared" si="58"/>
        <v/>
      </c>
      <c r="N925" s="27" t="str">
        <f t="shared" si="59"/>
        <v/>
      </c>
    </row>
    <row r="926" spans="11:14" ht="15" customHeight="1" x14ac:dyDescent="0.25">
      <c r="K926" s="26" t="str">
        <f t="shared" si="56"/>
        <v/>
      </c>
      <c r="L926" s="26" t="str">
        <f t="shared" si="57"/>
        <v/>
      </c>
      <c r="M926" s="26" t="str">
        <f t="shared" si="58"/>
        <v/>
      </c>
      <c r="N926" s="27" t="str">
        <f t="shared" si="59"/>
        <v/>
      </c>
    </row>
    <row r="927" spans="11:14" ht="15" customHeight="1" x14ac:dyDescent="0.25">
      <c r="K927" s="26" t="str">
        <f t="shared" si="56"/>
        <v/>
      </c>
      <c r="L927" s="26" t="str">
        <f t="shared" si="57"/>
        <v/>
      </c>
      <c r="M927" s="26" t="str">
        <f t="shared" si="58"/>
        <v/>
      </c>
      <c r="N927" s="27" t="str">
        <f t="shared" si="59"/>
        <v/>
      </c>
    </row>
    <row r="928" spans="11:14" ht="15" customHeight="1" x14ac:dyDescent="0.25">
      <c r="K928" s="26" t="str">
        <f t="shared" si="56"/>
        <v/>
      </c>
      <c r="L928" s="26" t="str">
        <f t="shared" si="57"/>
        <v/>
      </c>
      <c r="M928" s="26" t="str">
        <f t="shared" si="58"/>
        <v/>
      </c>
      <c r="N928" s="27" t="str">
        <f t="shared" si="59"/>
        <v/>
      </c>
    </row>
    <row r="929" spans="11:14" ht="15" customHeight="1" x14ac:dyDescent="0.25">
      <c r="K929" s="26" t="str">
        <f t="shared" si="56"/>
        <v/>
      </c>
      <c r="L929" s="26" t="str">
        <f t="shared" si="57"/>
        <v/>
      </c>
      <c r="M929" s="26" t="str">
        <f t="shared" si="58"/>
        <v/>
      </c>
      <c r="N929" s="27" t="str">
        <f t="shared" si="59"/>
        <v/>
      </c>
    </row>
    <row r="930" spans="11:14" ht="15" customHeight="1" x14ac:dyDescent="0.25">
      <c r="K930" s="26" t="str">
        <f t="shared" si="56"/>
        <v/>
      </c>
      <c r="L930" s="26" t="str">
        <f t="shared" si="57"/>
        <v/>
      </c>
      <c r="M930" s="26" t="str">
        <f t="shared" si="58"/>
        <v/>
      </c>
      <c r="N930" s="27" t="str">
        <f t="shared" si="59"/>
        <v/>
      </c>
    </row>
    <row r="931" spans="11:14" ht="15" customHeight="1" x14ac:dyDescent="0.25">
      <c r="K931" s="26" t="str">
        <f t="shared" si="56"/>
        <v/>
      </c>
      <c r="L931" s="26" t="str">
        <f t="shared" si="57"/>
        <v/>
      </c>
      <c r="M931" s="26" t="str">
        <f t="shared" si="58"/>
        <v/>
      </c>
      <c r="N931" s="27" t="str">
        <f t="shared" si="59"/>
        <v/>
      </c>
    </row>
    <row r="932" spans="11:14" ht="15" customHeight="1" x14ac:dyDescent="0.25">
      <c r="K932" s="26" t="str">
        <f t="shared" si="56"/>
        <v/>
      </c>
      <c r="L932" s="26" t="str">
        <f t="shared" si="57"/>
        <v/>
      </c>
      <c r="M932" s="26" t="str">
        <f t="shared" si="58"/>
        <v/>
      </c>
      <c r="N932" s="27" t="str">
        <f t="shared" si="59"/>
        <v/>
      </c>
    </row>
    <row r="933" spans="11:14" ht="15" customHeight="1" x14ac:dyDescent="0.25">
      <c r="K933" s="26" t="str">
        <f t="shared" si="56"/>
        <v/>
      </c>
      <c r="L933" s="26" t="str">
        <f t="shared" si="57"/>
        <v/>
      </c>
      <c r="M933" s="26" t="str">
        <f t="shared" si="58"/>
        <v/>
      </c>
      <c r="N933" s="27" t="str">
        <f t="shared" si="59"/>
        <v/>
      </c>
    </row>
    <row r="934" spans="11:14" ht="15" customHeight="1" x14ac:dyDescent="0.25">
      <c r="K934" s="26" t="str">
        <f t="shared" si="56"/>
        <v/>
      </c>
      <c r="L934" s="26" t="str">
        <f t="shared" si="57"/>
        <v/>
      </c>
      <c r="M934" s="26" t="str">
        <f t="shared" si="58"/>
        <v/>
      </c>
      <c r="N934" s="27" t="str">
        <f t="shared" si="59"/>
        <v/>
      </c>
    </row>
    <row r="935" spans="11:14" ht="15" customHeight="1" x14ac:dyDescent="0.25">
      <c r="K935" s="26" t="str">
        <f t="shared" si="56"/>
        <v/>
      </c>
      <c r="L935" s="26" t="str">
        <f t="shared" si="57"/>
        <v/>
      </c>
      <c r="M935" s="26" t="str">
        <f t="shared" si="58"/>
        <v/>
      </c>
      <c r="N935" s="27" t="str">
        <f t="shared" si="59"/>
        <v/>
      </c>
    </row>
    <row r="936" spans="11:14" ht="15" customHeight="1" x14ac:dyDescent="0.25">
      <c r="K936" s="26" t="str">
        <f t="shared" si="56"/>
        <v/>
      </c>
      <c r="L936" s="26" t="str">
        <f t="shared" si="57"/>
        <v/>
      </c>
      <c r="M936" s="26" t="str">
        <f t="shared" si="58"/>
        <v/>
      </c>
      <c r="N936" s="27" t="str">
        <f t="shared" si="59"/>
        <v/>
      </c>
    </row>
    <row r="937" spans="11:14" ht="15" customHeight="1" x14ac:dyDescent="0.25">
      <c r="K937" s="26" t="str">
        <f t="shared" si="56"/>
        <v/>
      </c>
      <c r="L937" s="26" t="str">
        <f t="shared" si="57"/>
        <v/>
      </c>
      <c r="M937" s="26" t="str">
        <f t="shared" si="58"/>
        <v/>
      </c>
      <c r="N937" s="27" t="str">
        <f t="shared" si="59"/>
        <v/>
      </c>
    </row>
    <row r="938" spans="11:14" ht="15" customHeight="1" x14ac:dyDescent="0.25">
      <c r="K938" s="26" t="str">
        <f t="shared" si="56"/>
        <v/>
      </c>
      <c r="L938" s="26" t="str">
        <f t="shared" si="57"/>
        <v/>
      </c>
      <c r="M938" s="26" t="str">
        <f t="shared" si="58"/>
        <v/>
      </c>
      <c r="N938" s="27" t="str">
        <f t="shared" si="59"/>
        <v/>
      </c>
    </row>
    <row r="939" spans="11:14" ht="15" customHeight="1" x14ac:dyDescent="0.25">
      <c r="K939" s="26" t="str">
        <f t="shared" si="56"/>
        <v/>
      </c>
      <c r="L939" s="26" t="str">
        <f t="shared" si="57"/>
        <v/>
      </c>
      <c r="M939" s="26" t="str">
        <f t="shared" si="58"/>
        <v/>
      </c>
      <c r="N939" s="27" t="str">
        <f t="shared" si="59"/>
        <v/>
      </c>
    </row>
    <row r="940" spans="11:14" ht="15" customHeight="1" x14ac:dyDescent="0.25">
      <c r="K940" s="26" t="str">
        <f t="shared" si="56"/>
        <v/>
      </c>
      <c r="L940" s="26" t="str">
        <f t="shared" si="57"/>
        <v/>
      </c>
      <c r="M940" s="26" t="str">
        <f t="shared" si="58"/>
        <v/>
      </c>
      <c r="N940" s="27" t="str">
        <f t="shared" si="59"/>
        <v/>
      </c>
    </row>
    <row r="941" spans="11:14" ht="15" customHeight="1" x14ac:dyDescent="0.25">
      <c r="K941" s="26" t="str">
        <f t="shared" si="56"/>
        <v/>
      </c>
      <c r="L941" s="26" t="str">
        <f t="shared" si="57"/>
        <v/>
      </c>
      <c r="M941" s="26" t="str">
        <f t="shared" si="58"/>
        <v/>
      </c>
      <c r="N941" s="27" t="str">
        <f t="shared" si="59"/>
        <v/>
      </c>
    </row>
    <row r="942" spans="11:14" ht="15" customHeight="1" x14ac:dyDescent="0.25">
      <c r="K942" s="26" t="str">
        <f t="shared" si="56"/>
        <v/>
      </c>
      <c r="L942" s="26" t="str">
        <f t="shared" si="57"/>
        <v/>
      </c>
      <c r="M942" s="26" t="str">
        <f t="shared" si="58"/>
        <v/>
      </c>
      <c r="N942" s="27" t="str">
        <f t="shared" si="59"/>
        <v/>
      </c>
    </row>
    <row r="943" spans="11:14" ht="15" customHeight="1" x14ac:dyDescent="0.25">
      <c r="K943" s="26" t="str">
        <f t="shared" si="56"/>
        <v/>
      </c>
      <c r="L943" s="26" t="str">
        <f t="shared" si="57"/>
        <v/>
      </c>
      <c r="M943" s="26" t="str">
        <f t="shared" si="58"/>
        <v/>
      </c>
      <c r="N943" s="27" t="str">
        <f t="shared" si="59"/>
        <v/>
      </c>
    </row>
    <row r="944" spans="11:14" ht="15" customHeight="1" x14ac:dyDescent="0.25">
      <c r="K944" s="26" t="str">
        <f t="shared" si="56"/>
        <v/>
      </c>
      <c r="L944" s="26" t="str">
        <f t="shared" si="57"/>
        <v/>
      </c>
      <c r="M944" s="26" t="str">
        <f t="shared" si="58"/>
        <v/>
      </c>
      <c r="N944" s="27" t="str">
        <f t="shared" si="59"/>
        <v/>
      </c>
    </row>
    <row r="945" spans="11:14" ht="15" customHeight="1" x14ac:dyDescent="0.25">
      <c r="K945" s="26" t="str">
        <f t="shared" si="56"/>
        <v/>
      </c>
      <c r="L945" s="26" t="str">
        <f t="shared" si="57"/>
        <v/>
      </c>
      <c r="M945" s="26" t="str">
        <f t="shared" si="58"/>
        <v/>
      </c>
      <c r="N945" s="27" t="str">
        <f t="shared" si="59"/>
        <v/>
      </c>
    </row>
    <row r="946" spans="11:14" ht="15" customHeight="1" x14ac:dyDescent="0.25">
      <c r="K946" s="26" t="str">
        <f t="shared" si="56"/>
        <v/>
      </c>
      <c r="L946" s="26" t="str">
        <f t="shared" si="57"/>
        <v/>
      </c>
      <c r="M946" s="26" t="str">
        <f t="shared" si="58"/>
        <v/>
      </c>
      <c r="N946" s="27" t="str">
        <f t="shared" si="59"/>
        <v/>
      </c>
    </row>
    <row r="947" spans="11:14" ht="15" customHeight="1" x14ac:dyDescent="0.25">
      <c r="K947" s="26" t="str">
        <f t="shared" si="56"/>
        <v/>
      </c>
      <c r="L947" s="26" t="str">
        <f t="shared" si="57"/>
        <v/>
      </c>
      <c r="M947" s="26" t="str">
        <f t="shared" si="58"/>
        <v/>
      </c>
      <c r="N947" s="27" t="str">
        <f t="shared" si="59"/>
        <v/>
      </c>
    </row>
    <row r="948" spans="11:14" ht="15" customHeight="1" x14ac:dyDescent="0.25">
      <c r="K948" s="26" t="str">
        <f t="shared" si="56"/>
        <v/>
      </c>
      <c r="L948" s="26" t="str">
        <f t="shared" si="57"/>
        <v/>
      </c>
      <c r="M948" s="26" t="str">
        <f t="shared" si="58"/>
        <v/>
      </c>
      <c r="N948" s="27" t="str">
        <f t="shared" si="59"/>
        <v/>
      </c>
    </row>
    <row r="949" spans="11:14" ht="15" customHeight="1" x14ac:dyDescent="0.25">
      <c r="K949" s="26" t="str">
        <f t="shared" si="56"/>
        <v/>
      </c>
      <c r="L949" s="26" t="str">
        <f t="shared" si="57"/>
        <v/>
      </c>
      <c r="M949" s="26" t="str">
        <f t="shared" si="58"/>
        <v/>
      </c>
      <c r="N949" s="27" t="str">
        <f t="shared" si="59"/>
        <v/>
      </c>
    </row>
    <row r="950" spans="11:14" ht="15" customHeight="1" x14ac:dyDescent="0.25">
      <c r="K950" s="26" t="str">
        <f t="shared" si="56"/>
        <v/>
      </c>
      <c r="L950" s="26" t="str">
        <f t="shared" si="57"/>
        <v/>
      </c>
      <c r="M950" s="26" t="str">
        <f t="shared" si="58"/>
        <v/>
      </c>
      <c r="N950" s="27" t="str">
        <f t="shared" si="59"/>
        <v/>
      </c>
    </row>
    <row r="951" spans="11:14" ht="15" customHeight="1" x14ac:dyDescent="0.25">
      <c r="K951" s="26" t="str">
        <f t="shared" si="56"/>
        <v/>
      </c>
      <c r="L951" s="26" t="str">
        <f t="shared" si="57"/>
        <v/>
      </c>
      <c r="M951" s="26" t="str">
        <f t="shared" si="58"/>
        <v/>
      </c>
      <c r="N951" s="27" t="str">
        <f t="shared" si="59"/>
        <v/>
      </c>
    </row>
    <row r="952" spans="11:14" ht="15" customHeight="1" x14ac:dyDescent="0.25">
      <c r="K952" s="26" t="str">
        <f t="shared" si="56"/>
        <v/>
      </c>
      <c r="L952" s="26" t="str">
        <f t="shared" si="57"/>
        <v/>
      </c>
      <c r="M952" s="26" t="str">
        <f t="shared" si="58"/>
        <v/>
      </c>
      <c r="N952" s="27" t="str">
        <f t="shared" si="59"/>
        <v/>
      </c>
    </row>
    <row r="953" spans="11:14" ht="15" customHeight="1" x14ac:dyDescent="0.25">
      <c r="K953" s="26" t="str">
        <f t="shared" si="56"/>
        <v/>
      </c>
      <c r="L953" s="26" t="str">
        <f t="shared" si="57"/>
        <v/>
      </c>
      <c r="M953" s="26" t="str">
        <f t="shared" si="58"/>
        <v/>
      </c>
      <c r="N953" s="27" t="str">
        <f t="shared" si="59"/>
        <v/>
      </c>
    </row>
    <row r="954" spans="11:14" ht="15" customHeight="1" x14ac:dyDescent="0.25">
      <c r="K954" s="26" t="str">
        <f t="shared" si="56"/>
        <v/>
      </c>
      <c r="L954" s="26" t="str">
        <f t="shared" si="57"/>
        <v/>
      </c>
      <c r="M954" s="26" t="str">
        <f t="shared" si="58"/>
        <v/>
      </c>
      <c r="N954" s="27" t="str">
        <f t="shared" si="59"/>
        <v/>
      </c>
    </row>
    <row r="955" spans="11:14" ht="15" customHeight="1" x14ac:dyDescent="0.25">
      <c r="K955" s="26" t="str">
        <f t="shared" si="56"/>
        <v/>
      </c>
      <c r="L955" s="26" t="str">
        <f t="shared" si="57"/>
        <v/>
      </c>
      <c r="M955" s="26" t="str">
        <f t="shared" si="58"/>
        <v/>
      </c>
      <c r="N955" s="27" t="str">
        <f t="shared" si="59"/>
        <v/>
      </c>
    </row>
    <row r="956" spans="11:14" ht="15" customHeight="1" x14ac:dyDescent="0.25">
      <c r="K956" s="26" t="str">
        <f t="shared" si="56"/>
        <v/>
      </c>
      <c r="L956" s="26" t="str">
        <f t="shared" si="57"/>
        <v/>
      </c>
      <c r="M956" s="26" t="str">
        <f t="shared" si="58"/>
        <v/>
      </c>
      <c r="N956" s="27" t="str">
        <f t="shared" si="59"/>
        <v/>
      </c>
    </row>
    <row r="957" spans="11:14" ht="15" customHeight="1" x14ac:dyDescent="0.25">
      <c r="K957" s="26" t="str">
        <f t="shared" si="56"/>
        <v/>
      </c>
      <c r="L957" s="26" t="str">
        <f t="shared" si="57"/>
        <v/>
      </c>
      <c r="M957" s="26" t="str">
        <f t="shared" si="58"/>
        <v/>
      </c>
      <c r="N957" s="27" t="str">
        <f t="shared" si="59"/>
        <v/>
      </c>
    </row>
    <row r="958" spans="11:14" ht="15" customHeight="1" x14ac:dyDescent="0.25">
      <c r="K958" s="26" t="str">
        <f t="shared" si="56"/>
        <v/>
      </c>
      <c r="L958" s="26" t="str">
        <f t="shared" si="57"/>
        <v/>
      </c>
      <c r="M958" s="26" t="str">
        <f t="shared" si="58"/>
        <v/>
      </c>
      <c r="N958" s="27" t="str">
        <f t="shared" si="59"/>
        <v/>
      </c>
    </row>
    <row r="959" spans="11:14" ht="15" customHeight="1" x14ac:dyDescent="0.25">
      <c r="K959" s="26" t="str">
        <f t="shared" si="56"/>
        <v/>
      </c>
      <c r="L959" s="26" t="str">
        <f t="shared" si="57"/>
        <v/>
      </c>
      <c r="M959" s="26" t="str">
        <f t="shared" si="58"/>
        <v/>
      </c>
      <c r="N959" s="27" t="str">
        <f t="shared" si="59"/>
        <v/>
      </c>
    </row>
    <row r="960" spans="11:14" ht="15" customHeight="1" x14ac:dyDescent="0.25">
      <c r="K960" s="26" t="str">
        <f t="shared" si="56"/>
        <v/>
      </c>
      <c r="L960" s="26" t="str">
        <f t="shared" si="57"/>
        <v/>
      </c>
      <c r="M960" s="26" t="str">
        <f t="shared" si="58"/>
        <v/>
      </c>
      <c r="N960" s="27" t="str">
        <f t="shared" si="59"/>
        <v/>
      </c>
    </row>
    <row r="961" spans="11:14" ht="15" customHeight="1" x14ac:dyDescent="0.25">
      <c r="K961" s="26" t="str">
        <f t="shared" si="56"/>
        <v/>
      </c>
      <c r="L961" s="26" t="str">
        <f t="shared" si="57"/>
        <v/>
      </c>
      <c r="M961" s="26" t="str">
        <f t="shared" si="58"/>
        <v/>
      </c>
      <c r="N961" s="27" t="str">
        <f t="shared" si="59"/>
        <v/>
      </c>
    </row>
    <row r="962" spans="11:14" ht="15" customHeight="1" x14ac:dyDescent="0.25">
      <c r="K962" s="26" t="str">
        <f t="shared" si="56"/>
        <v/>
      </c>
      <c r="L962" s="26" t="str">
        <f t="shared" si="57"/>
        <v/>
      </c>
      <c r="M962" s="26" t="str">
        <f t="shared" si="58"/>
        <v/>
      </c>
      <c r="N962" s="27" t="str">
        <f t="shared" si="59"/>
        <v/>
      </c>
    </row>
    <row r="963" spans="11:14" ht="15" customHeight="1" x14ac:dyDescent="0.25">
      <c r="K963" s="26" t="str">
        <f t="shared" si="56"/>
        <v/>
      </c>
      <c r="L963" s="26" t="str">
        <f t="shared" si="57"/>
        <v/>
      </c>
      <c r="M963" s="26" t="str">
        <f t="shared" si="58"/>
        <v/>
      </c>
      <c r="N963" s="27" t="str">
        <f t="shared" si="59"/>
        <v/>
      </c>
    </row>
    <row r="964" spans="11:14" ht="15" customHeight="1" x14ac:dyDescent="0.25">
      <c r="K964" s="26" t="str">
        <f t="shared" si="56"/>
        <v/>
      </c>
      <c r="L964" s="26" t="str">
        <f t="shared" si="57"/>
        <v/>
      </c>
      <c r="M964" s="26" t="str">
        <f t="shared" si="58"/>
        <v/>
      </c>
      <c r="N964" s="27" t="str">
        <f t="shared" si="59"/>
        <v/>
      </c>
    </row>
    <row r="965" spans="11:14" ht="15" customHeight="1" x14ac:dyDescent="0.25">
      <c r="K965" s="26" t="str">
        <f t="shared" ref="K965:K1028" si="60">IF(H965="","",(H965-G965)/G965)</f>
        <v/>
      </c>
      <c r="L965" s="26" t="str">
        <f t="shared" ref="L965:L1028" si="61">IF(I965="","",(I965-G965)/G965)</f>
        <v/>
      </c>
      <c r="M965" s="26" t="str">
        <f t="shared" ref="M965:M1028" si="62">IF(J965="","",(J965-G965)/G965)</f>
        <v/>
      </c>
      <c r="N965" s="27" t="str">
        <f t="shared" ref="N965:N1028" si="63">IF(H965="","",IF(D965="HOLD",IF(ABS(K965)&lt;0.03,"YES","NO"),IF(D965="BUY",IF(K965&gt;0,"YES","NO"),IF(D965="SELL",IF(K965&lt;0,"YES","NO"),""))))</f>
        <v/>
      </c>
    </row>
    <row r="966" spans="11:14" ht="15" customHeight="1" x14ac:dyDescent="0.25">
      <c r="K966" s="26" t="str">
        <f t="shared" si="60"/>
        <v/>
      </c>
      <c r="L966" s="26" t="str">
        <f t="shared" si="61"/>
        <v/>
      </c>
      <c r="M966" s="26" t="str">
        <f t="shared" si="62"/>
        <v/>
      </c>
      <c r="N966" s="27" t="str">
        <f t="shared" si="63"/>
        <v/>
      </c>
    </row>
    <row r="967" spans="11:14" ht="15" customHeight="1" x14ac:dyDescent="0.25">
      <c r="K967" s="26" t="str">
        <f t="shared" si="60"/>
        <v/>
      </c>
      <c r="L967" s="26" t="str">
        <f t="shared" si="61"/>
        <v/>
      </c>
      <c r="M967" s="26" t="str">
        <f t="shared" si="62"/>
        <v/>
      </c>
      <c r="N967" s="27" t="str">
        <f t="shared" si="63"/>
        <v/>
      </c>
    </row>
    <row r="968" spans="11:14" ht="15" customHeight="1" x14ac:dyDescent="0.25">
      <c r="K968" s="26" t="str">
        <f t="shared" si="60"/>
        <v/>
      </c>
      <c r="L968" s="26" t="str">
        <f t="shared" si="61"/>
        <v/>
      </c>
      <c r="M968" s="26" t="str">
        <f t="shared" si="62"/>
        <v/>
      </c>
      <c r="N968" s="27" t="str">
        <f t="shared" si="63"/>
        <v/>
      </c>
    </row>
    <row r="969" spans="11:14" ht="15" customHeight="1" x14ac:dyDescent="0.25">
      <c r="K969" s="26" t="str">
        <f t="shared" si="60"/>
        <v/>
      </c>
      <c r="L969" s="26" t="str">
        <f t="shared" si="61"/>
        <v/>
      </c>
      <c r="M969" s="26" t="str">
        <f t="shared" si="62"/>
        <v/>
      </c>
      <c r="N969" s="27" t="str">
        <f t="shared" si="63"/>
        <v/>
      </c>
    </row>
    <row r="970" spans="11:14" ht="15" customHeight="1" x14ac:dyDescent="0.25">
      <c r="K970" s="26" t="str">
        <f t="shared" si="60"/>
        <v/>
      </c>
      <c r="L970" s="26" t="str">
        <f t="shared" si="61"/>
        <v/>
      </c>
      <c r="M970" s="26" t="str">
        <f t="shared" si="62"/>
        <v/>
      </c>
      <c r="N970" s="27" t="str">
        <f t="shared" si="63"/>
        <v/>
      </c>
    </row>
    <row r="971" spans="11:14" ht="15" customHeight="1" x14ac:dyDescent="0.25">
      <c r="K971" s="26" t="str">
        <f t="shared" si="60"/>
        <v/>
      </c>
      <c r="L971" s="26" t="str">
        <f t="shared" si="61"/>
        <v/>
      </c>
      <c r="M971" s="26" t="str">
        <f t="shared" si="62"/>
        <v/>
      </c>
      <c r="N971" s="27" t="str">
        <f t="shared" si="63"/>
        <v/>
      </c>
    </row>
    <row r="972" spans="11:14" ht="15" customHeight="1" x14ac:dyDescent="0.25">
      <c r="K972" s="26" t="str">
        <f t="shared" si="60"/>
        <v/>
      </c>
      <c r="L972" s="26" t="str">
        <f t="shared" si="61"/>
        <v/>
      </c>
      <c r="M972" s="26" t="str">
        <f t="shared" si="62"/>
        <v/>
      </c>
      <c r="N972" s="27" t="str">
        <f t="shared" si="63"/>
        <v/>
      </c>
    </row>
    <row r="973" spans="11:14" ht="15" customHeight="1" x14ac:dyDescent="0.25">
      <c r="K973" s="26" t="str">
        <f t="shared" si="60"/>
        <v/>
      </c>
      <c r="L973" s="26" t="str">
        <f t="shared" si="61"/>
        <v/>
      </c>
      <c r="M973" s="26" t="str">
        <f t="shared" si="62"/>
        <v/>
      </c>
      <c r="N973" s="27" t="str">
        <f t="shared" si="63"/>
        <v/>
      </c>
    </row>
    <row r="974" spans="11:14" ht="15" customHeight="1" x14ac:dyDescent="0.25">
      <c r="K974" s="26" t="str">
        <f t="shared" si="60"/>
        <v/>
      </c>
      <c r="L974" s="26" t="str">
        <f t="shared" si="61"/>
        <v/>
      </c>
      <c r="M974" s="26" t="str">
        <f t="shared" si="62"/>
        <v/>
      </c>
      <c r="N974" s="27" t="str">
        <f t="shared" si="63"/>
        <v/>
      </c>
    </row>
    <row r="975" spans="11:14" ht="15" customHeight="1" x14ac:dyDescent="0.25">
      <c r="K975" s="26" t="str">
        <f t="shared" si="60"/>
        <v/>
      </c>
      <c r="L975" s="26" t="str">
        <f t="shared" si="61"/>
        <v/>
      </c>
      <c r="M975" s="26" t="str">
        <f t="shared" si="62"/>
        <v/>
      </c>
      <c r="N975" s="27" t="str">
        <f t="shared" si="63"/>
        <v/>
      </c>
    </row>
    <row r="976" spans="11:14" ht="15" customHeight="1" x14ac:dyDescent="0.25">
      <c r="K976" s="26" t="str">
        <f t="shared" si="60"/>
        <v/>
      </c>
      <c r="L976" s="26" t="str">
        <f t="shared" si="61"/>
        <v/>
      </c>
      <c r="M976" s="26" t="str">
        <f t="shared" si="62"/>
        <v/>
      </c>
      <c r="N976" s="27" t="str">
        <f t="shared" si="63"/>
        <v/>
      </c>
    </row>
    <row r="977" spans="11:14" ht="15" customHeight="1" x14ac:dyDescent="0.25">
      <c r="K977" s="26" t="str">
        <f t="shared" si="60"/>
        <v/>
      </c>
      <c r="L977" s="26" t="str">
        <f t="shared" si="61"/>
        <v/>
      </c>
      <c r="M977" s="26" t="str">
        <f t="shared" si="62"/>
        <v/>
      </c>
      <c r="N977" s="27" t="str">
        <f t="shared" si="63"/>
        <v/>
      </c>
    </row>
    <row r="978" spans="11:14" ht="15" customHeight="1" x14ac:dyDescent="0.25">
      <c r="K978" s="26" t="str">
        <f t="shared" si="60"/>
        <v/>
      </c>
      <c r="L978" s="26" t="str">
        <f t="shared" si="61"/>
        <v/>
      </c>
      <c r="M978" s="26" t="str">
        <f t="shared" si="62"/>
        <v/>
      </c>
      <c r="N978" s="27" t="str">
        <f t="shared" si="63"/>
        <v/>
      </c>
    </row>
    <row r="979" spans="11:14" ht="15" customHeight="1" x14ac:dyDescent="0.25">
      <c r="K979" s="26" t="str">
        <f t="shared" si="60"/>
        <v/>
      </c>
      <c r="L979" s="26" t="str">
        <f t="shared" si="61"/>
        <v/>
      </c>
      <c r="M979" s="26" t="str">
        <f t="shared" si="62"/>
        <v/>
      </c>
      <c r="N979" s="27" t="str">
        <f t="shared" si="63"/>
        <v/>
      </c>
    </row>
    <row r="980" spans="11:14" ht="15" customHeight="1" x14ac:dyDescent="0.25">
      <c r="K980" s="26" t="str">
        <f t="shared" si="60"/>
        <v/>
      </c>
      <c r="L980" s="26" t="str">
        <f t="shared" si="61"/>
        <v/>
      </c>
      <c r="M980" s="26" t="str">
        <f t="shared" si="62"/>
        <v/>
      </c>
      <c r="N980" s="27" t="str">
        <f t="shared" si="63"/>
        <v/>
      </c>
    </row>
    <row r="981" spans="11:14" ht="15" customHeight="1" x14ac:dyDescent="0.25">
      <c r="K981" s="26" t="str">
        <f t="shared" si="60"/>
        <v/>
      </c>
      <c r="L981" s="26" t="str">
        <f t="shared" si="61"/>
        <v/>
      </c>
      <c r="M981" s="26" t="str">
        <f t="shared" si="62"/>
        <v/>
      </c>
      <c r="N981" s="27" t="str">
        <f t="shared" si="63"/>
        <v/>
      </c>
    </row>
    <row r="982" spans="11:14" ht="15" customHeight="1" x14ac:dyDescent="0.25">
      <c r="K982" s="26" t="str">
        <f t="shared" si="60"/>
        <v/>
      </c>
      <c r="L982" s="26" t="str">
        <f t="shared" si="61"/>
        <v/>
      </c>
      <c r="M982" s="26" t="str">
        <f t="shared" si="62"/>
        <v/>
      </c>
      <c r="N982" s="27" t="str">
        <f t="shared" si="63"/>
        <v/>
      </c>
    </row>
    <row r="983" spans="11:14" ht="15" customHeight="1" x14ac:dyDescent="0.25">
      <c r="K983" s="26" t="str">
        <f t="shared" si="60"/>
        <v/>
      </c>
      <c r="L983" s="26" t="str">
        <f t="shared" si="61"/>
        <v/>
      </c>
      <c r="M983" s="26" t="str">
        <f t="shared" si="62"/>
        <v/>
      </c>
      <c r="N983" s="27" t="str">
        <f t="shared" si="63"/>
        <v/>
      </c>
    </row>
    <row r="984" spans="11:14" ht="15" customHeight="1" x14ac:dyDescent="0.25">
      <c r="K984" s="26" t="str">
        <f t="shared" si="60"/>
        <v/>
      </c>
      <c r="L984" s="26" t="str">
        <f t="shared" si="61"/>
        <v/>
      </c>
      <c r="M984" s="26" t="str">
        <f t="shared" si="62"/>
        <v/>
      </c>
      <c r="N984" s="27" t="str">
        <f t="shared" si="63"/>
        <v/>
      </c>
    </row>
    <row r="985" spans="11:14" ht="15" customHeight="1" x14ac:dyDescent="0.25">
      <c r="K985" s="26" t="str">
        <f t="shared" si="60"/>
        <v/>
      </c>
      <c r="L985" s="26" t="str">
        <f t="shared" si="61"/>
        <v/>
      </c>
      <c r="M985" s="26" t="str">
        <f t="shared" si="62"/>
        <v/>
      </c>
      <c r="N985" s="27" t="str">
        <f t="shared" si="63"/>
        <v/>
      </c>
    </row>
    <row r="986" spans="11:14" ht="15" customHeight="1" x14ac:dyDescent="0.25">
      <c r="K986" s="26" t="str">
        <f t="shared" si="60"/>
        <v/>
      </c>
      <c r="L986" s="26" t="str">
        <f t="shared" si="61"/>
        <v/>
      </c>
      <c r="M986" s="26" t="str">
        <f t="shared" si="62"/>
        <v/>
      </c>
      <c r="N986" s="27" t="str">
        <f t="shared" si="63"/>
        <v/>
      </c>
    </row>
    <row r="987" spans="11:14" ht="15" customHeight="1" x14ac:dyDescent="0.25">
      <c r="K987" s="26" t="str">
        <f t="shared" si="60"/>
        <v/>
      </c>
      <c r="L987" s="26" t="str">
        <f t="shared" si="61"/>
        <v/>
      </c>
      <c r="M987" s="26" t="str">
        <f t="shared" si="62"/>
        <v/>
      </c>
      <c r="N987" s="27" t="str">
        <f t="shared" si="63"/>
        <v/>
      </c>
    </row>
    <row r="988" spans="11:14" ht="15" customHeight="1" x14ac:dyDescent="0.25">
      <c r="K988" s="26" t="str">
        <f t="shared" si="60"/>
        <v/>
      </c>
      <c r="L988" s="26" t="str">
        <f t="shared" si="61"/>
        <v/>
      </c>
      <c r="M988" s="26" t="str">
        <f t="shared" si="62"/>
        <v/>
      </c>
      <c r="N988" s="27" t="str">
        <f t="shared" si="63"/>
        <v/>
      </c>
    </row>
    <row r="989" spans="11:14" ht="15" customHeight="1" x14ac:dyDescent="0.25">
      <c r="K989" s="26" t="str">
        <f t="shared" si="60"/>
        <v/>
      </c>
      <c r="L989" s="26" t="str">
        <f t="shared" si="61"/>
        <v/>
      </c>
      <c r="M989" s="26" t="str">
        <f t="shared" si="62"/>
        <v/>
      </c>
      <c r="N989" s="27" t="str">
        <f t="shared" si="63"/>
        <v/>
      </c>
    </row>
    <row r="990" spans="11:14" ht="15" customHeight="1" x14ac:dyDescent="0.25">
      <c r="K990" s="26" t="str">
        <f t="shared" si="60"/>
        <v/>
      </c>
      <c r="L990" s="26" t="str">
        <f t="shared" si="61"/>
        <v/>
      </c>
      <c r="M990" s="26" t="str">
        <f t="shared" si="62"/>
        <v/>
      </c>
      <c r="N990" s="27" t="str">
        <f t="shared" si="63"/>
        <v/>
      </c>
    </row>
    <row r="991" spans="11:14" ht="15" customHeight="1" x14ac:dyDescent="0.25">
      <c r="K991" s="26" t="str">
        <f t="shared" si="60"/>
        <v/>
      </c>
      <c r="L991" s="26" t="str">
        <f t="shared" si="61"/>
        <v/>
      </c>
      <c r="M991" s="26" t="str">
        <f t="shared" si="62"/>
        <v/>
      </c>
      <c r="N991" s="27" t="str">
        <f t="shared" si="63"/>
        <v/>
      </c>
    </row>
    <row r="992" spans="11:14" ht="15" customHeight="1" x14ac:dyDescent="0.25">
      <c r="K992" s="26" t="str">
        <f t="shared" si="60"/>
        <v/>
      </c>
      <c r="L992" s="26" t="str">
        <f t="shared" si="61"/>
        <v/>
      </c>
      <c r="M992" s="26" t="str">
        <f t="shared" si="62"/>
        <v/>
      </c>
      <c r="N992" s="27" t="str">
        <f t="shared" si="63"/>
        <v/>
      </c>
    </row>
    <row r="993" spans="11:14" ht="15" customHeight="1" x14ac:dyDescent="0.25">
      <c r="K993" s="26" t="str">
        <f t="shared" si="60"/>
        <v/>
      </c>
      <c r="L993" s="26" t="str">
        <f t="shared" si="61"/>
        <v/>
      </c>
      <c r="M993" s="26" t="str">
        <f t="shared" si="62"/>
        <v/>
      </c>
      <c r="N993" s="27" t="str">
        <f t="shared" si="63"/>
        <v/>
      </c>
    </row>
    <row r="994" spans="11:14" ht="15" customHeight="1" x14ac:dyDescent="0.25">
      <c r="K994" s="26" t="str">
        <f t="shared" si="60"/>
        <v/>
      </c>
      <c r="L994" s="26" t="str">
        <f t="shared" si="61"/>
        <v/>
      </c>
      <c r="M994" s="26" t="str">
        <f t="shared" si="62"/>
        <v/>
      </c>
      <c r="N994" s="27" t="str">
        <f t="shared" si="63"/>
        <v/>
      </c>
    </row>
    <row r="995" spans="11:14" ht="15" customHeight="1" x14ac:dyDescent="0.25">
      <c r="K995" s="26" t="str">
        <f t="shared" si="60"/>
        <v/>
      </c>
      <c r="L995" s="26" t="str">
        <f t="shared" si="61"/>
        <v/>
      </c>
      <c r="M995" s="26" t="str">
        <f t="shared" si="62"/>
        <v/>
      </c>
      <c r="N995" s="27" t="str">
        <f t="shared" si="63"/>
        <v/>
      </c>
    </row>
    <row r="996" spans="11:14" ht="15" customHeight="1" x14ac:dyDescent="0.25">
      <c r="K996" s="26" t="str">
        <f t="shared" si="60"/>
        <v/>
      </c>
      <c r="L996" s="26" t="str">
        <f t="shared" si="61"/>
        <v/>
      </c>
      <c r="M996" s="26" t="str">
        <f t="shared" si="62"/>
        <v/>
      </c>
      <c r="N996" s="27" t="str">
        <f t="shared" si="63"/>
        <v/>
      </c>
    </row>
    <row r="997" spans="11:14" ht="15" customHeight="1" x14ac:dyDescent="0.25">
      <c r="K997" s="26" t="str">
        <f t="shared" si="60"/>
        <v/>
      </c>
      <c r="L997" s="26" t="str">
        <f t="shared" si="61"/>
        <v/>
      </c>
      <c r="M997" s="26" t="str">
        <f t="shared" si="62"/>
        <v/>
      </c>
      <c r="N997" s="27" t="str">
        <f t="shared" si="63"/>
        <v/>
      </c>
    </row>
    <row r="998" spans="11:14" ht="15" customHeight="1" x14ac:dyDescent="0.25">
      <c r="K998" s="26" t="str">
        <f t="shared" si="60"/>
        <v/>
      </c>
      <c r="L998" s="26" t="str">
        <f t="shared" si="61"/>
        <v/>
      </c>
      <c r="M998" s="26" t="str">
        <f t="shared" si="62"/>
        <v/>
      </c>
      <c r="N998" s="27" t="str">
        <f t="shared" si="63"/>
        <v/>
      </c>
    </row>
    <row r="999" spans="11:14" ht="15" customHeight="1" x14ac:dyDescent="0.25">
      <c r="K999" s="26" t="str">
        <f t="shared" si="60"/>
        <v/>
      </c>
      <c r="L999" s="26" t="str">
        <f t="shared" si="61"/>
        <v/>
      </c>
      <c r="M999" s="26" t="str">
        <f t="shared" si="62"/>
        <v/>
      </c>
      <c r="N999" s="27" t="str">
        <f t="shared" si="63"/>
        <v/>
      </c>
    </row>
    <row r="1000" spans="11:14" ht="15" customHeight="1" x14ac:dyDescent="0.25">
      <c r="K1000" s="26" t="str">
        <f t="shared" si="60"/>
        <v/>
      </c>
      <c r="L1000" s="26" t="str">
        <f t="shared" si="61"/>
        <v/>
      </c>
      <c r="M1000" s="26" t="str">
        <f t="shared" si="62"/>
        <v/>
      </c>
      <c r="N1000" s="27" t="str">
        <f t="shared" si="63"/>
        <v/>
      </c>
    </row>
    <row r="1001" spans="11:14" ht="15" customHeight="1" x14ac:dyDescent="0.25">
      <c r="K1001" s="26" t="str">
        <f t="shared" si="60"/>
        <v/>
      </c>
      <c r="L1001" s="26" t="str">
        <f t="shared" si="61"/>
        <v/>
      </c>
      <c r="M1001" s="26" t="str">
        <f t="shared" si="62"/>
        <v/>
      </c>
      <c r="N1001" s="27" t="str">
        <f t="shared" si="63"/>
        <v/>
      </c>
    </row>
    <row r="1002" spans="11:14" ht="15" customHeight="1" x14ac:dyDescent="0.25">
      <c r="K1002" s="26" t="str">
        <f t="shared" si="60"/>
        <v/>
      </c>
      <c r="L1002" s="26" t="str">
        <f t="shared" si="61"/>
        <v/>
      </c>
      <c r="M1002" s="26" t="str">
        <f t="shared" si="62"/>
        <v/>
      </c>
      <c r="N1002" s="27" t="str">
        <f t="shared" si="63"/>
        <v/>
      </c>
    </row>
    <row r="1003" spans="11:14" ht="15" customHeight="1" x14ac:dyDescent="0.25">
      <c r="K1003" s="26" t="str">
        <f t="shared" si="60"/>
        <v/>
      </c>
      <c r="L1003" s="26" t="str">
        <f t="shared" si="61"/>
        <v/>
      </c>
      <c r="M1003" s="26" t="str">
        <f t="shared" si="62"/>
        <v/>
      </c>
      <c r="N1003" s="27" t="str">
        <f t="shared" si="63"/>
        <v/>
      </c>
    </row>
    <row r="1004" spans="11:14" ht="15" customHeight="1" x14ac:dyDescent="0.25">
      <c r="K1004" s="26" t="str">
        <f t="shared" si="60"/>
        <v/>
      </c>
      <c r="L1004" s="26" t="str">
        <f t="shared" si="61"/>
        <v/>
      </c>
      <c r="M1004" s="26" t="str">
        <f t="shared" si="62"/>
        <v/>
      </c>
      <c r="N1004" s="27" t="str">
        <f t="shared" si="63"/>
        <v/>
      </c>
    </row>
    <row r="1005" spans="11:14" ht="15" customHeight="1" x14ac:dyDescent="0.25">
      <c r="K1005" s="26" t="str">
        <f t="shared" si="60"/>
        <v/>
      </c>
      <c r="L1005" s="26" t="str">
        <f t="shared" si="61"/>
        <v/>
      </c>
      <c r="M1005" s="26" t="str">
        <f t="shared" si="62"/>
        <v/>
      </c>
      <c r="N1005" s="27" t="str">
        <f t="shared" si="63"/>
        <v/>
      </c>
    </row>
    <row r="1006" spans="11:14" ht="15" customHeight="1" x14ac:dyDescent="0.25">
      <c r="K1006" s="26" t="str">
        <f t="shared" si="60"/>
        <v/>
      </c>
      <c r="L1006" s="26" t="str">
        <f t="shared" si="61"/>
        <v/>
      </c>
      <c r="M1006" s="26" t="str">
        <f t="shared" si="62"/>
        <v/>
      </c>
      <c r="N1006" s="27" t="str">
        <f t="shared" si="63"/>
        <v/>
      </c>
    </row>
    <row r="1007" spans="11:14" ht="15" customHeight="1" x14ac:dyDescent="0.25">
      <c r="K1007" s="26" t="str">
        <f t="shared" si="60"/>
        <v/>
      </c>
      <c r="L1007" s="26" t="str">
        <f t="shared" si="61"/>
        <v/>
      </c>
      <c r="M1007" s="26" t="str">
        <f t="shared" si="62"/>
        <v/>
      </c>
      <c r="N1007" s="27" t="str">
        <f t="shared" si="63"/>
        <v/>
      </c>
    </row>
    <row r="1008" spans="11:14" ht="15" customHeight="1" x14ac:dyDescent="0.25">
      <c r="K1008" s="26" t="str">
        <f t="shared" si="60"/>
        <v/>
      </c>
      <c r="L1008" s="26" t="str">
        <f t="shared" si="61"/>
        <v/>
      </c>
      <c r="M1008" s="26" t="str">
        <f t="shared" si="62"/>
        <v/>
      </c>
      <c r="N1008" s="27" t="str">
        <f t="shared" si="63"/>
        <v/>
      </c>
    </row>
    <row r="1009" spans="11:14" ht="15" customHeight="1" x14ac:dyDescent="0.25">
      <c r="K1009" s="26" t="str">
        <f t="shared" si="60"/>
        <v/>
      </c>
      <c r="L1009" s="26" t="str">
        <f t="shared" si="61"/>
        <v/>
      </c>
      <c r="M1009" s="26" t="str">
        <f t="shared" si="62"/>
        <v/>
      </c>
      <c r="N1009" s="27" t="str">
        <f t="shared" si="63"/>
        <v/>
      </c>
    </row>
    <row r="1010" spans="11:14" ht="15" customHeight="1" x14ac:dyDescent="0.25">
      <c r="K1010" s="26" t="str">
        <f t="shared" si="60"/>
        <v/>
      </c>
      <c r="L1010" s="26" t="str">
        <f t="shared" si="61"/>
        <v/>
      </c>
      <c r="M1010" s="26" t="str">
        <f t="shared" si="62"/>
        <v/>
      </c>
      <c r="N1010" s="27" t="str">
        <f t="shared" si="63"/>
        <v/>
      </c>
    </row>
    <row r="1011" spans="11:14" ht="15" customHeight="1" x14ac:dyDescent="0.25">
      <c r="K1011" s="26" t="str">
        <f t="shared" si="60"/>
        <v/>
      </c>
      <c r="L1011" s="26" t="str">
        <f t="shared" si="61"/>
        <v/>
      </c>
      <c r="M1011" s="26" t="str">
        <f t="shared" si="62"/>
        <v/>
      </c>
      <c r="N1011" s="27" t="str">
        <f t="shared" si="63"/>
        <v/>
      </c>
    </row>
    <row r="1012" spans="11:14" ht="15" customHeight="1" x14ac:dyDescent="0.25">
      <c r="K1012" s="26" t="str">
        <f t="shared" si="60"/>
        <v/>
      </c>
      <c r="L1012" s="26" t="str">
        <f t="shared" si="61"/>
        <v/>
      </c>
      <c r="M1012" s="26" t="str">
        <f t="shared" si="62"/>
        <v/>
      </c>
      <c r="N1012" s="27" t="str">
        <f t="shared" si="63"/>
        <v/>
      </c>
    </row>
    <row r="1013" spans="11:14" ht="15" customHeight="1" x14ac:dyDescent="0.25">
      <c r="K1013" s="26" t="str">
        <f t="shared" si="60"/>
        <v/>
      </c>
      <c r="L1013" s="26" t="str">
        <f t="shared" si="61"/>
        <v/>
      </c>
      <c r="M1013" s="26" t="str">
        <f t="shared" si="62"/>
        <v/>
      </c>
      <c r="N1013" s="27" t="str">
        <f t="shared" si="63"/>
        <v/>
      </c>
    </row>
    <row r="1014" spans="11:14" ht="15" customHeight="1" x14ac:dyDescent="0.25">
      <c r="K1014" s="26" t="str">
        <f t="shared" si="60"/>
        <v/>
      </c>
      <c r="L1014" s="26" t="str">
        <f t="shared" si="61"/>
        <v/>
      </c>
      <c r="M1014" s="26" t="str">
        <f t="shared" si="62"/>
        <v/>
      </c>
      <c r="N1014" s="27" t="str">
        <f t="shared" si="63"/>
        <v/>
      </c>
    </row>
    <row r="1015" spans="11:14" ht="15" customHeight="1" x14ac:dyDescent="0.25">
      <c r="K1015" s="26" t="str">
        <f t="shared" si="60"/>
        <v/>
      </c>
      <c r="L1015" s="26" t="str">
        <f t="shared" si="61"/>
        <v/>
      </c>
      <c r="M1015" s="26" t="str">
        <f t="shared" si="62"/>
        <v/>
      </c>
      <c r="N1015" s="27" t="str">
        <f t="shared" si="63"/>
        <v/>
      </c>
    </row>
    <row r="1016" spans="11:14" ht="15" customHeight="1" x14ac:dyDescent="0.25">
      <c r="K1016" s="26" t="str">
        <f t="shared" si="60"/>
        <v/>
      </c>
      <c r="L1016" s="26" t="str">
        <f t="shared" si="61"/>
        <v/>
      </c>
      <c r="M1016" s="26" t="str">
        <f t="shared" si="62"/>
        <v/>
      </c>
      <c r="N1016" s="27" t="str">
        <f t="shared" si="63"/>
        <v/>
      </c>
    </row>
    <row r="1017" spans="11:14" ht="15" customHeight="1" x14ac:dyDescent="0.25">
      <c r="K1017" s="26" t="str">
        <f t="shared" si="60"/>
        <v/>
      </c>
      <c r="L1017" s="26" t="str">
        <f t="shared" si="61"/>
        <v/>
      </c>
      <c r="M1017" s="26" t="str">
        <f t="shared" si="62"/>
        <v/>
      </c>
      <c r="N1017" s="27" t="str">
        <f t="shared" si="63"/>
        <v/>
      </c>
    </row>
    <row r="1018" spans="11:14" ht="15" customHeight="1" x14ac:dyDescent="0.25">
      <c r="K1018" s="26" t="str">
        <f t="shared" si="60"/>
        <v/>
      </c>
      <c r="L1018" s="26" t="str">
        <f t="shared" si="61"/>
        <v/>
      </c>
      <c r="M1018" s="26" t="str">
        <f t="shared" si="62"/>
        <v/>
      </c>
      <c r="N1018" s="27" t="str">
        <f t="shared" si="63"/>
        <v/>
      </c>
    </row>
    <row r="1019" spans="11:14" ht="15" customHeight="1" x14ac:dyDescent="0.25">
      <c r="K1019" s="26" t="str">
        <f t="shared" si="60"/>
        <v/>
      </c>
      <c r="L1019" s="26" t="str">
        <f t="shared" si="61"/>
        <v/>
      </c>
      <c r="M1019" s="26" t="str">
        <f t="shared" si="62"/>
        <v/>
      </c>
      <c r="N1019" s="27" t="str">
        <f t="shared" si="63"/>
        <v/>
      </c>
    </row>
    <row r="1020" spans="11:14" ht="15" customHeight="1" x14ac:dyDescent="0.25">
      <c r="K1020" s="26" t="str">
        <f t="shared" si="60"/>
        <v/>
      </c>
      <c r="L1020" s="26" t="str">
        <f t="shared" si="61"/>
        <v/>
      </c>
      <c r="M1020" s="26" t="str">
        <f t="shared" si="62"/>
        <v/>
      </c>
      <c r="N1020" s="27" t="str">
        <f t="shared" si="63"/>
        <v/>
      </c>
    </row>
    <row r="1021" spans="11:14" ht="15" customHeight="1" x14ac:dyDescent="0.25">
      <c r="K1021" s="26" t="str">
        <f t="shared" si="60"/>
        <v/>
      </c>
      <c r="L1021" s="26" t="str">
        <f t="shared" si="61"/>
        <v/>
      </c>
      <c r="M1021" s="26" t="str">
        <f t="shared" si="62"/>
        <v/>
      </c>
      <c r="N1021" s="27" t="str">
        <f t="shared" si="63"/>
        <v/>
      </c>
    </row>
    <row r="1022" spans="11:14" ht="15" customHeight="1" x14ac:dyDescent="0.25">
      <c r="K1022" s="26" t="str">
        <f t="shared" si="60"/>
        <v/>
      </c>
      <c r="L1022" s="26" t="str">
        <f t="shared" si="61"/>
        <v/>
      </c>
      <c r="M1022" s="26" t="str">
        <f t="shared" si="62"/>
        <v/>
      </c>
      <c r="N1022" s="27" t="str">
        <f t="shared" si="63"/>
        <v/>
      </c>
    </row>
    <row r="1023" spans="11:14" ht="15" customHeight="1" x14ac:dyDescent="0.25">
      <c r="K1023" s="26" t="str">
        <f t="shared" si="60"/>
        <v/>
      </c>
      <c r="L1023" s="26" t="str">
        <f t="shared" si="61"/>
        <v/>
      </c>
      <c r="M1023" s="26" t="str">
        <f t="shared" si="62"/>
        <v/>
      </c>
      <c r="N1023" s="27" t="str">
        <f t="shared" si="63"/>
        <v/>
      </c>
    </row>
    <row r="1024" spans="11:14" ht="15" customHeight="1" x14ac:dyDescent="0.25">
      <c r="K1024" s="26" t="str">
        <f t="shared" si="60"/>
        <v/>
      </c>
      <c r="L1024" s="26" t="str">
        <f t="shared" si="61"/>
        <v/>
      </c>
      <c r="M1024" s="26" t="str">
        <f t="shared" si="62"/>
        <v/>
      </c>
      <c r="N1024" s="27" t="str">
        <f t="shared" si="63"/>
        <v/>
      </c>
    </row>
    <row r="1025" spans="11:14" ht="15" customHeight="1" x14ac:dyDescent="0.25">
      <c r="K1025" s="26" t="str">
        <f t="shared" si="60"/>
        <v/>
      </c>
      <c r="L1025" s="26" t="str">
        <f t="shared" si="61"/>
        <v/>
      </c>
      <c r="M1025" s="26" t="str">
        <f t="shared" si="62"/>
        <v/>
      </c>
      <c r="N1025" s="27" t="str">
        <f t="shared" si="63"/>
        <v/>
      </c>
    </row>
    <row r="1026" spans="11:14" ht="15" customHeight="1" x14ac:dyDescent="0.25">
      <c r="K1026" s="26" t="str">
        <f t="shared" si="60"/>
        <v/>
      </c>
      <c r="L1026" s="26" t="str">
        <f t="shared" si="61"/>
        <v/>
      </c>
      <c r="M1026" s="26" t="str">
        <f t="shared" si="62"/>
        <v/>
      </c>
      <c r="N1026" s="27" t="str">
        <f t="shared" si="63"/>
        <v/>
      </c>
    </row>
    <row r="1027" spans="11:14" ht="15" customHeight="1" x14ac:dyDescent="0.25">
      <c r="K1027" s="26" t="str">
        <f t="shared" si="60"/>
        <v/>
      </c>
      <c r="L1027" s="26" t="str">
        <f t="shared" si="61"/>
        <v/>
      </c>
      <c r="M1027" s="26" t="str">
        <f t="shared" si="62"/>
        <v/>
      </c>
      <c r="N1027" s="27" t="str">
        <f t="shared" si="63"/>
        <v/>
      </c>
    </row>
    <row r="1028" spans="11:14" ht="15" customHeight="1" x14ac:dyDescent="0.25">
      <c r="K1028" s="26" t="str">
        <f t="shared" si="60"/>
        <v/>
      </c>
      <c r="L1028" s="26" t="str">
        <f t="shared" si="61"/>
        <v/>
      </c>
      <c r="M1028" s="26" t="str">
        <f t="shared" si="62"/>
        <v/>
      </c>
      <c r="N1028" s="27" t="str">
        <f t="shared" si="63"/>
        <v/>
      </c>
    </row>
    <row r="1029" spans="11:14" ht="15" customHeight="1" x14ac:dyDescent="0.25">
      <c r="K1029" s="26" t="str">
        <f t="shared" ref="K1029:K1092" si="64">IF(H1029="","",(H1029-G1029)/G1029)</f>
        <v/>
      </c>
      <c r="L1029" s="26" t="str">
        <f t="shared" ref="L1029:L1092" si="65">IF(I1029="","",(I1029-G1029)/G1029)</f>
        <v/>
      </c>
      <c r="M1029" s="26" t="str">
        <f t="shared" ref="M1029:M1092" si="66">IF(J1029="","",(J1029-G1029)/G1029)</f>
        <v/>
      </c>
      <c r="N1029" s="27" t="str">
        <f t="shared" ref="N1029:N1092" si="67">IF(H1029="","",IF(D1029="HOLD",IF(ABS(K1029)&lt;0.03,"YES","NO"),IF(D1029="BUY",IF(K1029&gt;0,"YES","NO"),IF(D1029="SELL",IF(K1029&lt;0,"YES","NO"),""))))</f>
        <v/>
      </c>
    </row>
    <row r="1030" spans="11:14" ht="15" customHeight="1" x14ac:dyDescent="0.25">
      <c r="K1030" s="26" t="str">
        <f t="shared" si="64"/>
        <v/>
      </c>
      <c r="L1030" s="26" t="str">
        <f t="shared" si="65"/>
        <v/>
      </c>
      <c r="M1030" s="26" t="str">
        <f t="shared" si="66"/>
        <v/>
      </c>
      <c r="N1030" s="27" t="str">
        <f t="shared" si="67"/>
        <v/>
      </c>
    </row>
    <row r="1031" spans="11:14" ht="15" customHeight="1" x14ac:dyDescent="0.25">
      <c r="K1031" s="26" t="str">
        <f t="shared" si="64"/>
        <v/>
      </c>
      <c r="L1031" s="26" t="str">
        <f t="shared" si="65"/>
        <v/>
      </c>
      <c r="M1031" s="26" t="str">
        <f t="shared" si="66"/>
        <v/>
      </c>
      <c r="N1031" s="27" t="str">
        <f t="shared" si="67"/>
        <v/>
      </c>
    </row>
    <row r="1032" spans="11:14" ht="15" customHeight="1" x14ac:dyDescent="0.25">
      <c r="K1032" s="26" t="str">
        <f t="shared" si="64"/>
        <v/>
      </c>
      <c r="L1032" s="26" t="str">
        <f t="shared" si="65"/>
        <v/>
      </c>
      <c r="M1032" s="26" t="str">
        <f t="shared" si="66"/>
        <v/>
      </c>
      <c r="N1032" s="27" t="str">
        <f t="shared" si="67"/>
        <v/>
      </c>
    </row>
    <row r="1033" spans="11:14" ht="15" customHeight="1" x14ac:dyDescent="0.25">
      <c r="K1033" s="26" t="str">
        <f t="shared" si="64"/>
        <v/>
      </c>
      <c r="L1033" s="26" t="str">
        <f t="shared" si="65"/>
        <v/>
      </c>
      <c r="M1033" s="26" t="str">
        <f t="shared" si="66"/>
        <v/>
      </c>
      <c r="N1033" s="27" t="str">
        <f t="shared" si="67"/>
        <v/>
      </c>
    </row>
    <row r="1034" spans="11:14" ht="15" customHeight="1" x14ac:dyDescent="0.25">
      <c r="K1034" s="26" t="str">
        <f t="shared" si="64"/>
        <v/>
      </c>
      <c r="L1034" s="26" t="str">
        <f t="shared" si="65"/>
        <v/>
      </c>
      <c r="M1034" s="26" t="str">
        <f t="shared" si="66"/>
        <v/>
      </c>
      <c r="N1034" s="27" t="str">
        <f t="shared" si="67"/>
        <v/>
      </c>
    </row>
    <row r="1035" spans="11:14" ht="15" customHeight="1" x14ac:dyDescent="0.25">
      <c r="K1035" s="26" t="str">
        <f t="shared" si="64"/>
        <v/>
      </c>
      <c r="L1035" s="26" t="str">
        <f t="shared" si="65"/>
        <v/>
      </c>
      <c r="M1035" s="26" t="str">
        <f t="shared" si="66"/>
        <v/>
      </c>
      <c r="N1035" s="27" t="str">
        <f t="shared" si="67"/>
        <v/>
      </c>
    </row>
    <row r="1036" spans="11:14" ht="15" customHeight="1" x14ac:dyDescent="0.25">
      <c r="K1036" s="26" t="str">
        <f t="shared" si="64"/>
        <v/>
      </c>
      <c r="L1036" s="26" t="str">
        <f t="shared" si="65"/>
        <v/>
      </c>
      <c r="M1036" s="26" t="str">
        <f t="shared" si="66"/>
        <v/>
      </c>
      <c r="N1036" s="27" t="str">
        <f t="shared" si="67"/>
        <v/>
      </c>
    </row>
    <row r="1037" spans="11:14" ht="15" customHeight="1" x14ac:dyDescent="0.25">
      <c r="K1037" s="26" t="str">
        <f t="shared" si="64"/>
        <v/>
      </c>
      <c r="L1037" s="26" t="str">
        <f t="shared" si="65"/>
        <v/>
      </c>
      <c r="M1037" s="26" t="str">
        <f t="shared" si="66"/>
        <v/>
      </c>
      <c r="N1037" s="27" t="str">
        <f t="shared" si="67"/>
        <v/>
      </c>
    </row>
    <row r="1038" spans="11:14" ht="15" customHeight="1" x14ac:dyDescent="0.25">
      <c r="K1038" s="26" t="str">
        <f t="shared" si="64"/>
        <v/>
      </c>
      <c r="L1038" s="26" t="str">
        <f t="shared" si="65"/>
        <v/>
      </c>
      <c r="M1038" s="26" t="str">
        <f t="shared" si="66"/>
        <v/>
      </c>
      <c r="N1038" s="27" t="str">
        <f t="shared" si="67"/>
        <v/>
      </c>
    </row>
    <row r="1039" spans="11:14" ht="15" customHeight="1" x14ac:dyDescent="0.25">
      <c r="K1039" s="26" t="str">
        <f t="shared" si="64"/>
        <v/>
      </c>
      <c r="L1039" s="26" t="str">
        <f t="shared" si="65"/>
        <v/>
      </c>
      <c r="M1039" s="26" t="str">
        <f t="shared" si="66"/>
        <v/>
      </c>
      <c r="N1039" s="27" t="str">
        <f t="shared" si="67"/>
        <v/>
      </c>
    </row>
    <row r="1040" spans="11:14" ht="15" customHeight="1" x14ac:dyDescent="0.25">
      <c r="K1040" s="26" t="str">
        <f t="shared" si="64"/>
        <v/>
      </c>
      <c r="L1040" s="26" t="str">
        <f t="shared" si="65"/>
        <v/>
      </c>
      <c r="M1040" s="26" t="str">
        <f t="shared" si="66"/>
        <v/>
      </c>
      <c r="N1040" s="27" t="str">
        <f t="shared" si="67"/>
        <v/>
      </c>
    </row>
    <row r="1041" spans="11:14" ht="15" customHeight="1" x14ac:dyDescent="0.25">
      <c r="K1041" s="26" t="str">
        <f t="shared" si="64"/>
        <v/>
      </c>
      <c r="L1041" s="26" t="str">
        <f t="shared" si="65"/>
        <v/>
      </c>
      <c r="M1041" s="26" t="str">
        <f t="shared" si="66"/>
        <v/>
      </c>
      <c r="N1041" s="27" t="str">
        <f t="shared" si="67"/>
        <v/>
      </c>
    </row>
    <row r="1042" spans="11:14" ht="15" customHeight="1" x14ac:dyDescent="0.25">
      <c r="K1042" s="26" t="str">
        <f t="shared" si="64"/>
        <v/>
      </c>
      <c r="L1042" s="26" t="str">
        <f t="shared" si="65"/>
        <v/>
      </c>
      <c r="M1042" s="26" t="str">
        <f t="shared" si="66"/>
        <v/>
      </c>
      <c r="N1042" s="27" t="str">
        <f t="shared" si="67"/>
        <v/>
      </c>
    </row>
    <row r="1043" spans="11:14" ht="15" customHeight="1" x14ac:dyDescent="0.25">
      <c r="K1043" s="26" t="str">
        <f t="shared" si="64"/>
        <v/>
      </c>
      <c r="L1043" s="26" t="str">
        <f t="shared" si="65"/>
        <v/>
      </c>
      <c r="M1043" s="26" t="str">
        <f t="shared" si="66"/>
        <v/>
      </c>
      <c r="N1043" s="27" t="str">
        <f t="shared" si="67"/>
        <v/>
      </c>
    </row>
    <row r="1044" spans="11:14" ht="15" customHeight="1" x14ac:dyDescent="0.25">
      <c r="K1044" s="26" t="str">
        <f t="shared" si="64"/>
        <v/>
      </c>
      <c r="L1044" s="26" t="str">
        <f t="shared" si="65"/>
        <v/>
      </c>
      <c r="M1044" s="26" t="str">
        <f t="shared" si="66"/>
        <v/>
      </c>
      <c r="N1044" s="27" t="str">
        <f t="shared" si="67"/>
        <v/>
      </c>
    </row>
    <row r="1045" spans="11:14" ht="15" customHeight="1" x14ac:dyDescent="0.25">
      <c r="K1045" s="26" t="str">
        <f t="shared" si="64"/>
        <v/>
      </c>
      <c r="L1045" s="26" t="str">
        <f t="shared" si="65"/>
        <v/>
      </c>
      <c r="M1045" s="26" t="str">
        <f t="shared" si="66"/>
        <v/>
      </c>
      <c r="N1045" s="27" t="str">
        <f t="shared" si="67"/>
        <v/>
      </c>
    </row>
    <row r="1046" spans="11:14" ht="15" customHeight="1" x14ac:dyDescent="0.25">
      <c r="K1046" s="26" t="str">
        <f t="shared" si="64"/>
        <v/>
      </c>
      <c r="L1046" s="26" t="str">
        <f t="shared" si="65"/>
        <v/>
      </c>
      <c r="M1046" s="26" t="str">
        <f t="shared" si="66"/>
        <v/>
      </c>
      <c r="N1046" s="27" t="str">
        <f t="shared" si="67"/>
        <v/>
      </c>
    </row>
    <row r="1047" spans="11:14" ht="15" customHeight="1" x14ac:dyDescent="0.25">
      <c r="K1047" s="26" t="str">
        <f t="shared" si="64"/>
        <v/>
      </c>
      <c r="L1047" s="26" t="str">
        <f t="shared" si="65"/>
        <v/>
      </c>
      <c r="M1047" s="26" t="str">
        <f t="shared" si="66"/>
        <v/>
      </c>
      <c r="N1047" s="27" t="str">
        <f t="shared" si="67"/>
        <v/>
      </c>
    </row>
    <row r="1048" spans="11:14" ht="15" customHeight="1" x14ac:dyDescent="0.25">
      <c r="K1048" s="26" t="str">
        <f t="shared" si="64"/>
        <v/>
      </c>
      <c r="L1048" s="26" t="str">
        <f t="shared" si="65"/>
        <v/>
      </c>
      <c r="M1048" s="26" t="str">
        <f t="shared" si="66"/>
        <v/>
      </c>
      <c r="N1048" s="27" t="str">
        <f t="shared" si="67"/>
        <v/>
      </c>
    </row>
    <row r="1049" spans="11:14" ht="15" customHeight="1" x14ac:dyDescent="0.25">
      <c r="K1049" s="26" t="str">
        <f t="shared" si="64"/>
        <v/>
      </c>
      <c r="L1049" s="26" t="str">
        <f t="shared" si="65"/>
        <v/>
      </c>
      <c r="M1049" s="26" t="str">
        <f t="shared" si="66"/>
        <v/>
      </c>
      <c r="N1049" s="27" t="str">
        <f t="shared" si="67"/>
        <v/>
      </c>
    </row>
    <row r="1050" spans="11:14" ht="15" customHeight="1" x14ac:dyDescent="0.25">
      <c r="K1050" s="26" t="str">
        <f t="shared" si="64"/>
        <v/>
      </c>
      <c r="L1050" s="26" t="str">
        <f t="shared" si="65"/>
        <v/>
      </c>
      <c r="M1050" s="26" t="str">
        <f t="shared" si="66"/>
        <v/>
      </c>
      <c r="N1050" s="27" t="str">
        <f t="shared" si="67"/>
        <v/>
      </c>
    </row>
    <row r="1051" spans="11:14" ht="15" customHeight="1" x14ac:dyDescent="0.25">
      <c r="K1051" s="26" t="str">
        <f t="shared" si="64"/>
        <v/>
      </c>
      <c r="L1051" s="26" t="str">
        <f t="shared" si="65"/>
        <v/>
      </c>
      <c r="M1051" s="26" t="str">
        <f t="shared" si="66"/>
        <v/>
      </c>
      <c r="N1051" s="27" t="str">
        <f t="shared" si="67"/>
        <v/>
      </c>
    </row>
    <row r="1052" spans="11:14" ht="15" customHeight="1" x14ac:dyDescent="0.25">
      <c r="K1052" s="26" t="str">
        <f t="shared" si="64"/>
        <v/>
      </c>
      <c r="L1052" s="26" t="str">
        <f t="shared" si="65"/>
        <v/>
      </c>
      <c r="M1052" s="26" t="str">
        <f t="shared" si="66"/>
        <v/>
      </c>
      <c r="N1052" s="27" t="str">
        <f t="shared" si="67"/>
        <v/>
      </c>
    </row>
    <row r="1053" spans="11:14" ht="15" customHeight="1" x14ac:dyDescent="0.25">
      <c r="K1053" s="26" t="str">
        <f t="shared" si="64"/>
        <v/>
      </c>
      <c r="L1053" s="26" t="str">
        <f t="shared" si="65"/>
        <v/>
      </c>
      <c r="M1053" s="26" t="str">
        <f t="shared" si="66"/>
        <v/>
      </c>
      <c r="N1053" s="27" t="str">
        <f t="shared" si="67"/>
        <v/>
      </c>
    </row>
    <row r="1054" spans="11:14" ht="15" customHeight="1" x14ac:dyDescent="0.25">
      <c r="K1054" s="26" t="str">
        <f t="shared" si="64"/>
        <v/>
      </c>
      <c r="L1054" s="26" t="str">
        <f t="shared" si="65"/>
        <v/>
      </c>
      <c r="M1054" s="26" t="str">
        <f t="shared" si="66"/>
        <v/>
      </c>
      <c r="N1054" s="27" t="str">
        <f t="shared" si="67"/>
        <v/>
      </c>
    </row>
    <row r="1055" spans="11:14" ht="15" customHeight="1" x14ac:dyDescent="0.25">
      <c r="K1055" s="26" t="str">
        <f t="shared" si="64"/>
        <v/>
      </c>
      <c r="L1055" s="26" t="str">
        <f t="shared" si="65"/>
        <v/>
      </c>
      <c r="M1055" s="26" t="str">
        <f t="shared" si="66"/>
        <v/>
      </c>
      <c r="N1055" s="27" t="str">
        <f t="shared" si="67"/>
        <v/>
      </c>
    </row>
    <row r="1056" spans="11:14" ht="15" customHeight="1" x14ac:dyDescent="0.25">
      <c r="K1056" s="26" t="str">
        <f t="shared" si="64"/>
        <v/>
      </c>
      <c r="L1056" s="26" t="str">
        <f t="shared" si="65"/>
        <v/>
      </c>
      <c r="M1056" s="26" t="str">
        <f t="shared" si="66"/>
        <v/>
      </c>
      <c r="N1056" s="27" t="str">
        <f t="shared" si="67"/>
        <v/>
      </c>
    </row>
    <row r="1057" spans="11:14" ht="15" customHeight="1" x14ac:dyDescent="0.25">
      <c r="K1057" s="26" t="str">
        <f t="shared" si="64"/>
        <v/>
      </c>
      <c r="L1057" s="26" t="str">
        <f t="shared" si="65"/>
        <v/>
      </c>
      <c r="M1057" s="26" t="str">
        <f t="shared" si="66"/>
        <v/>
      </c>
      <c r="N1057" s="27" t="str">
        <f t="shared" si="67"/>
        <v/>
      </c>
    </row>
    <row r="1058" spans="11:14" ht="15" customHeight="1" x14ac:dyDescent="0.25">
      <c r="K1058" s="26" t="str">
        <f t="shared" si="64"/>
        <v/>
      </c>
      <c r="L1058" s="26" t="str">
        <f t="shared" si="65"/>
        <v/>
      </c>
      <c r="M1058" s="26" t="str">
        <f t="shared" si="66"/>
        <v/>
      </c>
      <c r="N1058" s="27" t="str">
        <f t="shared" si="67"/>
        <v/>
      </c>
    </row>
    <row r="1059" spans="11:14" ht="15" customHeight="1" x14ac:dyDescent="0.25">
      <c r="K1059" s="26" t="str">
        <f t="shared" si="64"/>
        <v/>
      </c>
      <c r="L1059" s="26" t="str">
        <f t="shared" si="65"/>
        <v/>
      </c>
      <c r="M1059" s="26" t="str">
        <f t="shared" si="66"/>
        <v/>
      </c>
      <c r="N1059" s="27" t="str">
        <f t="shared" si="67"/>
        <v/>
      </c>
    </row>
    <row r="1060" spans="11:14" ht="15" customHeight="1" x14ac:dyDescent="0.25">
      <c r="K1060" s="26" t="str">
        <f t="shared" si="64"/>
        <v/>
      </c>
      <c r="L1060" s="26" t="str">
        <f t="shared" si="65"/>
        <v/>
      </c>
      <c r="M1060" s="26" t="str">
        <f t="shared" si="66"/>
        <v/>
      </c>
      <c r="N1060" s="27" t="str">
        <f t="shared" si="67"/>
        <v/>
      </c>
    </row>
    <row r="1061" spans="11:14" ht="15" customHeight="1" x14ac:dyDescent="0.25">
      <c r="K1061" s="26" t="str">
        <f t="shared" si="64"/>
        <v/>
      </c>
      <c r="L1061" s="26" t="str">
        <f t="shared" si="65"/>
        <v/>
      </c>
      <c r="M1061" s="26" t="str">
        <f t="shared" si="66"/>
        <v/>
      </c>
      <c r="N1061" s="27" t="str">
        <f t="shared" si="67"/>
        <v/>
      </c>
    </row>
    <row r="1062" spans="11:14" ht="15" customHeight="1" x14ac:dyDescent="0.25">
      <c r="K1062" s="26" t="str">
        <f t="shared" si="64"/>
        <v/>
      </c>
      <c r="L1062" s="26" t="str">
        <f t="shared" si="65"/>
        <v/>
      </c>
      <c r="M1062" s="26" t="str">
        <f t="shared" si="66"/>
        <v/>
      </c>
      <c r="N1062" s="27" t="str">
        <f t="shared" si="67"/>
        <v/>
      </c>
    </row>
    <row r="1063" spans="11:14" ht="15" customHeight="1" x14ac:dyDescent="0.25">
      <c r="K1063" s="26" t="str">
        <f t="shared" si="64"/>
        <v/>
      </c>
      <c r="L1063" s="26" t="str">
        <f t="shared" si="65"/>
        <v/>
      </c>
      <c r="M1063" s="26" t="str">
        <f t="shared" si="66"/>
        <v/>
      </c>
      <c r="N1063" s="27" t="str">
        <f t="shared" si="67"/>
        <v/>
      </c>
    </row>
    <row r="1064" spans="11:14" ht="15" customHeight="1" x14ac:dyDescent="0.25">
      <c r="K1064" s="26" t="str">
        <f t="shared" si="64"/>
        <v/>
      </c>
      <c r="L1064" s="26" t="str">
        <f t="shared" si="65"/>
        <v/>
      </c>
      <c r="M1064" s="26" t="str">
        <f t="shared" si="66"/>
        <v/>
      </c>
      <c r="N1064" s="27" t="str">
        <f t="shared" si="67"/>
        <v/>
      </c>
    </row>
    <row r="1065" spans="11:14" ht="15" customHeight="1" x14ac:dyDescent="0.25">
      <c r="K1065" s="26" t="str">
        <f t="shared" si="64"/>
        <v/>
      </c>
      <c r="L1065" s="26" t="str">
        <f t="shared" si="65"/>
        <v/>
      </c>
      <c r="M1065" s="26" t="str">
        <f t="shared" si="66"/>
        <v/>
      </c>
      <c r="N1065" s="27" t="str">
        <f t="shared" si="67"/>
        <v/>
      </c>
    </row>
    <row r="1066" spans="11:14" ht="15" customHeight="1" x14ac:dyDescent="0.25">
      <c r="K1066" s="26" t="str">
        <f t="shared" si="64"/>
        <v/>
      </c>
      <c r="L1066" s="26" t="str">
        <f t="shared" si="65"/>
        <v/>
      </c>
      <c r="M1066" s="26" t="str">
        <f t="shared" si="66"/>
        <v/>
      </c>
      <c r="N1066" s="27" t="str">
        <f t="shared" si="67"/>
        <v/>
      </c>
    </row>
    <row r="1067" spans="11:14" ht="15" customHeight="1" x14ac:dyDescent="0.25">
      <c r="K1067" s="26" t="str">
        <f t="shared" si="64"/>
        <v/>
      </c>
      <c r="L1067" s="26" t="str">
        <f t="shared" si="65"/>
        <v/>
      </c>
      <c r="M1067" s="26" t="str">
        <f t="shared" si="66"/>
        <v/>
      </c>
      <c r="N1067" s="27" t="str">
        <f t="shared" si="67"/>
        <v/>
      </c>
    </row>
    <row r="1068" spans="11:14" ht="15" customHeight="1" x14ac:dyDescent="0.25">
      <c r="K1068" s="26" t="str">
        <f t="shared" si="64"/>
        <v/>
      </c>
      <c r="L1068" s="26" t="str">
        <f t="shared" si="65"/>
        <v/>
      </c>
      <c r="M1068" s="26" t="str">
        <f t="shared" si="66"/>
        <v/>
      </c>
      <c r="N1068" s="27" t="str">
        <f t="shared" si="67"/>
        <v/>
      </c>
    </row>
    <row r="1069" spans="11:14" ht="15" customHeight="1" x14ac:dyDescent="0.25">
      <c r="K1069" s="26" t="str">
        <f t="shared" si="64"/>
        <v/>
      </c>
      <c r="L1069" s="26" t="str">
        <f t="shared" si="65"/>
        <v/>
      </c>
      <c r="M1069" s="26" t="str">
        <f t="shared" si="66"/>
        <v/>
      </c>
      <c r="N1069" s="27" t="str">
        <f t="shared" si="67"/>
        <v/>
      </c>
    </row>
    <row r="1070" spans="11:14" ht="15" customHeight="1" x14ac:dyDescent="0.25">
      <c r="K1070" s="26" t="str">
        <f t="shared" si="64"/>
        <v/>
      </c>
      <c r="L1070" s="26" t="str">
        <f t="shared" si="65"/>
        <v/>
      </c>
      <c r="M1070" s="26" t="str">
        <f t="shared" si="66"/>
        <v/>
      </c>
      <c r="N1070" s="27" t="str">
        <f t="shared" si="67"/>
        <v/>
      </c>
    </row>
    <row r="1071" spans="11:14" ht="15" customHeight="1" x14ac:dyDescent="0.25">
      <c r="K1071" s="26" t="str">
        <f t="shared" si="64"/>
        <v/>
      </c>
      <c r="L1071" s="26" t="str">
        <f t="shared" si="65"/>
        <v/>
      </c>
      <c r="M1071" s="26" t="str">
        <f t="shared" si="66"/>
        <v/>
      </c>
      <c r="N1071" s="27" t="str">
        <f t="shared" si="67"/>
        <v/>
      </c>
    </row>
    <row r="1072" spans="11:14" ht="15" customHeight="1" x14ac:dyDescent="0.25">
      <c r="K1072" s="26" t="str">
        <f t="shared" si="64"/>
        <v/>
      </c>
      <c r="L1072" s="26" t="str">
        <f t="shared" si="65"/>
        <v/>
      </c>
      <c r="M1072" s="26" t="str">
        <f t="shared" si="66"/>
        <v/>
      </c>
      <c r="N1072" s="27" t="str">
        <f t="shared" si="67"/>
        <v/>
      </c>
    </row>
    <row r="1073" spans="11:14" ht="15" customHeight="1" x14ac:dyDescent="0.25">
      <c r="K1073" s="26" t="str">
        <f t="shared" si="64"/>
        <v/>
      </c>
      <c r="L1073" s="26" t="str">
        <f t="shared" si="65"/>
        <v/>
      </c>
      <c r="M1073" s="26" t="str">
        <f t="shared" si="66"/>
        <v/>
      </c>
      <c r="N1073" s="27" t="str">
        <f t="shared" si="67"/>
        <v/>
      </c>
    </row>
    <row r="1074" spans="11:14" ht="15" customHeight="1" x14ac:dyDescent="0.25">
      <c r="K1074" s="26" t="str">
        <f t="shared" si="64"/>
        <v/>
      </c>
      <c r="L1074" s="26" t="str">
        <f t="shared" si="65"/>
        <v/>
      </c>
      <c r="M1074" s="26" t="str">
        <f t="shared" si="66"/>
        <v/>
      </c>
      <c r="N1074" s="27" t="str">
        <f t="shared" si="67"/>
        <v/>
      </c>
    </row>
    <row r="1075" spans="11:14" ht="15" customHeight="1" x14ac:dyDescent="0.25">
      <c r="K1075" s="26" t="str">
        <f t="shared" si="64"/>
        <v/>
      </c>
      <c r="L1075" s="26" t="str">
        <f t="shared" si="65"/>
        <v/>
      </c>
      <c r="M1075" s="26" t="str">
        <f t="shared" si="66"/>
        <v/>
      </c>
      <c r="N1075" s="27" t="str">
        <f t="shared" si="67"/>
        <v/>
      </c>
    </row>
    <row r="1076" spans="11:14" ht="15" customHeight="1" x14ac:dyDescent="0.25">
      <c r="K1076" s="26" t="str">
        <f t="shared" si="64"/>
        <v/>
      </c>
      <c r="L1076" s="26" t="str">
        <f t="shared" si="65"/>
        <v/>
      </c>
      <c r="M1076" s="26" t="str">
        <f t="shared" si="66"/>
        <v/>
      </c>
      <c r="N1076" s="27" t="str">
        <f t="shared" si="67"/>
        <v/>
      </c>
    </row>
    <row r="1077" spans="11:14" ht="15" customHeight="1" x14ac:dyDescent="0.25">
      <c r="K1077" s="26" t="str">
        <f t="shared" si="64"/>
        <v/>
      </c>
      <c r="L1077" s="26" t="str">
        <f t="shared" si="65"/>
        <v/>
      </c>
      <c r="M1077" s="26" t="str">
        <f t="shared" si="66"/>
        <v/>
      </c>
      <c r="N1077" s="27" t="str">
        <f t="shared" si="67"/>
        <v/>
      </c>
    </row>
    <row r="1078" spans="11:14" ht="15" customHeight="1" x14ac:dyDescent="0.25">
      <c r="K1078" s="26" t="str">
        <f t="shared" si="64"/>
        <v/>
      </c>
      <c r="L1078" s="26" t="str">
        <f t="shared" si="65"/>
        <v/>
      </c>
      <c r="M1078" s="26" t="str">
        <f t="shared" si="66"/>
        <v/>
      </c>
      <c r="N1078" s="27" t="str">
        <f t="shared" si="67"/>
        <v/>
      </c>
    </row>
    <row r="1079" spans="11:14" ht="15" customHeight="1" x14ac:dyDescent="0.25">
      <c r="K1079" s="26" t="str">
        <f t="shared" si="64"/>
        <v/>
      </c>
      <c r="L1079" s="26" t="str">
        <f t="shared" si="65"/>
        <v/>
      </c>
      <c r="M1079" s="26" t="str">
        <f t="shared" si="66"/>
        <v/>
      </c>
      <c r="N1079" s="27" t="str">
        <f t="shared" si="67"/>
        <v/>
      </c>
    </row>
    <row r="1080" spans="11:14" ht="15" customHeight="1" x14ac:dyDescent="0.25">
      <c r="K1080" s="26" t="str">
        <f t="shared" si="64"/>
        <v/>
      </c>
      <c r="L1080" s="26" t="str">
        <f t="shared" si="65"/>
        <v/>
      </c>
      <c r="M1080" s="26" t="str">
        <f t="shared" si="66"/>
        <v/>
      </c>
      <c r="N1080" s="27" t="str">
        <f t="shared" si="67"/>
        <v/>
      </c>
    </row>
    <row r="1081" spans="11:14" ht="15" customHeight="1" x14ac:dyDescent="0.25">
      <c r="K1081" s="26" t="str">
        <f t="shared" si="64"/>
        <v/>
      </c>
      <c r="L1081" s="26" t="str">
        <f t="shared" si="65"/>
        <v/>
      </c>
      <c r="M1081" s="26" t="str">
        <f t="shared" si="66"/>
        <v/>
      </c>
      <c r="N1081" s="27" t="str">
        <f t="shared" si="67"/>
        <v/>
      </c>
    </row>
    <row r="1082" spans="11:14" ht="15" customHeight="1" x14ac:dyDescent="0.25">
      <c r="K1082" s="26" t="str">
        <f t="shared" si="64"/>
        <v/>
      </c>
      <c r="L1082" s="26" t="str">
        <f t="shared" si="65"/>
        <v/>
      </c>
      <c r="M1082" s="26" t="str">
        <f t="shared" si="66"/>
        <v/>
      </c>
      <c r="N1082" s="27" t="str">
        <f t="shared" si="67"/>
        <v/>
      </c>
    </row>
    <row r="1083" spans="11:14" ht="15" customHeight="1" x14ac:dyDescent="0.25">
      <c r="K1083" s="26" t="str">
        <f t="shared" si="64"/>
        <v/>
      </c>
      <c r="L1083" s="26" t="str">
        <f t="shared" si="65"/>
        <v/>
      </c>
      <c r="M1083" s="26" t="str">
        <f t="shared" si="66"/>
        <v/>
      </c>
      <c r="N1083" s="27" t="str">
        <f t="shared" si="67"/>
        <v/>
      </c>
    </row>
    <row r="1084" spans="11:14" ht="15" customHeight="1" x14ac:dyDescent="0.25">
      <c r="K1084" s="26" t="str">
        <f t="shared" si="64"/>
        <v/>
      </c>
      <c r="L1084" s="26" t="str">
        <f t="shared" si="65"/>
        <v/>
      </c>
      <c r="M1084" s="26" t="str">
        <f t="shared" si="66"/>
        <v/>
      </c>
      <c r="N1084" s="27" t="str">
        <f t="shared" si="67"/>
        <v/>
      </c>
    </row>
    <row r="1085" spans="11:14" ht="15" customHeight="1" x14ac:dyDescent="0.25">
      <c r="K1085" s="26" t="str">
        <f t="shared" si="64"/>
        <v/>
      </c>
      <c r="L1085" s="26" t="str">
        <f t="shared" si="65"/>
        <v/>
      </c>
      <c r="M1085" s="26" t="str">
        <f t="shared" si="66"/>
        <v/>
      </c>
      <c r="N1085" s="27" t="str">
        <f t="shared" si="67"/>
        <v/>
      </c>
    </row>
    <row r="1086" spans="11:14" ht="15" customHeight="1" x14ac:dyDescent="0.25">
      <c r="K1086" s="26" t="str">
        <f t="shared" si="64"/>
        <v/>
      </c>
      <c r="L1086" s="26" t="str">
        <f t="shared" si="65"/>
        <v/>
      </c>
      <c r="M1086" s="26" t="str">
        <f t="shared" si="66"/>
        <v/>
      </c>
      <c r="N1086" s="27" t="str">
        <f t="shared" si="67"/>
        <v/>
      </c>
    </row>
    <row r="1087" spans="11:14" ht="15" customHeight="1" x14ac:dyDescent="0.25">
      <c r="K1087" s="26" t="str">
        <f t="shared" si="64"/>
        <v/>
      </c>
      <c r="L1087" s="26" t="str">
        <f t="shared" si="65"/>
        <v/>
      </c>
      <c r="M1087" s="26" t="str">
        <f t="shared" si="66"/>
        <v/>
      </c>
      <c r="N1087" s="27" t="str">
        <f t="shared" si="67"/>
        <v/>
      </c>
    </row>
    <row r="1088" spans="11:14" ht="15" customHeight="1" x14ac:dyDescent="0.25">
      <c r="K1088" s="26" t="str">
        <f t="shared" si="64"/>
        <v/>
      </c>
      <c r="L1088" s="26" t="str">
        <f t="shared" si="65"/>
        <v/>
      </c>
      <c r="M1088" s="26" t="str">
        <f t="shared" si="66"/>
        <v/>
      </c>
      <c r="N1088" s="27" t="str">
        <f t="shared" si="67"/>
        <v/>
      </c>
    </row>
    <row r="1089" spans="11:14" ht="15" customHeight="1" x14ac:dyDescent="0.25">
      <c r="K1089" s="26" t="str">
        <f t="shared" si="64"/>
        <v/>
      </c>
      <c r="L1089" s="26" t="str">
        <f t="shared" si="65"/>
        <v/>
      </c>
      <c r="M1089" s="26" t="str">
        <f t="shared" si="66"/>
        <v/>
      </c>
      <c r="N1089" s="27" t="str">
        <f t="shared" si="67"/>
        <v/>
      </c>
    </row>
    <row r="1090" spans="11:14" ht="15" customHeight="1" x14ac:dyDescent="0.25">
      <c r="K1090" s="26" t="str">
        <f t="shared" si="64"/>
        <v/>
      </c>
      <c r="L1090" s="26" t="str">
        <f t="shared" si="65"/>
        <v/>
      </c>
      <c r="M1090" s="26" t="str">
        <f t="shared" si="66"/>
        <v/>
      </c>
      <c r="N1090" s="27" t="str">
        <f t="shared" si="67"/>
        <v/>
      </c>
    </row>
    <row r="1091" spans="11:14" ht="15" customHeight="1" x14ac:dyDescent="0.25">
      <c r="K1091" s="26" t="str">
        <f t="shared" si="64"/>
        <v/>
      </c>
      <c r="L1091" s="26" t="str">
        <f t="shared" si="65"/>
        <v/>
      </c>
      <c r="M1091" s="26" t="str">
        <f t="shared" si="66"/>
        <v/>
      </c>
      <c r="N1091" s="27" t="str">
        <f t="shared" si="67"/>
        <v/>
      </c>
    </row>
    <row r="1092" spans="11:14" ht="15" customHeight="1" x14ac:dyDescent="0.25">
      <c r="K1092" s="26" t="str">
        <f t="shared" si="64"/>
        <v/>
      </c>
      <c r="L1092" s="26" t="str">
        <f t="shared" si="65"/>
        <v/>
      </c>
      <c r="M1092" s="26" t="str">
        <f t="shared" si="66"/>
        <v/>
      </c>
      <c r="N1092" s="27" t="str">
        <f t="shared" si="67"/>
        <v/>
      </c>
    </row>
    <row r="1093" spans="11:14" ht="15" customHeight="1" x14ac:dyDescent="0.25">
      <c r="K1093" s="26" t="str">
        <f t="shared" ref="K1093:K1156" si="68">IF(H1093="","",(H1093-G1093)/G1093)</f>
        <v/>
      </c>
      <c r="L1093" s="26" t="str">
        <f t="shared" ref="L1093:L1156" si="69">IF(I1093="","",(I1093-G1093)/G1093)</f>
        <v/>
      </c>
      <c r="M1093" s="26" t="str">
        <f t="shared" ref="M1093:M1156" si="70">IF(J1093="","",(J1093-G1093)/G1093)</f>
        <v/>
      </c>
      <c r="N1093" s="27" t="str">
        <f t="shared" ref="N1093:N1156" si="71">IF(H1093="","",IF(D1093="HOLD",IF(ABS(K1093)&lt;0.03,"YES","NO"),IF(D1093="BUY",IF(K1093&gt;0,"YES","NO"),IF(D1093="SELL",IF(K1093&lt;0,"YES","NO"),""))))</f>
        <v/>
      </c>
    </row>
    <row r="1094" spans="11:14" ht="15" customHeight="1" x14ac:dyDescent="0.25">
      <c r="K1094" s="26" t="str">
        <f t="shared" si="68"/>
        <v/>
      </c>
      <c r="L1094" s="26" t="str">
        <f t="shared" si="69"/>
        <v/>
      </c>
      <c r="M1094" s="26" t="str">
        <f t="shared" si="70"/>
        <v/>
      </c>
      <c r="N1094" s="27" t="str">
        <f t="shared" si="71"/>
        <v/>
      </c>
    </row>
    <row r="1095" spans="11:14" ht="15" customHeight="1" x14ac:dyDescent="0.25">
      <c r="K1095" s="26" t="str">
        <f t="shared" si="68"/>
        <v/>
      </c>
      <c r="L1095" s="26" t="str">
        <f t="shared" si="69"/>
        <v/>
      </c>
      <c r="M1095" s="26" t="str">
        <f t="shared" si="70"/>
        <v/>
      </c>
      <c r="N1095" s="27" t="str">
        <f t="shared" si="71"/>
        <v/>
      </c>
    </row>
    <row r="1096" spans="11:14" ht="15" customHeight="1" x14ac:dyDescent="0.25">
      <c r="K1096" s="26" t="str">
        <f t="shared" si="68"/>
        <v/>
      </c>
      <c r="L1096" s="26" t="str">
        <f t="shared" si="69"/>
        <v/>
      </c>
      <c r="M1096" s="26" t="str">
        <f t="shared" si="70"/>
        <v/>
      </c>
      <c r="N1096" s="27" t="str">
        <f t="shared" si="71"/>
        <v/>
      </c>
    </row>
    <row r="1097" spans="11:14" ht="15" customHeight="1" x14ac:dyDescent="0.25">
      <c r="K1097" s="26" t="str">
        <f t="shared" si="68"/>
        <v/>
      </c>
      <c r="L1097" s="26" t="str">
        <f t="shared" si="69"/>
        <v/>
      </c>
      <c r="M1097" s="26" t="str">
        <f t="shared" si="70"/>
        <v/>
      </c>
      <c r="N1097" s="27" t="str">
        <f t="shared" si="71"/>
        <v/>
      </c>
    </row>
    <row r="1098" spans="11:14" ht="15" customHeight="1" x14ac:dyDescent="0.25">
      <c r="K1098" s="26" t="str">
        <f t="shared" si="68"/>
        <v/>
      </c>
      <c r="L1098" s="26" t="str">
        <f t="shared" si="69"/>
        <v/>
      </c>
      <c r="M1098" s="26" t="str">
        <f t="shared" si="70"/>
        <v/>
      </c>
      <c r="N1098" s="27" t="str">
        <f t="shared" si="71"/>
        <v/>
      </c>
    </row>
    <row r="1099" spans="11:14" ht="15" customHeight="1" x14ac:dyDescent="0.25">
      <c r="K1099" s="26" t="str">
        <f t="shared" si="68"/>
        <v/>
      </c>
      <c r="L1099" s="26" t="str">
        <f t="shared" si="69"/>
        <v/>
      </c>
      <c r="M1099" s="26" t="str">
        <f t="shared" si="70"/>
        <v/>
      </c>
      <c r="N1099" s="27" t="str">
        <f t="shared" si="71"/>
        <v/>
      </c>
    </row>
    <row r="1100" spans="11:14" ht="15" customHeight="1" x14ac:dyDescent="0.25">
      <c r="K1100" s="26" t="str">
        <f t="shared" si="68"/>
        <v/>
      </c>
      <c r="L1100" s="26" t="str">
        <f t="shared" si="69"/>
        <v/>
      </c>
      <c r="M1100" s="26" t="str">
        <f t="shared" si="70"/>
        <v/>
      </c>
      <c r="N1100" s="27" t="str">
        <f t="shared" si="71"/>
        <v/>
      </c>
    </row>
    <row r="1101" spans="11:14" ht="15" customHeight="1" x14ac:dyDescent="0.25">
      <c r="K1101" s="26" t="str">
        <f t="shared" si="68"/>
        <v/>
      </c>
      <c r="L1101" s="26" t="str">
        <f t="shared" si="69"/>
        <v/>
      </c>
      <c r="M1101" s="26" t="str">
        <f t="shared" si="70"/>
        <v/>
      </c>
      <c r="N1101" s="27" t="str">
        <f t="shared" si="71"/>
        <v/>
      </c>
    </row>
    <row r="1102" spans="11:14" ht="15" customHeight="1" x14ac:dyDescent="0.25">
      <c r="K1102" s="26" t="str">
        <f t="shared" si="68"/>
        <v/>
      </c>
      <c r="L1102" s="26" t="str">
        <f t="shared" si="69"/>
        <v/>
      </c>
      <c r="M1102" s="26" t="str">
        <f t="shared" si="70"/>
        <v/>
      </c>
      <c r="N1102" s="27" t="str">
        <f t="shared" si="71"/>
        <v/>
      </c>
    </row>
    <row r="1103" spans="11:14" ht="15" customHeight="1" x14ac:dyDescent="0.25">
      <c r="K1103" s="26" t="str">
        <f t="shared" si="68"/>
        <v/>
      </c>
      <c r="L1103" s="26" t="str">
        <f t="shared" si="69"/>
        <v/>
      </c>
      <c r="M1103" s="26" t="str">
        <f t="shared" si="70"/>
        <v/>
      </c>
      <c r="N1103" s="27" t="str">
        <f t="shared" si="71"/>
        <v/>
      </c>
    </row>
    <row r="1104" spans="11:14" ht="15" customHeight="1" x14ac:dyDescent="0.25">
      <c r="K1104" s="26" t="str">
        <f t="shared" si="68"/>
        <v/>
      </c>
      <c r="L1104" s="26" t="str">
        <f t="shared" si="69"/>
        <v/>
      </c>
      <c r="M1104" s="26" t="str">
        <f t="shared" si="70"/>
        <v/>
      </c>
      <c r="N1104" s="27" t="str">
        <f t="shared" si="71"/>
        <v/>
      </c>
    </row>
    <row r="1105" spans="11:14" ht="15" customHeight="1" x14ac:dyDescent="0.25">
      <c r="K1105" s="26" t="str">
        <f t="shared" si="68"/>
        <v/>
      </c>
      <c r="L1105" s="26" t="str">
        <f t="shared" si="69"/>
        <v/>
      </c>
      <c r="M1105" s="26" t="str">
        <f t="shared" si="70"/>
        <v/>
      </c>
      <c r="N1105" s="27" t="str">
        <f t="shared" si="71"/>
        <v/>
      </c>
    </row>
    <row r="1106" spans="11:14" ht="15" customHeight="1" x14ac:dyDescent="0.25">
      <c r="K1106" s="26" t="str">
        <f t="shared" si="68"/>
        <v/>
      </c>
      <c r="L1106" s="26" t="str">
        <f t="shared" si="69"/>
        <v/>
      </c>
      <c r="M1106" s="26" t="str">
        <f t="shared" si="70"/>
        <v/>
      </c>
      <c r="N1106" s="27" t="str">
        <f t="shared" si="71"/>
        <v/>
      </c>
    </row>
    <row r="1107" spans="11:14" ht="15" customHeight="1" x14ac:dyDescent="0.25">
      <c r="K1107" s="26" t="str">
        <f t="shared" si="68"/>
        <v/>
      </c>
      <c r="L1107" s="26" t="str">
        <f t="shared" si="69"/>
        <v/>
      </c>
      <c r="M1107" s="26" t="str">
        <f t="shared" si="70"/>
        <v/>
      </c>
      <c r="N1107" s="27" t="str">
        <f t="shared" si="71"/>
        <v/>
      </c>
    </row>
    <row r="1108" spans="11:14" ht="15" customHeight="1" x14ac:dyDescent="0.25">
      <c r="K1108" s="26" t="str">
        <f t="shared" si="68"/>
        <v/>
      </c>
      <c r="L1108" s="26" t="str">
        <f t="shared" si="69"/>
        <v/>
      </c>
      <c r="M1108" s="26" t="str">
        <f t="shared" si="70"/>
        <v/>
      </c>
      <c r="N1108" s="27" t="str">
        <f t="shared" si="71"/>
        <v/>
      </c>
    </row>
    <row r="1109" spans="11:14" ht="15" customHeight="1" x14ac:dyDescent="0.25">
      <c r="K1109" s="26" t="str">
        <f t="shared" si="68"/>
        <v/>
      </c>
      <c r="L1109" s="26" t="str">
        <f t="shared" si="69"/>
        <v/>
      </c>
      <c r="M1109" s="26" t="str">
        <f t="shared" si="70"/>
        <v/>
      </c>
      <c r="N1109" s="27" t="str">
        <f t="shared" si="71"/>
        <v/>
      </c>
    </row>
    <row r="1110" spans="11:14" ht="15" customHeight="1" x14ac:dyDescent="0.25">
      <c r="K1110" s="26" t="str">
        <f t="shared" si="68"/>
        <v/>
      </c>
      <c r="L1110" s="26" t="str">
        <f t="shared" si="69"/>
        <v/>
      </c>
      <c r="M1110" s="26" t="str">
        <f t="shared" si="70"/>
        <v/>
      </c>
      <c r="N1110" s="27" t="str">
        <f t="shared" si="71"/>
        <v/>
      </c>
    </row>
    <row r="1111" spans="11:14" ht="15" customHeight="1" x14ac:dyDescent="0.25">
      <c r="K1111" s="26" t="str">
        <f t="shared" si="68"/>
        <v/>
      </c>
      <c r="L1111" s="26" t="str">
        <f t="shared" si="69"/>
        <v/>
      </c>
      <c r="M1111" s="26" t="str">
        <f t="shared" si="70"/>
        <v/>
      </c>
      <c r="N1111" s="27" t="str">
        <f t="shared" si="71"/>
        <v/>
      </c>
    </row>
    <row r="1112" spans="11:14" ht="15" customHeight="1" x14ac:dyDescent="0.25">
      <c r="K1112" s="26" t="str">
        <f t="shared" si="68"/>
        <v/>
      </c>
      <c r="L1112" s="26" t="str">
        <f t="shared" si="69"/>
        <v/>
      </c>
      <c r="M1112" s="26" t="str">
        <f t="shared" si="70"/>
        <v/>
      </c>
      <c r="N1112" s="27" t="str">
        <f t="shared" si="71"/>
        <v/>
      </c>
    </row>
    <row r="1113" spans="11:14" ht="15" customHeight="1" x14ac:dyDescent="0.25">
      <c r="K1113" s="26" t="str">
        <f t="shared" si="68"/>
        <v/>
      </c>
      <c r="L1113" s="26" t="str">
        <f t="shared" si="69"/>
        <v/>
      </c>
      <c r="M1113" s="26" t="str">
        <f t="shared" si="70"/>
        <v/>
      </c>
      <c r="N1113" s="27" t="str">
        <f t="shared" si="71"/>
        <v/>
      </c>
    </row>
    <row r="1114" spans="11:14" ht="15" customHeight="1" x14ac:dyDescent="0.25">
      <c r="K1114" s="26" t="str">
        <f t="shared" si="68"/>
        <v/>
      </c>
      <c r="L1114" s="26" t="str">
        <f t="shared" si="69"/>
        <v/>
      </c>
      <c r="M1114" s="26" t="str">
        <f t="shared" si="70"/>
        <v/>
      </c>
      <c r="N1114" s="27" t="str">
        <f t="shared" si="71"/>
        <v/>
      </c>
    </row>
    <row r="1115" spans="11:14" ht="15" customHeight="1" x14ac:dyDescent="0.25">
      <c r="K1115" s="26" t="str">
        <f t="shared" si="68"/>
        <v/>
      </c>
      <c r="L1115" s="26" t="str">
        <f t="shared" si="69"/>
        <v/>
      </c>
      <c r="M1115" s="26" t="str">
        <f t="shared" si="70"/>
        <v/>
      </c>
      <c r="N1115" s="27" t="str">
        <f t="shared" si="71"/>
        <v/>
      </c>
    </row>
    <row r="1116" spans="11:14" ht="15" customHeight="1" x14ac:dyDescent="0.25">
      <c r="K1116" s="26" t="str">
        <f t="shared" si="68"/>
        <v/>
      </c>
      <c r="L1116" s="26" t="str">
        <f t="shared" si="69"/>
        <v/>
      </c>
      <c r="M1116" s="26" t="str">
        <f t="shared" si="70"/>
        <v/>
      </c>
      <c r="N1116" s="27" t="str">
        <f t="shared" si="71"/>
        <v/>
      </c>
    </row>
    <row r="1117" spans="11:14" ht="15" customHeight="1" x14ac:dyDescent="0.25">
      <c r="K1117" s="26" t="str">
        <f t="shared" si="68"/>
        <v/>
      </c>
      <c r="L1117" s="26" t="str">
        <f t="shared" si="69"/>
        <v/>
      </c>
      <c r="M1117" s="26" t="str">
        <f t="shared" si="70"/>
        <v/>
      </c>
      <c r="N1117" s="27" t="str">
        <f t="shared" si="71"/>
        <v/>
      </c>
    </row>
    <row r="1118" spans="11:14" ht="15" customHeight="1" x14ac:dyDescent="0.25">
      <c r="K1118" s="26" t="str">
        <f t="shared" si="68"/>
        <v/>
      </c>
      <c r="L1118" s="26" t="str">
        <f t="shared" si="69"/>
        <v/>
      </c>
      <c r="M1118" s="26" t="str">
        <f t="shared" si="70"/>
        <v/>
      </c>
      <c r="N1118" s="27" t="str">
        <f t="shared" si="71"/>
        <v/>
      </c>
    </row>
    <row r="1119" spans="11:14" ht="15" customHeight="1" x14ac:dyDescent="0.25">
      <c r="K1119" s="26" t="str">
        <f t="shared" si="68"/>
        <v/>
      </c>
      <c r="L1119" s="26" t="str">
        <f t="shared" si="69"/>
        <v/>
      </c>
      <c r="M1119" s="26" t="str">
        <f t="shared" si="70"/>
        <v/>
      </c>
      <c r="N1119" s="27" t="str">
        <f t="shared" si="71"/>
        <v/>
      </c>
    </row>
    <row r="1120" spans="11:14" ht="15" customHeight="1" x14ac:dyDescent="0.25">
      <c r="K1120" s="26" t="str">
        <f t="shared" si="68"/>
        <v/>
      </c>
      <c r="L1120" s="26" t="str">
        <f t="shared" si="69"/>
        <v/>
      </c>
      <c r="M1120" s="26" t="str">
        <f t="shared" si="70"/>
        <v/>
      </c>
      <c r="N1120" s="27" t="str">
        <f t="shared" si="71"/>
        <v/>
      </c>
    </row>
    <row r="1121" spans="11:14" ht="15" customHeight="1" x14ac:dyDescent="0.25">
      <c r="K1121" s="26" t="str">
        <f t="shared" si="68"/>
        <v/>
      </c>
      <c r="L1121" s="26" t="str">
        <f t="shared" si="69"/>
        <v/>
      </c>
      <c r="M1121" s="26" t="str">
        <f t="shared" si="70"/>
        <v/>
      </c>
      <c r="N1121" s="27" t="str">
        <f t="shared" si="71"/>
        <v/>
      </c>
    </row>
    <row r="1122" spans="11:14" ht="15" customHeight="1" x14ac:dyDescent="0.25">
      <c r="K1122" s="26" t="str">
        <f t="shared" si="68"/>
        <v/>
      </c>
      <c r="L1122" s="26" t="str">
        <f t="shared" si="69"/>
        <v/>
      </c>
      <c r="M1122" s="26" t="str">
        <f t="shared" si="70"/>
        <v/>
      </c>
      <c r="N1122" s="27" t="str">
        <f t="shared" si="71"/>
        <v/>
      </c>
    </row>
    <row r="1123" spans="11:14" ht="15" customHeight="1" x14ac:dyDescent="0.25">
      <c r="K1123" s="26" t="str">
        <f t="shared" si="68"/>
        <v/>
      </c>
      <c r="L1123" s="26" t="str">
        <f t="shared" si="69"/>
        <v/>
      </c>
      <c r="M1123" s="26" t="str">
        <f t="shared" si="70"/>
        <v/>
      </c>
      <c r="N1123" s="27" t="str">
        <f t="shared" si="71"/>
        <v/>
      </c>
    </row>
    <row r="1124" spans="11:14" ht="15" customHeight="1" x14ac:dyDescent="0.25">
      <c r="K1124" s="26" t="str">
        <f t="shared" si="68"/>
        <v/>
      </c>
      <c r="L1124" s="26" t="str">
        <f t="shared" si="69"/>
        <v/>
      </c>
      <c r="M1124" s="26" t="str">
        <f t="shared" si="70"/>
        <v/>
      </c>
      <c r="N1124" s="27" t="str">
        <f t="shared" si="71"/>
        <v/>
      </c>
    </row>
    <row r="1125" spans="11:14" ht="15" customHeight="1" x14ac:dyDescent="0.25">
      <c r="K1125" s="26" t="str">
        <f t="shared" si="68"/>
        <v/>
      </c>
      <c r="L1125" s="26" t="str">
        <f t="shared" si="69"/>
        <v/>
      </c>
      <c r="M1125" s="26" t="str">
        <f t="shared" si="70"/>
        <v/>
      </c>
      <c r="N1125" s="27" t="str">
        <f t="shared" si="71"/>
        <v/>
      </c>
    </row>
    <row r="1126" spans="11:14" ht="15" customHeight="1" x14ac:dyDescent="0.25">
      <c r="K1126" s="26" t="str">
        <f t="shared" si="68"/>
        <v/>
      </c>
      <c r="L1126" s="26" t="str">
        <f t="shared" si="69"/>
        <v/>
      </c>
      <c r="M1126" s="26" t="str">
        <f t="shared" si="70"/>
        <v/>
      </c>
      <c r="N1126" s="27" t="str">
        <f t="shared" si="71"/>
        <v/>
      </c>
    </row>
    <row r="1127" spans="11:14" ht="15" customHeight="1" x14ac:dyDescent="0.25">
      <c r="K1127" s="26" t="str">
        <f t="shared" si="68"/>
        <v/>
      </c>
      <c r="L1127" s="26" t="str">
        <f t="shared" si="69"/>
        <v/>
      </c>
      <c r="M1127" s="26" t="str">
        <f t="shared" si="70"/>
        <v/>
      </c>
      <c r="N1127" s="27" t="str">
        <f t="shared" si="71"/>
        <v/>
      </c>
    </row>
    <row r="1128" spans="11:14" ht="15" customHeight="1" x14ac:dyDescent="0.25">
      <c r="K1128" s="26" t="str">
        <f t="shared" si="68"/>
        <v/>
      </c>
      <c r="L1128" s="26" t="str">
        <f t="shared" si="69"/>
        <v/>
      </c>
      <c r="M1128" s="26" t="str">
        <f t="shared" si="70"/>
        <v/>
      </c>
      <c r="N1128" s="27" t="str">
        <f t="shared" si="71"/>
        <v/>
      </c>
    </row>
    <row r="1129" spans="11:14" ht="15" customHeight="1" x14ac:dyDescent="0.25">
      <c r="K1129" s="26" t="str">
        <f t="shared" si="68"/>
        <v/>
      </c>
      <c r="L1129" s="26" t="str">
        <f t="shared" si="69"/>
        <v/>
      </c>
      <c r="M1129" s="26" t="str">
        <f t="shared" si="70"/>
        <v/>
      </c>
      <c r="N1129" s="27" t="str">
        <f t="shared" si="71"/>
        <v/>
      </c>
    </row>
    <row r="1130" spans="11:14" ht="15" customHeight="1" x14ac:dyDescent="0.25">
      <c r="K1130" s="26" t="str">
        <f t="shared" si="68"/>
        <v/>
      </c>
      <c r="L1130" s="26" t="str">
        <f t="shared" si="69"/>
        <v/>
      </c>
      <c r="M1130" s="26" t="str">
        <f t="shared" si="70"/>
        <v/>
      </c>
      <c r="N1130" s="27" t="str">
        <f t="shared" si="71"/>
        <v/>
      </c>
    </row>
    <row r="1131" spans="11:14" ht="15" customHeight="1" x14ac:dyDescent="0.25">
      <c r="K1131" s="26" t="str">
        <f t="shared" si="68"/>
        <v/>
      </c>
      <c r="L1131" s="26" t="str">
        <f t="shared" si="69"/>
        <v/>
      </c>
      <c r="M1131" s="26" t="str">
        <f t="shared" si="70"/>
        <v/>
      </c>
      <c r="N1131" s="27" t="str">
        <f t="shared" si="71"/>
        <v/>
      </c>
    </row>
    <row r="1132" spans="11:14" ht="15" customHeight="1" x14ac:dyDescent="0.25">
      <c r="K1132" s="26" t="str">
        <f t="shared" si="68"/>
        <v/>
      </c>
      <c r="L1132" s="26" t="str">
        <f t="shared" si="69"/>
        <v/>
      </c>
      <c r="M1132" s="26" t="str">
        <f t="shared" si="70"/>
        <v/>
      </c>
      <c r="N1132" s="27" t="str">
        <f t="shared" si="71"/>
        <v/>
      </c>
    </row>
    <row r="1133" spans="11:14" ht="15" customHeight="1" x14ac:dyDescent="0.25">
      <c r="K1133" s="26" t="str">
        <f t="shared" si="68"/>
        <v/>
      </c>
      <c r="L1133" s="26" t="str">
        <f t="shared" si="69"/>
        <v/>
      </c>
      <c r="M1133" s="26" t="str">
        <f t="shared" si="70"/>
        <v/>
      </c>
      <c r="N1133" s="27" t="str">
        <f t="shared" si="71"/>
        <v/>
      </c>
    </row>
    <row r="1134" spans="11:14" ht="15" customHeight="1" x14ac:dyDescent="0.25">
      <c r="K1134" s="26" t="str">
        <f t="shared" si="68"/>
        <v/>
      </c>
      <c r="L1134" s="26" t="str">
        <f t="shared" si="69"/>
        <v/>
      </c>
      <c r="M1134" s="26" t="str">
        <f t="shared" si="70"/>
        <v/>
      </c>
      <c r="N1134" s="27" t="str">
        <f t="shared" si="71"/>
        <v/>
      </c>
    </row>
    <row r="1135" spans="11:14" ht="15" customHeight="1" x14ac:dyDescent="0.25">
      <c r="K1135" s="26" t="str">
        <f t="shared" si="68"/>
        <v/>
      </c>
      <c r="L1135" s="26" t="str">
        <f t="shared" si="69"/>
        <v/>
      </c>
      <c r="M1135" s="26" t="str">
        <f t="shared" si="70"/>
        <v/>
      </c>
      <c r="N1135" s="27" t="str">
        <f t="shared" si="71"/>
        <v/>
      </c>
    </row>
    <row r="1136" spans="11:14" ht="15" customHeight="1" x14ac:dyDescent="0.25">
      <c r="K1136" s="26" t="str">
        <f t="shared" si="68"/>
        <v/>
      </c>
      <c r="L1136" s="26" t="str">
        <f t="shared" si="69"/>
        <v/>
      </c>
      <c r="M1136" s="26" t="str">
        <f t="shared" si="70"/>
        <v/>
      </c>
      <c r="N1136" s="27" t="str">
        <f t="shared" si="71"/>
        <v/>
      </c>
    </row>
    <row r="1137" spans="11:14" ht="15" customHeight="1" x14ac:dyDescent="0.25">
      <c r="K1137" s="26" t="str">
        <f t="shared" si="68"/>
        <v/>
      </c>
      <c r="L1137" s="26" t="str">
        <f t="shared" si="69"/>
        <v/>
      </c>
      <c r="M1137" s="26" t="str">
        <f t="shared" si="70"/>
        <v/>
      </c>
      <c r="N1137" s="27" t="str">
        <f t="shared" si="71"/>
        <v/>
      </c>
    </row>
    <row r="1138" spans="11:14" ht="15" customHeight="1" x14ac:dyDescent="0.25">
      <c r="K1138" s="26" t="str">
        <f t="shared" si="68"/>
        <v/>
      </c>
      <c r="L1138" s="26" t="str">
        <f t="shared" si="69"/>
        <v/>
      </c>
      <c r="M1138" s="26" t="str">
        <f t="shared" si="70"/>
        <v/>
      </c>
      <c r="N1138" s="27" t="str">
        <f t="shared" si="71"/>
        <v/>
      </c>
    </row>
    <row r="1139" spans="11:14" ht="15" customHeight="1" x14ac:dyDescent="0.25">
      <c r="K1139" s="26" t="str">
        <f t="shared" si="68"/>
        <v/>
      </c>
      <c r="L1139" s="26" t="str">
        <f t="shared" si="69"/>
        <v/>
      </c>
      <c r="M1139" s="26" t="str">
        <f t="shared" si="70"/>
        <v/>
      </c>
      <c r="N1139" s="27" t="str">
        <f t="shared" si="71"/>
        <v/>
      </c>
    </row>
    <row r="1140" spans="11:14" ht="15" customHeight="1" x14ac:dyDescent="0.25">
      <c r="K1140" s="26" t="str">
        <f t="shared" si="68"/>
        <v/>
      </c>
      <c r="L1140" s="26" t="str">
        <f t="shared" si="69"/>
        <v/>
      </c>
      <c r="M1140" s="26" t="str">
        <f t="shared" si="70"/>
        <v/>
      </c>
      <c r="N1140" s="27" t="str">
        <f t="shared" si="71"/>
        <v/>
      </c>
    </row>
    <row r="1141" spans="11:14" ht="15" customHeight="1" x14ac:dyDescent="0.25">
      <c r="K1141" s="26" t="str">
        <f t="shared" si="68"/>
        <v/>
      </c>
      <c r="L1141" s="26" t="str">
        <f t="shared" si="69"/>
        <v/>
      </c>
      <c r="M1141" s="26" t="str">
        <f t="shared" si="70"/>
        <v/>
      </c>
      <c r="N1141" s="27" t="str">
        <f t="shared" si="71"/>
        <v/>
      </c>
    </row>
    <row r="1142" spans="11:14" ht="15" customHeight="1" x14ac:dyDescent="0.25">
      <c r="K1142" s="26" t="str">
        <f t="shared" si="68"/>
        <v/>
      </c>
      <c r="L1142" s="26" t="str">
        <f t="shared" si="69"/>
        <v/>
      </c>
      <c r="M1142" s="26" t="str">
        <f t="shared" si="70"/>
        <v/>
      </c>
      <c r="N1142" s="27" t="str">
        <f t="shared" si="71"/>
        <v/>
      </c>
    </row>
    <row r="1143" spans="11:14" ht="15" customHeight="1" x14ac:dyDescent="0.25">
      <c r="K1143" s="26" t="str">
        <f t="shared" si="68"/>
        <v/>
      </c>
      <c r="L1143" s="26" t="str">
        <f t="shared" si="69"/>
        <v/>
      </c>
      <c r="M1143" s="26" t="str">
        <f t="shared" si="70"/>
        <v/>
      </c>
      <c r="N1143" s="27" t="str">
        <f t="shared" si="71"/>
        <v/>
      </c>
    </row>
    <row r="1144" spans="11:14" ht="15" customHeight="1" x14ac:dyDescent="0.25">
      <c r="K1144" s="26" t="str">
        <f t="shared" si="68"/>
        <v/>
      </c>
      <c r="L1144" s="26" t="str">
        <f t="shared" si="69"/>
        <v/>
      </c>
      <c r="M1144" s="26" t="str">
        <f t="shared" si="70"/>
        <v/>
      </c>
      <c r="N1144" s="27" t="str">
        <f t="shared" si="71"/>
        <v/>
      </c>
    </row>
    <row r="1145" spans="11:14" ht="15" customHeight="1" x14ac:dyDescent="0.25">
      <c r="K1145" s="26" t="str">
        <f t="shared" si="68"/>
        <v/>
      </c>
      <c r="L1145" s="26" t="str">
        <f t="shared" si="69"/>
        <v/>
      </c>
      <c r="M1145" s="26" t="str">
        <f t="shared" si="70"/>
        <v/>
      </c>
      <c r="N1145" s="27" t="str">
        <f t="shared" si="71"/>
        <v/>
      </c>
    </row>
    <row r="1146" spans="11:14" ht="15" customHeight="1" x14ac:dyDescent="0.25">
      <c r="K1146" s="26" t="str">
        <f t="shared" si="68"/>
        <v/>
      </c>
      <c r="L1146" s="26" t="str">
        <f t="shared" si="69"/>
        <v/>
      </c>
      <c r="M1146" s="26" t="str">
        <f t="shared" si="70"/>
        <v/>
      </c>
      <c r="N1146" s="27" t="str">
        <f t="shared" si="71"/>
        <v/>
      </c>
    </row>
    <row r="1147" spans="11:14" ht="15" customHeight="1" x14ac:dyDescent="0.25">
      <c r="K1147" s="26" t="str">
        <f t="shared" si="68"/>
        <v/>
      </c>
      <c r="L1147" s="26" t="str">
        <f t="shared" si="69"/>
        <v/>
      </c>
      <c r="M1147" s="26" t="str">
        <f t="shared" si="70"/>
        <v/>
      </c>
      <c r="N1147" s="27" t="str">
        <f t="shared" si="71"/>
        <v/>
      </c>
    </row>
    <row r="1148" spans="11:14" ht="15" customHeight="1" x14ac:dyDescent="0.25">
      <c r="K1148" s="26" t="str">
        <f t="shared" si="68"/>
        <v/>
      </c>
      <c r="L1148" s="26" t="str">
        <f t="shared" si="69"/>
        <v/>
      </c>
      <c r="M1148" s="26" t="str">
        <f t="shared" si="70"/>
        <v/>
      </c>
      <c r="N1148" s="27" t="str">
        <f t="shared" si="71"/>
        <v/>
      </c>
    </row>
    <row r="1149" spans="11:14" ht="15" customHeight="1" x14ac:dyDescent="0.25">
      <c r="K1149" s="26" t="str">
        <f t="shared" si="68"/>
        <v/>
      </c>
      <c r="L1149" s="26" t="str">
        <f t="shared" si="69"/>
        <v/>
      </c>
      <c r="M1149" s="26" t="str">
        <f t="shared" si="70"/>
        <v/>
      </c>
      <c r="N1149" s="27" t="str">
        <f t="shared" si="71"/>
        <v/>
      </c>
    </row>
    <row r="1150" spans="11:14" ht="15" customHeight="1" x14ac:dyDescent="0.25">
      <c r="K1150" s="26" t="str">
        <f t="shared" si="68"/>
        <v/>
      </c>
      <c r="L1150" s="26" t="str">
        <f t="shared" si="69"/>
        <v/>
      </c>
      <c r="M1150" s="26" t="str">
        <f t="shared" si="70"/>
        <v/>
      </c>
      <c r="N1150" s="27" t="str">
        <f t="shared" si="71"/>
        <v/>
      </c>
    </row>
    <row r="1151" spans="11:14" ht="15" customHeight="1" x14ac:dyDescent="0.25">
      <c r="K1151" s="26" t="str">
        <f t="shared" si="68"/>
        <v/>
      </c>
      <c r="L1151" s="26" t="str">
        <f t="shared" si="69"/>
        <v/>
      </c>
      <c r="M1151" s="26" t="str">
        <f t="shared" si="70"/>
        <v/>
      </c>
      <c r="N1151" s="27" t="str">
        <f t="shared" si="71"/>
        <v/>
      </c>
    </row>
    <row r="1152" spans="11:14" ht="15" customHeight="1" x14ac:dyDescent="0.25">
      <c r="K1152" s="26" t="str">
        <f t="shared" si="68"/>
        <v/>
      </c>
      <c r="L1152" s="26" t="str">
        <f t="shared" si="69"/>
        <v/>
      </c>
      <c r="M1152" s="26" t="str">
        <f t="shared" si="70"/>
        <v/>
      </c>
      <c r="N1152" s="27" t="str">
        <f t="shared" si="71"/>
        <v/>
      </c>
    </row>
    <row r="1153" spans="11:14" ht="15" customHeight="1" x14ac:dyDescent="0.25">
      <c r="K1153" s="26" t="str">
        <f t="shared" si="68"/>
        <v/>
      </c>
      <c r="L1153" s="26" t="str">
        <f t="shared" si="69"/>
        <v/>
      </c>
      <c r="M1153" s="26" t="str">
        <f t="shared" si="70"/>
        <v/>
      </c>
      <c r="N1153" s="27" t="str">
        <f t="shared" si="71"/>
        <v/>
      </c>
    </row>
    <row r="1154" spans="11:14" ht="15" customHeight="1" x14ac:dyDescent="0.25">
      <c r="K1154" s="26" t="str">
        <f t="shared" si="68"/>
        <v/>
      </c>
      <c r="L1154" s="26" t="str">
        <f t="shared" si="69"/>
        <v/>
      </c>
      <c r="M1154" s="26" t="str">
        <f t="shared" si="70"/>
        <v/>
      </c>
      <c r="N1154" s="27" t="str">
        <f t="shared" si="71"/>
        <v/>
      </c>
    </row>
    <row r="1155" spans="11:14" ht="15" customHeight="1" x14ac:dyDescent="0.25">
      <c r="K1155" s="26" t="str">
        <f t="shared" si="68"/>
        <v/>
      </c>
      <c r="L1155" s="26" t="str">
        <f t="shared" si="69"/>
        <v/>
      </c>
      <c r="M1155" s="26" t="str">
        <f t="shared" si="70"/>
        <v/>
      </c>
      <c r="N1155" s="27" t="str">
        <f t="shared" si="71"/>
        <v/>
      </c>
    </row>
    <row r="1156" spans="11:14" ht="15" customHeight="1" x14ac:dyDescent="0.25">
      <c r="K1156" s="26" t="str">
        <f t="shared" si="68"/>
        <v/>
      </c>
      <c r="L1156" s="26" t="str">
        <f t="shared" si="69"/>
        <v/>
      </c>
      <c r="M1156" s="26" t="str">
        <f t="shared" si="70"/>
        <v/>
      </c>
      <c r="N1156" s="27" t="str">
        <f t="shared" si="71"/>
        <v/>
      </c>
    </row>
    <row r="1157" spans="11:14" ht="15" customHeight="1" x14ac:dyDescent="0.25">
      <c r="K1157" s="26" t="str">
        <f t="shared" ref="K1157:K1220" si="72">IF(H1157="","",(H1157-G1157)/G1157)</f>
        <v/>
      </c>
      <c r="L1157" s="26" t="str">
        <f t="shared" ref="L1157:L1220" si="73">IF(I1157="","",(I1157-G1157)/G1157)</f>
        <v/>
      </c>
      <c r="M1157" s="26" t="str">
        <f t="shared" ref="M1157:M1220" si="74">IF(J1157="","",(J1157-G1157)/G1157)</f>
        <v/>
      </c>
      <c r="N1157" s="27" t="str">
        <f t="shared" ref="N1157:N1220" si="75">IF(H1157="","",IF(D1157="HOLD",IF(ABS(K1157)&lt;0.03,"YES","NO"),IF(D1157="BUY",IF(K1157&gt;0,"YES","NO"),IF(D1157="SELL",IF(K1157&lt;0,"YES","NO"),""))))</f>
        <v/>
      </c>
    </row>
    <row r="1158" spans="11:14" ht="15" customHeight="1" x14ac:dyDescent="0.25">
      <c r="K1158" s="26" t="str">
        <f t="shared" si="72"/>
        <v/>
      </c>
      <c r="L1158" s="26" t="str">
        <f t="shared" si="73"/>
        <v/>
      </c>
      <c r="M1158" s="26" t="str">
        <f t="shared" si="74"/>
        <v/>
      </c>
      <c r="N1158" s="27" t="str">
        <f t="shared" si="75"/>
        <v/>
      </c>
    </row>
    <row r="1159" spans="11:14" ht="15" customHeight="1" x14ac:dyDescent="0.25">
      <c r="K1159" s="26" t="str">
        <f t="shared" si="72"/>
        <v/>
      </c>
      <c r="L1159" s="26" t="str">
        <f t="shared" si="73"/>
        <v/>
      </c>
      <c r="M1159" s="26" t="str">
        <f t="shared" si="74"/>
        <v/>
      </c>
      <c r="N1159" s="27" t="str">
        <f t="shared" si="75"/>
        <v/>
      </c>
    </row>
    <row r="1160" spans="11:14" ht="15" customHeight="1" x14ac:dyDescent="0.25">
      <c r="K1160" s="26" t="str">
        <f t="shared" si="72"/>
        <v/>
      </c>
      <c r="L1160" s="26" t="str">
        <f t="shared" si="73"/>
        <v/>
      </c>
      <c r="M1160" s="26" t="str">
        <f t="shared" si="74"/>
        <v/>
      </c>
      <c r="N1160" s="27" t="str">
        <f t="shared" si="75"/>
        <v/>
      </c>
    </row>
    <row r="1161" spans="11:14" ht="15" customHeight="1" x14ac:dyDescent="0.25">
      <c r="K1161" s="26" t="str">
        <f t="shared" si="72"/>
        <v/>
      </c>
      <c r="L1161" s="26" t="str">
        <f t="shared" si="73"/>
        <v/>
      </c>
      <c r="M1161" s="26" t="str">
        <f t="shared" si="74"/>
        <v/>
      </c>
      <c r="N1161" s="27" t="str">
        <f t="shared" si="75"/>
        <v/>
      </c>
    </row>
    <row r="1162" spans="11:14" ht="15" customHeight="1" x14ac:dyDescent="0.25">
      <c r="K1162" s="26" t="str">
        <f t="shared" si="72"/>
        <v/>
      </c>
      <c r="L1162" s="26" t="str">
        <f t="shared" si="73"/>
        <v/>
      </c>
      <c r="M1162" s="26" t="str">
        <f t="shared" si="74"/>
        <v/>
      </c>
      <c r="N1162" s="27" t="str">
        <f t="shared" si="75"/>
        <v/>
      </c>
    </row>
    <row r="1163" spans="11:14" ht="15" customHeight="1" x14ac:dyDescent="0.25">
      <c r="K1163" s="26" t="str">
        <f t="shared" si="72"/>
        <v/>
      </c>
      <c r="L1163" s="26" t="str">
        <f t="shared" si="73"/>
        <v/>
      </c>
      <c r="M1163" s="26" t="str">
        <f t="shared" si="74"/>
        <v/>
      </c>
      <c r="N1163" s="27" t="str">
        <f t="shared" si="75"/>
        <v/>
      </c>
    </row>
    <row r="1164" spans="11:14" ht="15" customHeight="1" x14ac:dyDescent="0.25">
      <c r="K1164" s="26" t="str">
        <f t="shared" si="72"/>
        <v/>
      </c>
      <c r="L1164" s="26" t="str">
        <f t="shared" si="73"/>
        <v/>
      </c>
      <c r="M1164" s="26" t="str">
        <f t="shared" si="74"/>
        <v/>
      </c>
      <c r="N1164" s="27" t="str">
        <f t="shared" si="75"/>
        <v/>
      </c>
    </row>
    <row r="1165" spans="11:14" ht="15" customHeight="1" x14ac:dyDescent="0.25">
      <c r="K1165" s="26" t="str">
        <f t="shared" si="72"/>
        <v/>
      </c>
      <c r="L1165" s="26" t="str">
        <f t="shared" si="73"/>
        <v/>
      </c>
      <c r="M1165" s="26" t="str">
        <f t="shared" si="74"/>
        <v/>
      </c>
      <c r="N1165" s="27" t="str">
        <f t="shared" si="75"/>
        <v/>
      </c>
    </row>
    <row r="1166" spans="11:14" ht="15" customHeight="1" x14ac:dyDescent="0.25">
      <c r="K1166" s="26" t="str">
        <f t="shared" si="72"/>
        <v/>
      </c>
      <c r="L1166" s="26" t="str">
        <f t="shared" si="73"/>
        <v/>
      </c>
      <c r="M1166" s="26" t="str">
        <f t="shared" si="74"/>
        <v/>
      </c>
      <c r="N1166" s="27" t="str">
        <f t="shared" si="75"/>
        <v/>
      </c>
    </row>
    <row r="1167" spans="11:14" ht="15" customHeight="1" x14ac:dyDescent="0.25">
      <c r="K1167" s="26" t="str">
        <f t="shared" si="72"/>
        <v/>
      </c>
      <c r="L1167" s="26" t="str">
        <f t="shared" si="73"/>
        <v/>
      </c>
      <c r="M1167" s="26" t="str">
        <f t="shared" si="74"/>
        <v/>
      </c>
      <c r="N1167" s="27" t="str">
        <f t="shared" si="75"/>
        <v/>
      </c>
    </row>
    <row r="1168" spans="11:14" ht="15" customHeight="1" x14ac:dyDescent="0.25">
      <c r="K1168" s="26" t="str">
        <f t="shared" si="72"/>
        <v/>
      </c>
      <c r="L1168" s="26" t="str">
        <f t="shared" si="73"/>
        <v/>
      </c>
      <c r="M1168" s="26" t="str">
        <f t="shared" si="74"/>
        <v/>
      </c>
      <c r="N1168" s="27" t="str">
        <f t="shared" si="75"/>
        <v/>
      </c>
    </row>
    <row r="1169" spans="11:14" ht="15" customHeight="1" x14ac:dyDescent="0.25">
      <c r="K1169" s="26" t="str">
        <f t="shared" si="72"/>
        <v/>
      </c>
      <c r="L1169" s="26" t="str">
        <f t="shared" si="73"/>
        <v/>
      </c>
      <c r="M1169" s="26" t="str">
        <f t="shared" si="74"/>
        <v/>
      </c>
      <c r="N1169" s="27" t="str">
        <f t="shared" si="75"/>
        <v/>
      </c>
    </row>
    <row r="1170" spans="11:14" ht="15" customHeight="1" x14ac:dyDescent="0.25">
      <c r="K1170" s="26" t="str">
        <f t="shared" si="72"/>
        <v/>
      </c>
      <c r="L1170" s="26" t="str">
        <f t="shared" si="73"/>
        <v/>
      </c>
      <c r="M1170" s="26" t="str">
        <f t="shared" si="74"/>
        <v/>
      </c>
      <c r="N1170" s="27" t="str">
        <f t="shared" si="75"/>
        <v/>
      </c>
    </row>
    <row r="1171" spans="11:14" ht="15" customHeight="1" x14ac:dyDescent="0.25">
      <c r="K1171" s="26" t="str">
        <f t="shared" si="72"/>
        <v/>
      </c>
      <c r="L1171" s="26" t="str">
        <f t="shared" si="73"/>
        <v/>
      </c>
      <c r="M1171" s="26" t="str">
        <f t="shared" si="74"/>
        <v/>
      </c>
      <c r="N1171" s="27" t="str">
        <f t="shared" si="75"/>
        <v/>
      </c>
    </row>
    <row r="1172" spans="11:14" ht="15" customHeight="1" x14ac:dyDescent="0.25">
      <c r="K1172" s="26" t="str">
        <f t="shared" si="72"/>
        <v/>
      </c>
      <c r="L1172" s="26" t="str">
        <f t="shared" si="73"/>
        <v/>
      </c>
      <c r="M1172" s="26" t="str">
        <f t="shared" si="74"/>
        <v/>
      </c>
      <c r="N1172" s="27" t="str">
        <f t="shared" si="75"/>
        <v/>
      </c>
    </row>
    <row r="1173" spans="11:14" ht="15" customHeight="1" x14ac:dyDescent="0.25">
      <c r="K1173" s="26" t="str">
        <f t="shared" si="72"/>
        <v/>
      </c>
      <c r="L1173" s="26" t="str">
        <f t="shared" si="73"/>
        <v/>
      </c>
      <c r="M1173" s="26" t="str">
        <f t="shared" si="74"/>
        <v/>
      </c>
      <c r="N1173" s="27" t="str">
        <f t="shared" si="75"/>
        <v/>
      </c>
    </row>
    <row r="1174" spans="11:14" ht="15" customHeight="1" x14ac:dyDescent="0.25">
      <c r="K1174" s="26" t="str">
        <f t="shared" si="72"/>
        <v/>
      </c>
      <c r="L1174" s="26" t="str">
        <f t="shared" si="73"/>
        <v/>
      </c>
      <c r="M1174" s="26" t="str">
        <f t="shared" si="74"/>
        <v/>
      </c>
      <c r="N1174" s="27" t="str">
        <f t="shared" si="75"/>
        <v/>
      </c>
    </row>
    <row r="1175" spans="11:14" ht="15" customHeight="1" x14ac:dyDescent="0.25">
      <c r="K1175" s="26" t="str">
        <f t="shared" si="72"/>
        <v/>
      </c>
      <c r="L1175" s="26" t="str">
        <f t="shared" si="73"/>
        <v/>
      </c>
      <c r="M1175" s="26" t="str">
        <f t="shared" si="74"/>
        <v/>
      </c>
      <c r="N1175" s="27" t="str">
        <f t="shared" si="75"/>
        <v/>
      </c>
    </row>
    <row r="1176" spans="11:14" ht="15" customHeight="1" x14ac:dyDescent="0.25">
      <c r="K1176" s="26" t="str">
        <f t="shared" si="72"/>
        <v/>
      </c>
      <c r="L1176" s="26" t="str">
        <f t="shared" si="73"/>
        <v/>
      </c>
      <c r="M1176" s="26" t="str">
        <f t="shared" si="74"/>
        <v/>
      </c>
      <c r="N1176" s="27" t="str">
        <f t="shared" si="75"/>
        <v/>
      </c>
    </row>
    <row r="1177" spans="11:14" ht="15" customHeight="1" x14ac:dyDescent="0.25">
      <c r="K1177" s="26" t="str">
        <f t="shared" si="72"/>
        <v/>
      </c>
      <c r="L1177" s="26" t="str">
        <f t="shared" si="73"/>
        <v/>
      </c>
      <c r="M1177" s="26" t="str">
        <f t="shared" si="74"/>
        <v/>
      </c>
      <c r="N1177" s="27" t="str">
        <f t="shared" si="75"/>
        <v/>
      </c>
    </row>
    <row r="1178" spans="11:14" ht="15" customHeight="1" x14ac:dyDescent="0.25">
      <c r="K1178" s="26" t="str">
        <f t="shared" si="72"/>
        <v/>
      </c>
      <c r="L1178" s="26" t="str">
        <f t="shared" si="73"/>
        <v/>
      </c>
      <c r="M1178" s="26" t="str">
        <f t="shared" si="74"/>
        <v/>
      </c>
      <c r="N1178" s="27" t="str">
        <f t="shared" si="75"/>
        <v/>
      </c>
    </row>
    <row r="1179" spans="11:14" ht="15" customHeight="1" x14ac:dyDescent="0.25">
      <c r="K1179" s="26" t="str">
        <f t="shared" si="72"/>
        <v/>
      </c>
      <c r="L1179" s="26" t="str">
        <f t="shared" si="73"/>
        <v/>
      </c>
      <c r="M1179" s="26" t="str">
        <f t="shared" si="74"/>
        <v/>
      </c>
      <c r="N1179" s="27" t="str">
        <f t="shared" si="75"/>
        <v/>
      </c>
    </row>
    <row r="1180" spans="11:14" ht="15" customHeight="1" x14ac:dyDescent="0.25">
      <c r="K1180" s="26" t="str">
        <f t="shared" si="72"/>
        <v/>
      </c>
      <c r="L1180" s="26" t="str">
        <f t="shared" si="73"/>
        <v/>
      </c>
      <c r="M1180" s="26" t="str">
        <f t="shared" si="74"/>
        <v/>
      </c>
      <c r="N1180" s="27" t="str">
        <f t="shared" si="75"/>
        <v/>
      </c>
    </row>
    <row r="1181" spans="11:14" ht="15" customHeight="1" x14ac:dyDescent="0.25">
      <c r="K1181" s="26" t="str">
        <f t="shared" si="72"/>
        <v/>
      </c>
      <c r="L1181" s="26" t="str">
        <f t="shared" si="73"/>
        <v/>
      </c>
      <c r="M1181" s="26" t="str">
        <f t="shared" si="74"/>
        <v/>
      </c>
      <c r="N1181" s="27" t="str">
        <f t="shared" si="75"/>
        <v/>
      </c>
    </row>
    <row r="1182" spans="11:14" ht="15" customHeight="1" x14ac:dyDescent="0.25">
      <c r="K1182" s="26" t="str">
        <f t="shared" si="72"/>
        <v/>
      </c>
      <c r="L1182" s="26" t="str">
        <f t="shared" si="73"/>
        <v/>
      </c>
      <c r="M1182" s="26" t="str">
        <f t="shared" si="74"/>
        <v/>
      </c>
      <c r="N1182" s="27" t="str">
        <f t="shared" si="75"/>
        <v/>
      </c>
    </row>
    <row r="1183" spans="11:14" ht="15" customHeight="1" x14ac:dyDescent="0.25">
      <c r="K1183" s="26" t="str">
        <f t="shared" si="72"/>
        <v/>
      </c>
      <c r="L1183" s="26" t="str">
        <f t="shared" si="73"/>
        <v/>
      </c>
      <c r="M1183" s="26" t="str">
        <f t="shared" si="74"/>
        <v/>
      </c>
      <c r="N1183" s="27" t="str">
        <f t="shared" si="75"/>
        <v/>
      </c>
    </row>
    <row r="1184" spans="11:14" ht="15" customHeight="1" x14ac:dyDescent="0.25">
      <c r="K1184" s="26" t="str">
        <f t="shared" si="72"/>
        <v/>
      </c>
      <c r="L1184" s="26" t="str">
        <f t="shared" si="73"/>
        <v/>
      </c>
      <c r="M1184" s="26" t="str">
        <f t="shared" si="74"/>
        <v/>
      </c>
      <c r="N1184" s="27" t="str">
        <f t="shared" si="75"/>
        <v/>
      </c>
    </row>
    <row r="1185" spans="11:14" ht="15" customHeight="1" x14ac:dyDescent="0.25">
      <c r="K1185" s="26" t="str">
        <f t="shared" si="72"/>
        <v/>
      </c>
      <c r="L1185" s="26" t="str">
        <f t="shared" si="73"/>
        <v/>
      </c>
      <c r="M1185" s="26" t="str">
        <f t="shared" si="74"/>
        <v/>
      </c>
      <c r="N1185" s="27" t="str">
        <f t="shared" si="75"/>
        <v/>
      </c>
    </row>
    <row r="1186" spans="11:14" ht="15" customHeight="1" x14ac:dyDescent="0.25">
      <c r="K1186" s="26" t="str">
        <f t="shared" si="72"/>
        <v/>
      </c>
      <c r="L1186" s="26" t="str">
        <f t="shared" si="73"/>
        <v/>
      </c>
      <c r="M1186" s="26" t="str">
        <f t="shared" si="74"/>
        <v/>
      </c>
      <c r="N1186" s="27" t="str">
        <f t="shared" si="75"/>
        <v/>
      </c>
    </row>
    <row r="1187" spans="11:14" ht="15" customHeight="1" x14ac:dyDescent="0.25">
      <c r="K1187" s="26" t="str">
        <f t="shared" si="72"/>
        <v/>
      </c>
      <c r="L1187" s="26" t="str">
        <f t="shared" si="73"/>
        <v/>
      </c>
      <c r="M1187" s="26" t="str">
        <f t="shared" si="74"/>
        <v/>
      </c>
      <c r="N1187" s="27" t="str">
        <f t="shared" si="75"/>
        <v/>
      </c>
    </row>
    <row r="1188" spans="11:14" ht="15" customHeight="1" x14ac:dyDescent="0.25">
      <c r="K1188" s="26" t="str">
        <f t="shared" si="72"/>
        <v/>
      </c>
      <c r="L1188" s="26" t="str">
        <f t="shared" si="73"/>
        <v/>
      </c>
      <c r="M1188" s="26" t="str">
        <f t="shared" si="74"/>
        <v/>
      </c>
      <c r="N1188" s="27" t="str">
        <f t="shared" si="75"/>
        <v/>
      </c>
    </row>
    <row r="1189" spans="11:14" ht="15" customHeight="1" x14ac:dyDescent="0.25">
      <c r="K1189" s="26" t="str">
        <f t="shared" si="72"/>
        <v/>
      </c>
      <c r="L1189" s="26" t="str">
        <f t="shared" si="73"/>
        <v/>
      </c>
      <c r="M1189" s="26" t="str">
        <f t="shared" si="74"/>
        <v/>
      </c>
      <c r="N1189" s="27" t="str">
        <f t="shared" si="75"/>
        <v/>
      </c>
    </row>
    <row r="1190" spans="11:14" ht="15" customHeight="1" x14ac:dyDescent="0.25">
      <c r="K1190" s="26" t="str">
        <f t="shared" si="72"/>
        <v/>
      </c>
      <c r="L1190" s="26" t="str">
        <f t="shared" si="73"/>
        <v/>
      </c>
      <c r="M1190" s="26" t="str">
        <f t="shared" si="74"/>
        <v/>
      </c>
      <c r="N1190" s="27" t="str">
        <f t="shared" si="75"/>
        <v/>
      </c>
    </row>
    <row r="1191" spans="11:14" ht="15" customHeight="1" x14ac:dyDescent="0.25">
      <c r="K1191" s="26" t="str">
        <f t="shared" si="72"/>
        <v/>
      </c>
      <c r="L1191" s="26" t="str">
        <f t="shared" si="73"/>
        <v/>
      </c>
      <c r="M1191" s="26" t="str">
        <f t="shared" si="74"/>
        <v/>
      </c>
      <c r="N1191" s="27" t="str">
        <f t="shared" si="75"/>
        <v/>
      </c>
    </row>
    <row r="1192" spans="11:14" ht="15" customHeight="1" x14ac:dyDescent="0.25">
      <c r="K1192" s="26" t="str">
        <f t="shared" si="72"/>
        <v/>
      </c>
      <c r="L1192" s="26" t="str">
        <f t="shared" si="73"/>
        <v/>
      </c>
      <c r="M1192" s="26" t="str">
        <f t="shared" si="74"/>
        <v/>
      </c>
      <c r="N1192" s="27" t="str">
        <f t="shared" si="75"/>
        <v/>
      </c>
    </row>
    <row r="1193" spans="11:14" ht="15" customHeight="1" x14ac:dyDescent="0.25">
      <c r="K1193" s="26" t="str">
        <f t="shared" si="72"/>
        <v/>
      </c>
      <c r="L1193" s="26" t="str">
        <f t="shared" si="73"/>
        <v/>
      </c>
      <c r="M1193" s="26" t="str">
        <f t="shared" si="74"/>
        <v/>
      </c>
      <c r="N1193" s="27" t="str">
        <f t="shared" si="75"/>
        <v/>
      </c>
    </row>
    <row r="1194" spans="11:14" ht="15" customHeight="1" x14ac:dyDescent="0.25">
      <c r="K1194" s="26" t="str">
        <f t="shared" si="72"/>
        <v/>
      </c>
      <c r="L1194" s="26" t="str">
        <f t="shared" si="73"/>
        <v/>
      </c>
      <c r="M1194" s="26" t="str">
        <f t="shared" si="74"/>
        <v/>
      </c>
      <c r="N1194" s="27" t="str">
        <f t="shared" si="75"/>
        <v/>
      </c>
    </row>
    <row r="1195" spans="11:14" ht="15" customHeight="1" x14ac:dyDescent="0.25">
      <c r="K1195" s="26" t="str">
        <f t="shared" si="72"/>
        <v/>
      </c>
      <c r="L1195" s="26" t="str">
        <f t="shared" si="73"/>
        <v/>
      </c>
      <c r="M1195" s="26" t="str">
        <f t="shared" si="74"/>
        <v/>
      </c>
      <c r="N1195" s="27" t="str">
        <f t="shared" si="75"/>
        <v/>
      </c>
    </row>
    <row r="1196" spans="11:14" ht="15" customHeight="1" x14ac:dyDescent="0.25">
      <c r="K1196" s="26" t="str">
        <f t="shared" si="72"/>
        <v/>
      </c>
      <c r="L1196" s="26" t="str">
        <f t="shared" si="73"/>
        <v/>
      </c>
      <c r="M1196" s="26" t="str">
        <f t="shared" si="74"/>
        <v/>
      </c>
      <c r="N1196" s="27" t="str">
        <f t="shared" si="75"/>
        <v/>
      </c>
    </row>
    <row r="1197" spans="11:14" ht="15" customHeight="1" x14ac:dyDescent="0.25">
      <c r="K1197" s="26" t="str">
        <f t="shared" si="72"/>
        <v/>
      </c>
      <c r="L1197" s="26" t="str">
        <f t="shared" si="73"/>
        <v/>
      </c>
      <c r="M1197" s="26" t="str">
        <f t="shared" si="74"/>
        <v/>
      </c>
      <c r="N1197" s="27" t="str">
        <f t="shared" si="75"/>
        <v/>
      </c>
    </row>
    <row r="1198" spans="11:14" ht="15" customHeight="1" x14ac:dyDescent="0.25">
      <c r="K1198" s="26" t="str">
        <f t="shared" si="72"/>
        <v/>
      </c>
      <c r="L1198" s="26" t="str">
        <f t="shared" si="73"/>
        <v/>
      </c>
      <c r="M1198" s="26" t="str">
        <f t="shared" si="74"/>
        <v/>
      </c>
      <c r="N1198" s="27" t="str">
        <f t="shared" si="75"/>
        <v/>
      </c>
    </row>
    <row r="1199" spans="11:14" ht="15" customHeight="1" x14ac:dyDescent="0.25">
      <c r="K1199" s="26" t="str">
        <f t="shared" si="72"/>
        <v/>
      </c>
      <c r="L1199" s="26" t="str">
        <f t="shared" si="73"/>
        <v/>
      </c>
      <c r="M1199" s="26" t="str">
        <f t="shared" si="74"/>
        <v/>
      </c>
      <c r="N1199" s="27" t="str">
        <f t="shared" si="75"/>
        <v/>
      </c>
    </row>
    <row r="1200" spans="11:14" ht="15" customHeight="1" x14ac:dyDescent="0.25">
      <c r="K1200" s="26" t="str">
        <f t="shared" si="72"/>
        <v/>
      </c>
      <c r="L1200" s="26" t="str">
        <f t="shared" si="73"/>
        <v/>
      </c>
      <c r="M1200" s="26" t="str">
        <f t="shared" si="74"/>
        <v/>
      </c>
      <c r="N1200" s="27" t="str">
        <f t="shared" si="75"/>
        <v/>
      </c>
    </row>
    <row r="1201" spans="11:14" ht="15" customHeight="1" x14ac:dyDescent="0.25">
      <c r="K1201" s="26" t="str">
        <f t="shared" si="72"/>
        <v/>
      </c>
      <c r="L1201" s="26" t="str">
        <f t="shared" si="73"/>
        <v/>
      </c>
      <c r="M1201" s="26" t="str">
        <f t="shared" si="74"/>
        <v/>
      </c>
      <c r="N1201" s="27" t="str">
        <f t="shared" si="75"/>
        <v/>
      </c>
    </row>
    <row r="1202" spans="11:14" ht="15" customHeight="1" x14ac:dyDescent="0.25">
      <c r="K1202" s="26" t="str">
        <f t="shared" si="72"/>
        <v/>
      </c>
      <c r="L1202" s="26" t="str">
        <f t="shared" si="73"/>
        <v/>
      </c>
      <c r="M1202" s="26" t="str">
        <f t="shared" si="74"/>
        <v/>
      </c>
      <c r="N1202" s="27" t="str">
        <f t="shared" si="75"/>
        <v/>
      </c>
    </row>
    <row r="1203" spans="11:14" ht="15" customHeight="1" x14ac:dyDescent="0.25">
      <c r="K1203" s="26" t="str">
        <f t="shared" si="72"/>
        <v/>
      </c>
      <c r="L1203" s="26" t="str">
        <f t="shared" si="73"/>
        <v/>
      </c>
      <c r="M1203" s="26" t="str">
        <f t="shared" si="74"/>
        <v/>
      </c>
      <c r="N1203" s="27" t="str">
        <f t="shared" si="75"/>
        <v/>
      </c>
    </row>
    <row r="1204" spans="11:14" ht="15" customHeight="1" x14ac:dyDescent="0.25">
      <c r="K1204" s="26" t="str">
        <f t="shared" si="72"/>
        <v/>
      </c>
      <c r="L1204" s="26" t="str">
        <f t="shared" si="73"/>
        <v/>
      </c>
      <c r="M1204" s="26" t="str">
        <f t="shared" si="74"/>
        <v/>
      </c>
      <c r="N1204" s="27" t="str">
        <f t="shared" si="75"/>
        <v/>
      </c>
    </row>
    <row r="1205" spans="11:14" ht="15" customHeight="1" x14ac:dyDescent="0.25">
      <c r="K1205" s="26" t="str">
        <f t="shared" si="72"/>
        <v/>
      </c>
      <c r="L1205" s="26" t="str">
        <f t="shared" si="73"/>
        <v/>
      </c>
      <c r="M1205" s="26" t="str">
        <f t="shared" si="74"/>
        <v/>
      </c>
      <c r="N1205" s="27" t="str">
        <f t="shared" si="75"/>
        <v/>
      </c>
    </row>
    <row r="1206" spans="11:14" ht="15" customHeight="1" x14ac:dyDescent="0.25">
      <c r="K1206" s="26" t="str">
        <f t="shared" si="72"/>
        <v/>
      </c>
      <c r="L1206" s="26" t="str">
        <f t="shared" si="73"/>
        <v/>
      </c>
      <c r="M1206" s="26" t="str">
        <f t="shared" si="74"/>
        <v/>
      </c>
      <c r="N1206" s="27" t="str">
        <f t="shared" si="75"/>
        <v/>
      </c>
    </row>
    <row r="1207" spans="11:14" ht="15" customHeight="1" x14ac:dyDescent="0.25">
      <c r="K1207" s="26" t="str">
        <f t="shared" si="72"/>
        <v/>
      </c>
      <c r="L1207" s="26" t="str">
        <f t="shared" si="73"/>
        <v/>
      </c>
      <c r="M1207" s="26" t="str">
        <f t="shared" si="74"/>
        <v/>
      </c>
      <c r="N1207" s="27" t="str">
        <f t="shared" si="75"/>
        <v/>
      </c>
    </row>
    <row r="1208" spans="11:14" ht="15" customHeight="1" x14ac:dyDescent="0.25">
      <c r="K1208" s="26" t="str">
        <f t="shared" si="72"/>
        <v/>
      </c>
      <c r="L1208" s="26" t="str">
        <f t="shared" si="73"/>
        <v/>
      </c>
      <c r="M1208" s="26" t="str">
        <f t="shared" si="74"/>
        <v/>
      </c>
      <c r="N1208" s="27" t="str">
        <f t="shared" si="75"/>
        <v/>
      </c>
    </row>
    <row r="1209" spans="11:14" ht="15" customHeight="1" x14ac:dyDescent="0.25">
      <c r="K1209" s="26" t="str">
        <f t="shared" si="72"/>
        <v/>
      </c>
      <c r="L1209" s="26" t="str">
        <f t="shared" si="73"/>
        <v/>
      </c>
      <c r="M1209" s="26" t="str">
        <f t="shared" si="74"/>
        <v/>
      </c>
      <c r="N1209" s="27" t="str">
        <f t="shared" si="75"/>
        <v/>
      </c>
    </row>
    <row r="1210" spans="11:14" ht="15" customHeight="1" x14ac:dyDescent="0.25">
      <c r="K1210" s="26" t="str">
        <f t="shared" si="72"/>
        <v/>
      </c>
      <c r="L1210" s="26" t="str">
        <f t="shared" si="73"/>
        <v/>
      </c>
      <c r="M1210" s="26" t="str">
        <f t="shared" si="74"/>
        <v/>
      </c>
      <c r="N1210" s="27" t="str">
        <f t="shared" si="75"/>
        <v/>
      </c>
    </row>
    <row r="1211" spans="11:14" ht="15" customHeight="1" x14ac:dyDescent="0.25">
      <c r="K1211" s="26" t="str">
        <f t="shared" si="72"/>
        <v/>
      </c>
      <c r="L1211" s="26" t="str">
        <f t="shared" si="73"/>
        <v/>
      </c>
      <c r="M1211" s="26" t="str">
        <f t="shared" si="74"/>
        <v/>
      </c>
      <c r="N1211" s="27" t="str">
        <f t="shared" si="75"/>
        <v/>
      </c>
    </row>
    <row r="1212" spans="11:14" ht="15" customHeight="1" x14ac:dyDescent="0.25">
      <c r="K1212" s="26" t="str">
        <f t="shared" si="72"/>
        <v/>
      </c>
      <c r="L1212" s="26" t="str">
        <f t="shared" si="73"/>
        <v/>
      </c>
      <c r="M1212" s="26" t="str">
        <f t="shared" si="74"/>
        <v/>
      </c>
      <c r="N1212" s="27" t="str">
        <f t="shared" si="75"/>
        <v/>
      </c>
    </row>
    <row r="1213" spans="11:14" ht="15" customHeight="1" x14ac:dyDescent="0.25">
      <c r="K1213" s="26" t="str">
        <f t="shared" si="72"/>
        <v/>
      </c>
      <c r="L1213" s="26" t="str">
        <f t="shared" si="73"/>
        <v/>
      </c>
      <c r="M1213" s="26" t="str">
        <f t="shared" si="74"/>
        <v/>
      </c>
      <c r="N1213" s="27" t="str">
        <f t="shared" si="75"/>
        <v/>
      </c>
    </row>
    <row r="1214" spans="11:14" ht="15" customHeight="1" x14ac:dyDescent="0.25">
      <c r="K1214" s="26" t="str">
        <f t="shared" si="72"/>
        <v/>
      </c>
      <c r="L1214" s="26" t="str">
        <f t="shared" si="73"/>
        <v/>
      </c>
      <c r="M1214" s="26" t="str">
        <f t="shared" si="74"/>
        <v/>
      </c>
      <c r="N1214" s="27" t="str">
        <f t="shared" si="75"/>
        <v/>
      </c>
    </row>
    <row r="1215" spans="11:14" ht="15" customHeight="1" x14ac:dyDescent="0.25">
      <c r="K1215" s="26" t="str">
        <f t="shared" si="72"/>
        <v/>
      </c>
      <c r="L1215" s="26" t="str">
        <f t="shared" si="73"/>
        <v/>
      </c>
      <c r="M1215" s="26" t="str">
        <f t="shared" si="74"/>
        <v/>
      </c>
      <c r="N1215" s="27" t="str">
        <f t="shared" si="75"/>
        <v/>
      </c>
    </row>
    <row r="1216" spans="11:14" ht="15" customHeight="1" x14ac:dyDescent="0.25">
      <c r="K1216" s="26" t="str">
        <f t="shared" si="72"/>
        <v/>
      </c>
      <c r="L1216" s="26" t="str">
        <f t="shared" si="73"/>
        <v/>
      </c>
      <c r="M1216" s="26" t="str">
        <f t="shared" si="74"/>
        <v/>
      </c>
      <c r="N1216" s="27" t="str">
        <f t="shared" si="75"/>
        <v/>
      </c>
    </row>
    <row r="1217" spans="11:14" ht="15" customHeight="1" x14ac:dyDescent="0.25">
      <c r="K1217" s="26" t="str">
        <f t="shared" si="72"/>
        <v/>
      </c>
      <c r="L1217" s="26" t="str">
        <f t="shared" si="73"/>
        <v/>
      </c>
      <c r="M1217" s="26" t="str">
        <f t="shared" si="74"/>
        <v/>
      </c>
      <c r="N1217" s="27" t="str">
        <f t="shared" si="75"/>
        <v/>
      </c>
    </row>
    <row r="1218" spans="11:14" ht="15" customHeight="1" x14ac:dyDescent="0.25">
      <c r="K1218" s="26" t="str">
        <f t="shared" si="72"/>
        <v/>
      </c>
      <c r="L1218" s="26" t="str">
        <f t="shared" si="73"/>
        <v/>
      </c>
      <c r="M1218" s="26" t="str">
        <f t="shared" si="74"/>
        <v/>
      </c>
      <c r="N1218" s="27" t="str">
        <f t="shared" si="75"/>
        <v/>
      </c>
    </row>
    <row r="1219" spans="11:14" ht="15" customHeight="1" x14ac:dyDescent="0.25">
      <c r="K1219" s="26" t="str">
        <f t="shared" si="72"/>
        <v/>
      </c>
      <c r="L1219" s="26" t="str">
        <f t="shared" si="73"/>
        <v/>
      </c>
      <c r="M1219" s="26" t="str">
        <f t="shared" si="74"/>
        <v/>
      </c>
      <c r="N1219" s="27" t="str">
        <f t="shared" si="75"/>
        <v/>
      </c>
    </row>
    <row r="1220" spans="11:14" ht="15" customHeight="1" x14ac:dyDescent="0.25">
      <c r="K1220" s="26" t="str">
        <f t="shared" si="72"/>
        <v/>
      </c>
      <c r="L1220" s="26" t="str">
        <f t="shared" si="73"/>
        <v/>
      </c>
      <c r="M1220" s="26" t="str">
        <f t="shared" si="74"/>
        <v/>
      </c>
      <c r="N1220" s="27" t="str">
        <f t="shared" si="75"/>
        <v/>
      </c>
    </row>
    <row r="1221" spans="11:14" ht="15" customHeight="1" x14ac:dyDescent="0.25">
      <c r="K1221" s="26" t="str">
        <f t="shared" ref="K1221:K1284" si="76">IF(H1221="","",(H1221-G1221)/G1221)</f>
        <v/>
      </c>
      <c r="L1221" s="26" t="str">
        <f t="shared" ref="L1221:L1284" si="77">IF(I1221="","",(I1221-G1221)/G1221)</f>
        <v/>
      </c>
      <c r="M1221" s="26" t="str">
        <f t="shared" ref="M1221:M1284" si="78">IF(J1221="","",(J1221-G1221)/G1221)</f>
        <v/>
      </c>
      <c r="N1221" s="27" t="str">
        <f t="shared" ref="N1221:N1284" si="79">IF(H1221="","",IF(D1221="HOLD",IF(ABS(K1221)&lt;0.03,"YES","NO"),IF(D1221="BUY",IF(K1221&gt;0,"YES","NO"),IF(D1221="SELL",IF(K1221&lt;0,"YES","NO"),""))))</f>
        <v/>
      </c>
    </row>
    <row r="1222" spans="11:14" ht="15" customHeight="1" x14ac:dyDescent="0.25">
      <c r="K1222" s="26" t="str">
        <f t="shared" si="76"/>
        <v/>
      </c>
      <c r="L1222" s="26" t="str">
        <f t="shared" si="77"/>
        <v/>
      </c>
      <c r="M1222" s="26" t="str">
        <f t="shared" si="78"/>
        <v/>
      </c>
      <c r="N1222" s="27" t="str">
        <f t="shared" si="79"/>
        <v/>
      </c>
    </row>
    <row r="1223" spans="11:14" ht="15" customHeight="1" x14ac:dyDescent="0.25">
      <c r="K1223" s="26" t="str">
        <f t="shared" si="76"/>
        <v/>
      </c>
      <c r="L1223" s="26" t="str">
        <f t="shared" si="77"/>
        <v/>
      </c>
      <c r="M1223" s="26" t="str">
        <f t="shared" si="78"/>
        <v/>
      </c>
      <c r="N1223" s="27" t="str">
        <f t="shared" si="79"/>
        <v/>
      </c>
    </row>
    <row r="1224" spans="11:14" ht="15" customHeight="1" x14ac:dyDescent="0.25">
      <c r="K1224" s="26" t="str">
        <f t="shared" si="76"/>
        <v/>
      </c>
      <c r="L1224" s="26" t="str">
        <f t="shared" si="77"/>
        <v/>
      </c>
      <c r="M1224" s="26" t="str">
        <f t="shared" si="78"/>
        <v/>
      </c>
      <c r="N1224" s="27" t="str">
        <f t="shared" si="79"/>
        <v/>
      </c>
    </row>
    <row r="1225" spans="11:14" ht="15" customHeight="1" x14ac:dyDescent="0.25">
      <c r="K1225" s="26" t="str">
        <f t="shared" si="76"/>
        <v/>
      </c>
      <c r="L1225" s="26" t="str">
        <f t="shared" si="77"/>
        <v/>
      </c>
      <c r="M1225" s="26" t="str">
        <f t="shared" si="78"/>
        <v/>
      </c>
      <c r="N1225" s="27" t="str">
        <f t="shared" si="79"/>
        <v/>
      </c>
    </row>
    <row r="1226" spans="11:14" ht="15" customHeight="1" x14ac:dyDescent="0.25">
      <c r="K1226" s="26" t="str">
        <f t="shared" si="76"/>
        <v/>
      </c>
      <c r="L1226" s="26" t="str">
        <f t="shared" si="77"/>
        <v/>
      </c>
      <c r="M1226" s="26" t="str">
        <f t="shared" si="78"/>
        <v/>
      </c>
      <c r="N1226" s="27" t="str">
        <f t="shared" si="79"/>
        <v/>
      </c>
    </row>
    <row r="1227" spans="11:14" ht="15" customHeight="1" x14ac:dyDescent="0.25">
      <c r="K1227" s="26" t="str">
        <f t="shared" si="76"/>
        <v/>
      </c>
      <c r="L1227" s="26" t="str">
        <f t="shared" si="77"/>
        <v/>
      </c>
      <c r="M1227" s="26" t="str">
        <f t="shared" si="78"/>
        <v/>
      </c>
      <c r="N1227" s="27" t="str">
        <f t="shared" si="79"/>
        <v/>
      </c>
    </row>
    <row r="1228" spans="11:14" ht="15" customHeight="1" x14ac:dyDescent="0.25">
      <c r="K1228" s="26" t="str">
        <f t="shared" si="76"/>
        <v/>
      </c>
      <c r="L1228" s="26" t="str">
        <f t="shared" si="77"/>
        <v/>
      </c>
      <c r="M1228" s="26" t="str">
        <f t="shared" si="78"/>
        <v/>
      </c>
      <c r="N1228" s="27" t="str">
        <f t="shared" si="79"/>
        <v/>
      </c>
    </row>
    <row r="1229" spans="11:14" ht="15" customHeight="1" x14ac:dyDescent="0.25">
      <c r="K1229" s="26" t="str">
        <f t="shared" si="76"/>
        <v/>
      </c>
      <c r="L1229" s="26" t="str">
        <f t="shared" si="77"/>
        <v/>
      </c>
      <c r="M1229" s="26" t="str">
        <f t="shared" si="78"/>
        <v/>
      </c>
      <c r="N1229" s="27" t="str">
        <f t="shared" si="79"/>
        <v/>
      </c>
    </row>
    <row r="1230" spans="11:14" ht="15" customHeight="1" x14ac:dyDescent="0.25">
      <c r="K1230" s="26" t="str">
        <f t="shared" si="76"/>
        <v/>
      </c>
      <c r="L1230" s="26" t="str">
        <f t="shared" si="77"/>
        <v/>
      </c>
      <c r="M1230" s="26" t="str">
        <f t="shared" si="78"/>
        <v/>
      </c>
      <c r="N1230" s="27" t="str">
        <f t="shared" si="79"/>
        <v/>
      </c>
    </row>
    <row r="1231" spans="11:14" ht="15" customHeight="1" x14ac:dyDescent="0.25">
      <c r="K1231" s="26" t="str">
        <f t="shared" si="76"/>
        <v/>
      </c>
      <c r="L1231" s="26" t="str">
        <f t="shared" si="77"/>
        <v/>
      </c>
      <c r="M1231" s="26" t="str">
        <f t="shared" si="78"/>
        <v/>
      </c>
      <c r="N1231" s="27" t="str">
        <f t="shared" si="79"/>
        <v/>
      </c>
    </row>
    <row r="1232" spans="11:14" ht="15" customHeight="1" x14ac:dyDescent="0.25">
      <c r="K1232" s="26" t="str">
        <f t="shared" si="76"/>
        <v/>
      </c>
      <c r="L1232" s="26" t="str">
        <f t="shared" si="77"/>
        <v/>
      </c>
      <c r="M1232" s="26" t="str">
        <f t="shared" si="78"/>
        <v/>
      </c>
      <c r="N1232" s="27" t="str">
        <f t="shared" si="79"/>
        <v/>
      </c>
    </row>
    <row r="1233" spans="11:14" ht="15" customHeight="1" x14ac:dyDescent="0.25">
      <c r="K1233" s="26" t="str">
        <f t="shared" si="76"/>
        <v/>
      </c>
      <c r="L1233" s="26" t="str">
        <f t="shared" si="77"/>
        <v/>
      </c>
      <c r="M1233" s="26" t="str">
        <f t="shared" si="78"/>
        <v/>
      </c>
      <c r="N1233" s="27" t="str">
        <f t="shared" si="79"/>
        <v/>
      </c>
    </row>
    <row r="1234" spans="11:14" ht="15" customHeight="1" x14ac:dyDescent="0.25">
      <c r="K1234" s="26" t="str">
        <f t="shared" si="76"/>
        <v/>
      </c>
      <c r="L1234" s="26" t="str">
        <f t="shared" si="77"/>
        <v/>
      </c>
      <c r="M1234" s="26" t="str">
        <f t="shared" si="78"/>
        <v/>
      </c>
      <c r="N1234" s="27" t="str">
        <f t="shared" si="79"/>
        <v/>
      </c>
    </row>
    <row r="1235" spans="11:14" ht="15" customHeight="1" x14ac:dyDescent="0.25">
      <c r="K1235" s="26" t="str">
        <f t="shared" si="76"/>
        <v/>
      </c>
      <c r="L1235" s="26" t="str">
        <f t="shared" si="77"/>
        <v/>
      </c>
      <c r="M1235" s="26" t="str">
        <f t="shared" si="78"/>
        <v/>
      </c>
      <c r="N1235" s="27" t="str">
        <f t="shared" si="79"/>
        <v/>
      </c>
    </row>
    <row r="1236" spans="11:14" ht="15" customHeight="1" x14ac:dyDescent="0.25">
      <c r="K1236" s="26" t="str">
        <f t="shared" si="76"/>
        <v/>
      </c>
      <c r="L1236" s="26" t="str">
        <f t="shared" si="77"/>
        <v/>
      </c>
      <c r="M1236" s="26" t="str">
        <f t="shared" si="78"/>
        <v/>
      </c>
      <c r="N1236" s="27" t="str">
        <f t="shared" si="79"/>
        <v/>
      </c>
    </row>
    <row r="1237" spans="11:14" ht="15" customHeight="1" x14ac:dyDescent="0.25">
      <c r="K1237" s="26" t="str">
        <f t="shared" si="76"/>
        <v/>
      </c>
      <c r="L1237" s="26" t="str">
        <f t="shared" si="77"/>
        <v/>
      </c>
      <c r="M1237" s="26" t="str">
        <f t="shared" si="78"/>
        <v/>
      </c>
      <c r="N1237" s="27" t="str">
        <f t="shared" si="79"/>
        <v/>
      </c>
    </row>
    <row r="1238" spans="11:14" ht="15" customHeight="1" x14ac:dyDescent="0.25">
      <c r="K1238" s="26" t="str">
        <f t="shared" si="76"/>
        <v/>
      </c>
      <c r="L1238" s="26" t="str">
        <f t="shared" si="77"/>
        <v/>
      </c>
      <c r="M1238" s="26" t="str">
        <f t="shared" si="78"/>
        <v/>
      </c>
      <c r="N1238" s="27" t="str">
        <f t="shared" si="79"/>
        <v/>
      </c>
    </row>
    <row r="1239" spans="11:14" ht="15" customHeight="1" x14ac:dyDescent="0.25">
      <c r="K1239" s="26" t="str">
        <f t="shared" si="76"/>
        <v/>
      </c>
      <c r="L1239" s="26" t="str">
        <f t="shared" si="77"/>
        <v/>
      </c>
      <c r="M1239" s="26" t="str">
        <f t="shared" si="78"/>
        <v/>
      </c>
      <c r="N1239" s="27" t="str">
        <f t="shared" si="79"/>
        <v/>
      </c>
    </row>
    <row r="1240" spans="11:14" ht="15" customHeight="1" x14ac:dyDescent="0.25">
      <c r="K1240" s="26" t="str">
        <f t="shared" si="76"/>
        <v/>
      </c>
      <c r="L1240" s="26" t="str">
        <f t="shared" si="77"/>
        <v/>
      </c>
      <c r="M1240" s="26" t="str">
        <f t="shared" si="78"/>
        <v/>
      </c>
      <c r="N1240" s="27" t="str">
        <f t="shared" si="79"/>
        <v/>
      </c>
    </row>
    <row r="1241" spans="11:14" ht="15" customHeight="1" x14ac:dyDescent="0.25">
      <c r="K1241" s="26" t="str">
        <f t="shared" si="76"/>
        <v/>
      </c>
      <c r="L1241" s="26" t="str">
        <f t="shared" si="77"/>
        <v/>
      </c>
      <c r="M1241" s="26" t="str">
        <f t="shared" si="78"/>
        <v/>
      </c>
      <c r="N1241" s="27" t="str">
        <f t="shared" si="79"/>
        <v/>
      </c>
    </row>
    <row r="1242" spans="11:14" ht="15" customHeight="1" x14ac:dyDescent="0.25">
      <c r="K1242" s="26" t="str">
        <f t="shared" si="76"/>
        <v/>
      </c>
      <c r="L1242" s="26" t="str">
        <f t="shared" si="77"/>
        <v/>
      </c>
      <c r="M1242" s="26" t="str">
        <f t="shared" si="78"/>
        <v/>
      </c>
      <c r="N1242" s="27" t="str">
        <f t="shared" si="79"/>
        <v/>
      </c>
    </row>
    <row r="1243" spans="11:14" ht="15" customHeight="1" x14ac:dyDescent="0.25">
      <c r="K1243" s="26" t="str">
        <f t="shared" si="76"/>
        <v/>
      </c>
      <c r="L1243" s="26" t="str">
        <f t="shared" si="77"/>
        <v/>
      </c>
      <c r="M1243" s="26" t="str">
        <f t="shared" si="78"/>
        <v/>
      </c>
      <c r="N1243" s="27" t="str">
        <f t="shared" si="79"/>
        <v/>
      </c>
    </row>
    <row r="1244" spans="11:14" ht="15" customHeight="1" x14ac:dyDescent="0.25">
      <c r="K1244" s="26" t="str">
        <f t="shared" si="76"/>
        <v/>
      </c>
      <c r="L1244" s="26" t="str">
        <f t="shared" si="77"/>
        <v/>
      </c>
      <c r="M1244" s="26" t="str">
        <f t="shared" si="78"/>
        <v/>
      </c>
      <c r="N1244" s="27" t="str">
        <f t="shared" si="79"/>
        <v/>
      </c>
    </row>
    <row r="1245" spans="11:14" ht="15" customHeight="1" x14ac:dyDescent="0.25">
      <c r="K1245" s="26" t="str">
        <f t="shared" si="76"/>
        <v/>
      </c>
      <c r="L1245" s="26" t="str">
        <f t="shared" si="77"/>
        <v/>
      </c>
      <c r="M1245" s="26" t="str">
        <f t="shared" si="78"/>
        <v/>
      </c>
      <c r="N1245" s="27" t="str">
        <f t="shared" si="79"/>
        <v/>
      </c>
    </row>
    <row r="1246" spans="11:14" ht="15" customHeight="1" x14ac:dyDescent="0.25">
      <c r="K1246" s="26" t="str">
        <f t="shared" si="76"/>
        <v/>
      </c>
      <c r="L1246" s="26" t="str">
        <f t="shared" si="77"/>
        <v/>
      </c>
      <c r="M1246" s="26" t="str">
        <f t="shared" si="78"/>
        <v/>
      </c>
      <c r="N1246" s="27" t="str">
        <f t="shared" si="79"/>
        <v/>
      </c>
    </row>
    <row r="1247" spans="11:14" ht="15" customHeight="1" x14ac:dyDescent="0.25">
      <c r="K1247" s="26" t="str">
        <f t="shared" si="76"/>
        <v/>
      </c>
      <c r="L1247" s="26" t="str">
        <f t="shared" si="77"/>
        <v/>
      </c>
      <c r="M1247" s="26" t="str">
        <f t="shared" si="78"/>
        <v/>
      </c>
      <c r="N1247" s="27" t="str">
        <f t="shared" si="79"/>
        <v/>
      </c>
    </row>
    <row r="1248" spans="11:14" ht="15" customHeight="1" x14ac:dyDescent="0.25">
      <c r="K1248" s="26" t="str">
        <f t="shared" si="76"/>
        <v/>
      </c>
      <c r="L1248" s="26" t="str">
        <f t="shared" si="77"/>
        <v/>
      </c>
      <c r="M1248" s="26" t="str">
        <f t="shared" si="78"/>
        <v/>
      </c>
      <c r="N1248" s="27" t="str">
        <f t="shared" si="79"/>
        <v/>
      </c>
    </row>
    <row r="1249" spans="11:14" ht="15" customHeight="1" x14ac:dyDescent="0.25">
      <c r="K1249" s="26" t="str">
        <f t="shared" si="76"/>
        <v/>
      </c>
      <c r="L1249" s="26" t="str">
        <f t="shared" si="77"/>
        <v/>
      </c>
      <c r="M1249" s="26" t="str">
        <f t="shared" si="78"/>
        <v/>
      </c>
      <c r="N1249" s="27" t="str">
        <f t="shared" si="79"/>
        <v/>
      </c>
    </row>
    <row r="1250" spans="11:14" ht="15" customHeight="1" x14ac:dyDescent="0.25">
      <c r="K1250" s="26" t="str">
        <f t="shared" si="76"/>
        <v/>
      </c>
      <c r="L1250" s="26" t="str">
        <f t="shared" si="77"/>
        <v/>
      </c>
      <c r="M1250" s="26" t="str">
        <f t="shared" si="78"/>
        <v/>
      </c>
      <c r="N1250" s="27" t="str">
        <f t="shared" si="79"/>
        <v/>
      </c>
    </row>
    <row r="1251" spans="11:14" ht="15" customHeight="1" x14ac:dyDescent="0.25">
      <c r="K1251" s="26" t="str">
        <f t="shared" si="76"/>
        <v/>
      </c>
      <c r="L1251" s="26" t="str">
        <f t="shared" si="77"/>
        <v/>
      </c>
      <c r="M1251" s="26" t="str">
        <f t="shared" si="78"/>
        <v/>
      </c>
      <c r="N1251" s="27" t="str">
        <f t="shared" si="79"/>
        <v/>
      </c>
    </row>
    <row r="1252" spans="11:14" ht="15" customHeight="1" x14ac:dyDescent="0.25">
      <c r="K1252" s="26" t="str">
        <f t="shared" si="76"/>
        <v/>
      </c>
      <c r="L1252" s="26" t="str">
        <f t="shared" si="77"/>
        <v/>
      </c>
      <c r="M1252" s="26" t="str">
        <f t="shared" si="78"/>
        <v/>
      </c>
      <c r="N1252" s="27" t="str">
        <f t="shared" si="79"/>
        <v/>
      </c>
    </row>
    <row r="1253" spans="11:14" ht="15" customHeight="1" x14ac:dyDescent="0.25">
      <c r="K1253" s="26" t="str">
        <f t="shared" si="76"/>
        <v/>
      </c>
      <c r="L1253" s="26" t="str">
        <f t="shared" si="77"/>
        <v/>
      </c>
      <c r="M1253" s="26" t="str">
        <f t="shared" si="78"/>
        <v/>
      </c>
      <c r="N1253" s="27" t="str">
        <f t="shared" si="79"/>
        <v/>
      </c>
    </row>
    <row r="1254" spans="11:14" ht="15" customHeight="1" x14ac:dyDescent="0.25">
      <c r="K1254" s="26" t="str">
        <f t="shared" si="76"/>
        <v/>
      </c>
      <c r="L1254" s="26" t="str">
        <f t="shared" si="77"/>
        <v/>
      </c>
      <c r="M1254" s="26" t="str">
        <f t="shared" si="78"/>
        <v/>
      </c>
      <c r="N1254" s="27" t="str">
        <f t="shared" si="79"/>
        <v/>
      </c>
    </row>
    <row r="1255" spans="11:14" ht="15" customHeight="1" x14ac:dyDescent="0.25">
      <c r="K1255" s="26" t="str">
        <f t="shared" si="76"/>
        <v/>
      </c>
      <c r="L1255" s="26" t="str">
        <f t="shared" si="77"/>
        <v/>
      </c>
      <c r="M1255" s="26" t="str">
        <f t="shared" si="78"/>
        <v/>
      </c>
      <c r="N1255" s="27" t="str">
        <f t="shared" si="79"/>
        <v/>
      </c>
    </row>
    <row r="1256" spans="11:14" ht="15" customHeight="1" x14ac:dyDescent="0.25">
      <c r="K1256" s="26" t="str">
        <f t="shared" si="76"/>
        <v/>
      </c>
      <c r="L1256" s="26" t="str">
        <f t="shared" si="77"/>
        <v/>
      </c>
      <c r="M1256" s="26" t="str">
        <f t="shared" si="78"/>
        <v/>
      </c>
      <c r="N1256" s="27" t="str">
        <f t="shared" si="79"/>
        <v/>
      </c>
    </row>
    <row r="1257" spans="11:14" ht="15" customHeight="1" x14ac:dyDescent="0.25">
      <c r="K1257" s="26" t="str">
        <f t="shared" si="76"/>
        <v/>
      </c>
      <c r="L1257" s="26" t="str">
        <f t="shared" si="77"/>
        <v/>
      </c>
      <c r="M1257" s="26" t="str">
        <f t="shared" si="78"/>
        <v/>
      </c>
      <c r="N1257" s="27" t="str">
        <f t="shared" si="79"/>
        <v/>
      </c>
    </row>
    <row r="1258" spans="11:14" ht="15" customHeight="1" x14ac:dyDescent="0.25">
      <c r="K1258" s="26" t="str">
        <f t="shared" si="76"/>
        <v/>
      </c>
      <c r="L1258" s="26" t="str">
        <f t="shared" si="77"/>
        <v/>
      </c>
      <c r="M1258" s="26" t="str">
        <f t="shared" si="78"/>
        <v/>
      </c>
      <c r="N1258" s="27" t="str">
        <f t="shared" si="79"/>
        <v/>
      </c>
    </row>
    <row r="1259" spans="11:14" ht="15" customHeight="1" x14ac:dyDescent="0.25">
      <c r="K1259" s="26" t="str">
        <f t="shared" si="76"/>
        <v/>
      </c>
      <c r="L1259" s="26" t="str">
        <f t="shared" si="77"/>
        <v/>
      </c>
      <c r="M1259" s="26" t="str">
        <f t="shared" si="78"/>
        <v/>
      </c>
      <c r="N1259" s="27" t="str">
        <f t="shared" si="79"/>
        <v/>
      </c>
    </row>
    <row r="1260" spans="11:14" ht="15" customHeight="1" x14ac:dyDescent="0.25">
      <c r="K1260" s="26" t="str">
        <f t="shared" si="76"/>
        <v/>
      </c>
      <c r="L1260" s="26" t="str">
        <f t="shared" si="77"/>
        <v/>
      </c>
      <c r="M1260" s="26" t="str">
        <f t="shared" si="78"/>
        <v/>
      </c>
      <c r="N1260" s="27" t="str">
        <f t="shared" si="79"/>
        <v/>
      </c>
    </row>
    <row r="1261" spans="11:14" ht="15" customHeight="1" x14ac:dyDescent="0.25">
      <c r="K1261" s="26" t="str">
        <f t="shared" si="76"/>
        <v/>
      </c>
      <c r="L1261" s="26" t="str">
        <f t="shared" si="77"/>
        <v/>
      </c>
      <c r="M1261" s="26" t="str">
        <f t="shared" si="78"/>
        <v/>
      </c>
      <c r="N1261" s="27" t="str">
        <f t="shared" si="79"/>
        <v/>
      </c>
    </row>
    <row r="1262" spans="11:14" ht="15" customHeight="1" x14ac:dyDescent="0.25">
      <c r="K1262" s="26" t="str">
        <f t="shared" si="76"/>
        <v/>
      </c>
      <c r="L1262" s="26" t="str">
        <f t="shared" si="77"/>
        <v/>
      </c>
      <c r="M1262" s="26" t="str">
        <f t="shared" si="78"/>
        <v/>
      </c>
      <c r="N1262" s="27" t="str">
        <f t="shared" si="79"/>
        <v/>
      </c>
    </row>
    <row r="1263" spans="11:14" ht="15" customHeight="1" x14ac:dyDescent="0.25">
      <c r="K1263" s="26" t="str">
        <f t="shared" si="76"/>
        <v/>
      </c>
      <c r="L1263" s="26" t="str">
        <f t="shared" si="77"/>
        <v/>
      </c>
      <c r="M1263" s="26" t="str">
        <f t="shared" si="78"/>
        <v/>
      </c>
      <c r="N1263" s="27" t="str">
        <f t="shared" si="79"/>
        <v/>
      </c>
    </row>
    <row r="1264" spans="11:14" ht="15" customHeight="1" x14ac:dyDescent="0.25">
      <c r="K1264" s="26" t="str">
        <f t="shared" si="76"/>
        <v/>
      </c>
      <c r="L1264" s="26" t="str">
        <f t="shared" si="77"/>
        <v/>
      </c>
      <c r="M1264" s="26" t="str">
        <f t="shared" si="78"/>
        <v/>
      </c>
      <c r="N1264" s="27" t="str">
        <f t="shared" si="79"/>
        <v/>
      </c>
    </row>
    <row r="1265" spans="11:14" ht="15" customHeight="1" x14ac:dyDescent="0.25">
      <c r="K1265" s="26" t="str">
        <f t="shared" si="76"/>
        <v/>
      </c>
      <c r="L1265" s="26" t="str">
        <f t="shared" si="77"/>
        <v/>
      </c>
      <c r="M1265" s="26" t="str">
        <f t="shared" si="78"/>
        <v/>
      </c>
      <c r="N1265" s="27" t="str">
        <f t="shared" si="79"/>
        <v/>
      </c>
    </row>
    <row r="1266" spans="11:14" ht="15" customHeight="1" x14ac:dyDescent="0.25">
      <c r="K1266" s="26" t="str">
        <f t="shared" si="76"/>
        <v/>
      </c>
      <c r="L1266" s="26" t="str">
        <f t="shared" si="77"/>
        <v/>
      </c>
      <c r="M1266" s="26" t="str">
        <f t="shared" si="78"/>
        <v/>
      </c>
      <c r="N1266" s="27" t="str">
        <f t="shared" si="79"/>
        <v/>
      </c>
    </row>
    <row r="1267" spans="11:14" ht="15" customHeight="1" x14ac:dyDescent="0.25">
      <c r="K1267" s="26" t="str">
        <f t="shared" si="76"/>
        <v/>
      </c>
      <c r="L1267" s="26" t="str">
        <f t="shared" si="77"/>
        <v/>
      </c>
      <c r="M1267" s="26" t="str">
        <f t="shared" si="78"/>
        <v/>
      </c>
      <c r="N1267" s="27" t="str">
        <f t="shared" si="79"/>
        <v/>
      </c>
    </row>
    <row r="1268" spans="11:14" ht="15" customHeight="1" x14ac:dyDescent="0.25">
      <c r="K1268" s="26" t="str">
        <f t="shared" si="76"/>
        <v/>
      </c>
      <c r="L1268" s="26" t="str">
        <f t="shared" si="77"/>
        <v/>
      </c>
      <c r="M1268" s="26" t="str">
        <f t="shared" si="78"/>
        <v/>
      </c>
      <c r="N1268" s="27" t="str">
        <f t="shared" si="79"/>
        <v/>
      </c>
    </row>
    <row r="1269" spans="11:14" ht="15" customHeight="1" x14ac:dyDescent="0.25">
      <c r="K1269" s="26" t="str">
        <f t="shared" si="76"/>
        <v/>
      </c>
      <c r="L1269" s="26" t="str">
        <f t="shared" si="77"/>
        <v/>
      </c>
      <c r="M1269" s="26" t="str">
        <f t="shared" si="78"/>
        <v/>
      </c>
      <c r="N1269" s="27" t="str">
        <f t="shared" si="79"/>
        <v/>
      </c>
    </row>
    <row r="1270" spans="11:14" ht="15" customHeight="1" x14ac:dyDescent="0.25">
      <c r="K1270" s="26" t="str">
        <f t="shared" si="76"/>
        <v/>
      </c>
      <c r="L1270" s="26" t="str">
        <f t="shared" si="77"/>
        <v/>
      </c>
      <c r="M1270" s="26" t="str">
        <f t="shared" si="78"/>
        <v/>
      </c>
      <c r="N1270" s="27" t="str">
        <f t="shared" si="79"/>
        <v/>
      </c>
    </row>
    <row r="1271" spans="11:14" ht="15" customHeight="1" x14ac:dyDescent="0.25">
      <c r="K1271" s="26" t="str">
        <f t="shared" si="76"/>
        <v/>
      </c>
      <c r="L1271" s="26" t="str">
        <f t="shared" si="77"/>
        <v/>
      </c>
      <c r="M1271" s="26" t="str">
        <f t="shared" si="78"/>
        <v/>
      </c>
      <c r="N1271" s="27" t="str">
        <f t="shared" si="79"/>
        <v/>
      </c>
    </row>
    <row r="1272" spans="11:14" ht="15" customHeight="1" x14ac:dyDescent="0.25">
      <c r="K1272" s="26" t="str">
        <f t="shared" si="76"/>
        <v/>
      </c>
      <c r="L1272" s="26" t="str">
        <f t="shared" si="77"/>
        <v/>
      </c>
      <c r="M1272" s="26" t="str">
        <f t="shared" si="78"/>
        <v/>
      </c>
      <c r="N1272" s="27" t="str">
        <f t="shared" si="79"/>
        <v/>
      </c>
    </row>
    <row r="1273" spans="11:14" ht="15" customHeight="1" x14ac:dyDescent="0.25">
      <c r="K1273" s="26" t="str">
        <f t="shared" si="76"/>
        <v/>
      </c>
      <c r="L1273" s="26" t="str">
        <f t="shared" si="77"/>
        <v/>
      </c>
      <c r="M1273" s="26" t="str">
        <f t="shared" si="78"/>
        <v/>
      </c>
      <c r="N1273" s="27" t="str">
        <f t="shared" si="79"/>
        <v/>
      </c>
    </row>
    <row r="1274" spans="11:14" ht="15" customHeight="1" x14ac:dyDescent="0.25">
      <c r="K1274" s="26" t="str">
        <f t="shared" si="76"/>
        <v/>
      </c>
      <c r="L1274" s="26" t="str">
        <f t="shared" si="77"/>
        <v/>
      </c>
      <c r="M1274" s="26" t="str">
        <f t="shared" si="78"/>
        <v/>
      </c>
      <c r="N1274" s="27" t="str">
        <f t="shared" si="79"/>
        <v/>
      </c>
    </row>
    <row r="1275" spans="11:14" ht="15" customHeight="1" x14ac:dyDescent="0.25">
      <c r="K1275" s="26" t="str">
        <f t="shared" si="76"/>
        <v/>
      </c>
      <c r="L1275" s="26" t="str">
        <f t="shared" si="77"/>
        <v/>
      </c>
      <c r="M1275" s="26" t="str">
        <f t="shared" si="78"/>
        <v/>
      </c>
      <c r="N1275" s="27" t="str">
        <f t="shared" si="79"/>
        <v/>
      </c>
    </row>
    <row r="1276" spans="11:14" ht="15" customHeight="1" x14ac:dyDescent="0.25">
      <c r="K1276" s="26" t="str">
        <f t="shared" si="76"/>
        <v/>
      </c>
      <c r="L1276" s="26" t="str">
        <f t="shared" si="77"/>
        <v/>
      </c>
      <c r="M1276" s="26" t="str">
        <f t="shared" si="78"/>
        <v/>
      </c>
      <c r="N1276" s="27" t="str">
        <f t="shared" si="79"/>
        <v/>
      </c>
    </row>
    <row r="1277" spans="11:14" ht="15" customHeight="1" x14ac:dyDescent="0.25">
      <c r="K1277" s="26" t="str">
        <f t="shared" si="76"/>
        <v/>
      </c>
      <c r="L1277" s="26" t="str">
        <f t="shared" si="77"/>
        <v/>
      </c>
      <c r="M1277" s="26" t="str">
        <f t="shared" si="78"/>
        <v/>
      </c>
      <c r="N1277" s="27" t="str">
        <f t="shared" si="79"/>
        <v/>
      </c>
    </row>
    <row r="1278" spans="11:14" ht="15" customHeight="1" x14ac:dyDescent="0.25">
      <c r="K1278" s="26" t="str">
        <f t="shared" si="76"/>
        <v/>
      </c>
      <c r="L1278" s="26" t="str">
        <f t="shared" si="77"/>
        <v/>
      </c>
      <c r="M1278" s="26" t="str">
        <f t="shared" si="78"/>
        <v/>
      </c>
      <c r="N1278" s="27" t="str">
        <f t="shared" si="79"/>
        <v/>
      </c>
    </row>
    <row r="1279" spans="11:14" ht="15" customHeight="1" x14ac:dyDescent="0.25">
      <c r="K1279" s="26" t="str">
        <f t="shared" si="76"/>
        <v/>
      </c>
      <c r="L1279" s="26" t="str">
        <f t="shared" si="77"/>
        <v/>
      </c>
      <c r="M1279" s="26" t="str">
        <f t="shared" si="78"/>
        <v/>
      </c>
      <c r="N1279" s="27" t="str">
        <f t="shared" si="79"/>
        <v/>
      </c>
    </row>
    <row r="1280" spans="11:14" ht="15" customHeight="1" x14ac:dyDescent="0.25">
      <c r="K1280" s="26" t="str">
        <f t="shared" si="76"/>
        <v/>
      </c>
      <c r="L1280" s="26" t="str">
        <f t="shared" si="77"/>
        <v/>
      </c>
      <c r="M1280" s="26" t="str">
        <f t="shared" si="78"/>
        <v/>
      </c>
      <c r="N1280" s="27" t="str">
        <f t="shared" si="79"/>
        <v/>
      </c>
    </row>
    <row r="1281" spans="11:14" ht="15" customHeight="1" x14ac:dyDescent="0.25">
      <c r="K1281" s="26" t="str">
        <f t="shared" si="76"/>
        <v/>
      </c>
      <c r="L1281" s="26" t="str">
        <f t="shared" si="77"/>
        <v/>
      </c>
      <c r="M1281" s="26" t="str">
        <f t="shared" si="78"/>
        <v/>
      </c>
      <c r="N1281" s="27" t="str">
        <f t="shared" si="79"/>
        <v/>
      </c>
    </row>
    <row r="1282" spans="11:14" ht="15" customHeight="1" x14ac:dyDescent="0.25">
      <c r="K1282" s="26" t="str">
        <f t="shared" si="76"/>
        <v/>
      </c>
      <c r="L1282" s="26" t="str">
        <f t="shared" si="77"/>
        <v/>
      </c>
      <c r="M1282" s="26" t="str">
        <f t="shared" si="78"/>
        <v/>
      </c>
      <c r="N1282" s="27" t="str">
        <f t="shared" si="79"/>
        <v/>
      </c>
    </row>
    <row r="1283" spans="11:14" ht="15" customHeight="1" x14ac:dyDescent="0.25">
      <c r="K1283" s="26" t="str">
        <f t="shared" si="76"/>
        <v/>
      </c>
      <c r="L1283" s="26" t="str">
        <f t="shared" si="77"/>
        <v/>
      </c>
      <c r="M1283" s="26" t="str">
        <f t="shared" si="78"/>
        <v/>
      </c>
      <c r="N1283" s="27" t="str">
        <f t="shared" si="79"/>
        <v/>
      </c>
    </row>
    <row r="1284" spans="11:14" ht="15" customHeight="1" x14ac:dyDescent="0.25">
      <c r="K1284" s="26" t="str">
        <f t="shared" si="76"/>
        <v/>
      </c>
      <c r="L1284" s="26" t="str">
        <f t="shared" si="77"/>
        <v/>
      </c>
      <c r="M1284" s="26" t="str">
        <f t="shared" si="78"/>
        <v/>
      </c>
      <c r="N1284" s="27" t="str">
        <f t="shared" si="79"/>
        <v/>
      </c>
    </row>
    <row r="1285" spans="11:14" ht="15" customHeight="1" x14ac:dyDescent="0.25">
      <c r="K1285" s="26" t="str">
        <f t="shared" ref="K1285:K1348" si="80">IF(H1285="","",(H1285-G1285)/G1285)</f>
        <v/>
      </c>
      <c r="L1285" s="26" t="str">
        <f t="shared" ref="L1285:L1348" si="81">IF(I1285="","",(I1285-G1285)/G1285)</f>
        <v/>
      </c>
      <c r="M1285" s="26" t="str">
        <f t="shared" ref="M1285:M1348" si="82">IF(J1285="","",(J1285-G1285)/G1285)</f>
        <v/>
      </c>
      <c r="N1285" s="27" t="str">
        <f t="shared" ref="N1285:N1348" si="83">IF(H1285="","",IF(D1285="HOLD",IF(ABS(K1285)&lt;0.03,"YES","NO"),IF(D1285="BUY",IF(K1285&gt;0,"YES","NO"),IF(D1285="SELL",IF(K1285&lt;0,"YES","NO"),""))))</f>
        <v/>
      </c>
    </row>
    <row r="1286" spans="11:14" ht="15" customHeight="1" x14ac:dyDescent="0.25">
      <c r="K1286" s="26" t="str">
        <f t="shared" si="80"/>
        <v/>
      </c>
      <c r="L1286" s="26" t="str">
        <f t="shared" si="81"/>
        <v/>
      </c>
      <c r="M1286" s="26" t="str">
        <f t="shared" si="82"/>
        <v/>
      </c>
      <c r="N1286" s="27" t="str">
        <f t="shared" si="83"/>
        <v/>
      </c>
    </row>
    <row r="1287" spans="11:14" ht="15" customHeight="1" x14ac:dyDescent="0.25">
      <c r="K1287" s="26" t="str">
        <f t="shared" si="80"/>
        <v/>
      </c>
      <c r="L1287" s="26" t="str">
        <f t="shared" si="81"/>
        <v/>
      </c>
      <c r="M1287" s="26" t="str">
        <f t="shared" si="82"/>
        <v/>
      </c>
      <c r="N1287" s="27" t="str">
        <f t="shared" si="83"/>
        <v/>
      </c>
    </row>
    <row r="1288" spans="11:14" ht="15" customHeight="1" x14ac:dyDescent="0.25">
      <c r="K1288" s="26" t="str">
        <f t="shared" si="80"/>
        <v/>
      </c>
      <c r="L1288" s="26" t="str">
        <f t="shared" si="81"/>
        <v/>
      </c>
      <c r="M1288" s="26" t="str">
        <f t="shared" si="82"/>
        <v/>
      </c>
      <c r="N1288" s="27" t="str">
        <f t="shared" si="83"/>
        <v/>
      </c>
    </row>
    <row r="1289" spans="11:14" ht="15" customHeight="1" x14ac:dyDescent="0.25">
      <c r="K1289" s="26" t="str">
        <f t="shared" si="80"/>
        <v/>
      </c>
      <c r="L1289" s="26" t="str">
        <f t="shared" si="81"/>
        <v/>
      </c>
      <c r="M1289" s="26" t="str">
        <f t="shared" si="82"/>
        <v/>
      </c>
      <c r="N1289" s="27" t="str">
        <f t="shared" si="83"/>
        <v/>
      </c>
    </row>
    <row r="1290" spans="11:14" ht="15" customHeight="1" x14ac:dyDescent="0.25">
      <c r="K1290" s="26" t="str">
        <f t="shared" si="80"/>
        <v/>
      </c>
      <c r="L1290" s="26" t="str">
        <f t="shared" si="81"/>
        <v/>
      </c>
      <c r="M1290" s="26" t="str">
        <f t="shared" si="82"/>
        <v/>
      </c>
      <c r="N1290" s="27" t="str">
        <f t="shared" si="83"/>
        <v/>
      </c>
    </row>
    <row r="1291" spans="11:14" ht="15" customHeight="1" x14ac:dyDescent="0.25">
      <c r="K1291" s="26" t="str">
        <f t="shared" si="80"/>
        <v/>
      </c>
      <c r="L1291" s="26" t="str">
        <f t="shared" si="81"/>
        <v/>
      </c>
      <c r="M1291" s="26" t="str">
        <f t="shared" si="82"/>
        <v/>
      </c>
      <c r="N1291" s="27" t="str">
        <f t="shared" si="83"/>
        <v/>
      </c>
    </row>
    <row r="1292" spans="11:14" ht="15" customHeight="1" x14ac:dyDescent="0.25">
      <c r="K1292" s="26" t="str">
        <f t="shared" si="80"/>
        <v/>
      </c>
      <c r="L1292" s="26" t="str">
        <f t="shared" si="81"/>
        <v/>
      </c>
      <c r="M1292" s="26" t="str">
        <f t="shared" si="82"/>
        <v/>
      </c>
      <c r="N1292" s="27" t="str">
        <f t="shared" si="83"/>
        <v/>
      </c>
    </row>
    <row r="1293" spans="11:14" ht="15" customHeight="1" x14ac:dyDescent="0.25">
      <c r="K1293" s="26" t="str">
        <f t="shared" si="80"/>
        <v/>
      </c>
      <c r="L1293" s="26" t="str">
        <f t="shared" si="81"/>
        <v/>
      </c>
      <c r="M1293" s="26" t="str">
        <f t="shared" si="82"/>
        <v/>
      </c>
      <c r="N1293" s="27" t="str">
        <f t="shared" si="83"/>
        <v/>
      </c>
    </row>
    <row r="1294" spans="11:14" ht="15" customHeight="1" x14ac:dyDescent="0.25">
      <c r="K1294" s="26" t="str">
        <f t="shared" si="80"/>
        <v/>
      </c>
      <c r="L1294" s="26" t="str">
        <f t="shared" si="81"/>
        <v/>
      </c>
      <c r="M1294" s="26" t="str">
        <f t="shared" si="82"/>
        <v/>
      </c>
      <c r="N1294" s="27" t="str">
        <f t="shared" si="83"/>
        <v/>
      </c>
    </row>
    <row r="1295" spans="11:14" ht="15" customHeight="1" x14ac:dyDescent="0.25">
      <c r="K1295" s="26" t="str">
        <f t="shared" si="80"/>
        <v/>
      </c>
      <c r="L1295" s="26" t="str">
        <f t="shared" si="81"/>
        <v/>
      </c>
      <c r="M1295" s="26" t="str">
        <f t="shared" si="82"/>
        <v/>
      </c>
      <c r="N1295" s="27" t="str">
        <f t="shared" si="83"/>
        <v/>
      </c>
    </row>
    <row r="1296" spans="11:14" ht="15" customHeight="1" x14ac:dyDescent="0.25">
      <c r="K1296" s="26" t="str">
        <f t="shared" si="80"/>
        <v/>
      </c>
      <c r="L1296" s="26" t="str">
        <f t="shared" si="81"/>
        <v/>
      </c>
      <c r="M1296" s="26" t="str">
        <f t="shared" si="82"/>
        <v/>
      </c>
      <c r="N1296" s="27" t="str">
        <f t="shared" si="83"/>
        <v/>
      </c>
    </row>
    <row r="1297" spans="11:14" ht="15" customHeight="1" x14ac:dyDescent="0.25">
      <c r="K1297" s="26" t="str">
        <f t="shared" si="80"/>
        <v/>
      </c>
      <c r="L1297" s="26" t="str">
        <f t="shared" si="81"/>
        <v/>
      </c>
      <c r="M1297" s="26" t="str">
        <f t="shared" si="82"/>
        <v/>
      </c>
      <c r="N1297" s="27" t="str">
        <f t="shared" si="83"/>
        <v/>
      </c>
    </row>
    <row r="1298" spans="11:14" ht="15" customHeight="1" x14ac:dyDescent="0.25">
      <c r="K1298" s="26" t="str">
        <f t="shared" si="80"/>
        <v/>
      </c>
      <c r="L1298" s="26" t="str">
        <f t="shared" si="81"/>
        <v/>
      </c>
      <c r="M1298" s="26" t="str">
        <f t="shared" si="82"/>
        <v/>
      </c>
      <c r="N1298" s="27" t="str">
        <f t="shared" si="83"/>
        <v/>
      </c>
    </row>
    <row r="1299" spans="11:14" ht="15" customHeight="1" x14ac:dyDescent="0.25">
      <c r="K1299" s="26" t="str">
        <f t="shared" si="80"/>
        <v/>
      </c>
      <c r="L1299" s="26" t="str">
        <f t="shared" si="81"/>
        <v/>
      </c>
      <c r="M1299" s="26" t="str">
        <f t="shared" si="82"/>
        <v/>
      </c>
      <c r="N1299" s="27" t="str">
        <f t="shared" si="83"/>
        <v/>
      </c>
    </row>
    <row r="1300" spans="11:14" ht="15" customHeight="1" x14ac:dyDescent="0.25">
      <c r="K1300" s="26" t="str">
        <f t="shared" si="80"/>
        <v/>
      </c>
      <c r="L1300" s="26" t="str">
        <f t="shared" si="81"/>
        <v/>
      </c>
      <c r="M1300" s="26" t="str">
        <f t="shared" si="82"/>
        <v/>
      </c>
      <c r="N1300" s="27" t="str">
        <f t="shared" si="83"/>
        <v/>
      </c>
    </row>
    <row r="1301" spans="11:14" ht="15" customHeight="1" x14ac:dyDescent="0.25">
      <c r="K1301" s="26" t="str">
        <f t="shared" si="80"/>
        <v/>
      </c>
      <c r="L1301" s="26" t="str">
        <f t="shared" si="81"/>
        <v/>
      </c>
      <c r="M1301" s="26" t="str">
        <f t="shared" si="82"/>
        <v/>
      </c>
      <c r="N1301" s="27" t="str">
        <f t="shared" si="83"/>
        <v/>
      </c>
    </row>
    <row r="1302" spans="11:14" ht="15" customHeight="1" x14ac:dyDescent="0.25">
      <c r="K1302" s="26" t="str">
        <f t="shared" si="80"/>
        <v/>
      </c>
      <c r="L1302" s="26" t="str">
        <f t="shared" si="81"/>
        <v/>
      </c>
      <c r="M1302" s="26" t="str">
        <f t="shared" si="82"/>
        <v/>
      </c>
      <c r="N1302" s="27" t="str">
        <f t="shared" si="83"/>
        <v/>
      </c>
    </row>
    <row r="1303" spans="11:14" ht="15" customHeight="1" x14ac:dyDescent="0.25">
      <c r="K1303" s="26" t="str">
        <f t="shared" si="80"/>
        <v/>
      </c>
      <c r="L1303" s="26" t="str">
        <f t="shared" si="81"/>
        <v/>
      </c>
      <c r="M1303" s="26" t="str">
        <f t="shared" si="82"/>
        <v/>
      </c>
      <c r="N1303" s="27" t="str">
        <f t="shared" si="83"/>
        <v/>
      </c>
    </row>
    <row r="1304" spans="11:14" ht="15" customHeight="1" x14ac:dyDescent="0.25">
      <c r="K1304" s="26" t="str">
        <f t="shared" si="80"/>
        <v/>
      </c>
      <c r="L1304" s="26" t="str">
        <f t="shared" si="81"/>
        <v/>
      </c>
      <c r="M1304" s="26" t="str">
        <f t="shared" si="82"/>
        <v/>
      </c>
      <c r="N1304" s="27" t="str">
        <f t="shared" si="83"/>
        <v/>
      </c>
    </row>
    <row r="1305" spans="11:14" ht="15" customHeight="1" x14ac:dyDescent="0.25">
      <c r="K1305" s="26" t="str">
        <f t="shared" si="80"/>
        <v/>
      </c>
      <c r="L1305" s="26" t="str">
        <f t="shared" si="81"/>
        <v/>
      </c>
      <c r="M1305" s="26" t="str">
        <f t="shared" si="82"/>
        <v/>
      </c>
      <c r="N1305" s="27" t="str">
        <f t="shared" si="83"/>
        <v/>
      </c>
    </row>
    <row r="1306" spans="11:14" ht="15" customHeight="1" x14ac:dyDescent="0.25">
      <c r="K1306" s="26" t="str">
        <f t="shared" si="80"/>
        <v/>
      </c>
      <c r="L1306" s="26" t="str">
        <f t="shared" si="81"/>
        <v/>
      </c>
      <c r="M1306" s="26" t="str">
        <f t="shared" si="82"/>
        <v/>
      </c>
      <c r="N1306" s="27" t="str">
        <f t="shared" si="83"/>
        <v/>
      </c>
    </row>
    <row r="1307" spans="11:14" ht="15" customHeight="1" x14ac:dyDescent="0.25">
      <c r="K1307" s="26" t="str">
        <f t="shared" si="80"/>
        <v/>
      </c>
      <c r="L1307" s="26" t="str">
        <f t="shared" si="81"/>
        <v/>
      </c>
      <c r="M1307" s="26" t="str">
        <f t="shared" si="82"/>
        <v/>
      </c>
      <c r="N1307" s="27" t="str">
        <f t="shared" si="83"/>
        <v/>
      </c>
    </row>
    <row r="1308" spans="11:14" ht="15" customHeight="1" x14ac:dyDescent="0.25">
      <c r="K1308" s="26" t="str">
        <f t="shared" si="80"/>
        <v/>
      </c>
      <c r="L1308" s="26" t="str">
        <f t="shared" si="81"/>
        <v/>
      </c>
      <c r="M1308" s="26" t="str">
        <f t="shared" si="82"/>
        <v/>
      </c>
      <c r="N1308" s="27" t="str">
        <f t="shared" si="83"/>
        <v/>
      </c>
    </row>
    <row r="1309" spans="11:14" ht="15" customHeight="1" x14ac:dyDescent="0.25">
      <c r="K1309" s="26" t="str">
        <f t="shared" si="80"/>
        <v/>
      </c>
      <c r="L1309" s="26" t="str">
        <f t="shared" si="81"/>
        <v/>
      </c>
      <c r="M1309" s="26" t="str">
        <f t="shared" si="82"/>
        <v/>
      </c>
      <c r="N1309" s="27" t="str">
        <f t="shared" si="83"/>
        <v/>
      </c>
    </row>
    <row r="1310" spans="11:14" ht="15" customHeight="1" x14ac:dyDescent="0.25">
      <c r="K1310" s="26" t="str">
        <f t="shared" si="80"/>
        <v/>
      </c>
      <c r="L1310" s="26" t="str">
        <f t="shared" si="81"/>
        <v/>
      </c>
      <c r="M1310" s="26" t="str">
        <f t="shared" si="82"/>
        <v/>
      </c>
      <c r="N1310" s="27" t="str">
        <f t="shared" si="83"/>
        <v/>
      </c>
    </row>
    <row r="1311" spans="11:14" ht="15" customHeight="1" x14ac:dyDescent="0.25">
      <c r="K1311" s="26" t="str">
        <f t="shared" si="80"/>
        <v/>
      </c>
      <c r="L1311" s="26" t="str">
        <f t="shared" si="81"/>
        <v/>
      </c>
      <c r="M1311" s="26" t="str">
        <f t="shared" si="82"/>
        <v/>
      </c>
      <c r="N1311" s="27" t="str">
        <f t="shared" si="83"/>
        <v/>
      </c>
    </row>
    <row r="1312" spans="11:14" ht="15" customHeight="1" x14ac:dyDescent="0.25">
      <c r="K1312" s="26" t="str">
        <f t="shared" si="80"/>
        <v/>
      </c>
      <c r="L1312" s="26" t="str">
        <f t="shared" si="81"/>
        <v/>
      </c>
      <c r="M1312" s="26" t="str">
        <f t="shared" si="82"/>
        <v/>
      </c>
      <c r="N1312" s="27" t="str">
        <f t="shared" si="83"/>
        <v/>
      </c>
    </row>
    <row r="1313" spans="11:14" ht="15" customHeight="1" x14ac:dyDescent="0.25">
      <c r="K1313" s="26" t="str">
        <f t="shared" si="80"/>
        <v/>
      </c>
      <c r="L1313" s="26" t="str">
        <f t="shared" si="81"/>
        <v/>
      </c>
      <c r="M1313" s="26" t="str">
        <f t="shared" si="82"/>
        <v/>
      </c>
      <c r="N1313" s="27" t="str">
        <f t="shared" si="83"/>
        <v/>
      </c>
    </row>
    <row r="1314" spans="11:14" ht="15" customHeight="1" x14ac:dyDescent="0.25">
      <c r="K1314" s="26" t="str">
        <f t="shared" si="80"/>
        <v/>
      </c>
      <c r="L1314" s="26" t="str">
        <f t="shared" si="81"/>
        <v/>
      </c>
      <c r="M1314" s="26" t="str">
        <f t="shared" si="82"/>
        <v/>
      </c>
      <c r="N1314" s="27" t="str">
        <f t="shared" si="83"/>
        <v/>
      </c>
    </row>
    <row r="1315" spans="11:14" ht="15" customHeight="1" x14ac:dyDescent="0.25">
      <c r="K1315" s="26" t="str">
        <f t="shared" si="80"/>
        <v/>
      </c>
      <c r="L1315" s="26" t="str">
        <f t="shared" si="81"/>
        <v/>
      </c>
      <c r="M1315" s="26" t="str">
        <f t="shared" si="82"/>
        <v/>
      </c>
      <c r="N1315" s="27" t="str">
        <f t="shared" si="83"/>
        <v/>
      </c>
    </row>
    <row r="1316" spans="11:14" ht="15" customHeight="1" x14ac:dyDescent="0.25">
      <c r="K1316" s="26" t="str">
        <f t="shared" si="80"/>
        <v/>
      </c>
      <c r="L1316" s="26" t="str">
        <f t="shared" si="81"/>
        <v/>
      </c>
      <c r="M1316" s="26" t="str">
        <f t="shared" si="82"/>
        <v/>
      </c>
      <c r="N1316" s="27" t="str">
        <f t="shared" si="83"/>
        <v/>
      </c>
    </row>
    <row r="1317" spans="11:14" ht="15" customHeight="1" x14ac:dyDescent="0.25">
      <c r="K1317" s="26" t="str">
        <f t="shared" si="80"/>
        <v/>
      </c>
      <c r="L1317" s="26" t="str">
        <f t="shared" si="81"/>
        <v/>
      </c>
      <c r="M1317" s="26" t="str">
        <f t="shared" si="82"/>
        <v/>
      </c>
      <c r="N1317" s="27" t="str">
        <f t="shared" si="83"/>
        <v/>
      </c>
    </row>
    <row r="1318" spans="11:14" ht="15" customHeight="1" x14ac:dyDescent="0.25">
      <c r="K1318" s="26" t="str">
        <f t="shared" si="80"/>
        <v/>
      </c>
      <c r="L1318" s="26" t="str">
        <f t="shared" si="81"/>
        <v/>
      </c>
      <c r="M1318" s="26" t="str">
        <f t="shared" si="82"/>
        <v/>
      </c>
      <c r="N1318" s="27" t="str">
        <f t="shared" si="83"/>
        <v/>
      </c>
    </row>
    <row r="1319" spans="11:14" ht="15" customHeight="1" x14ac:dyDescent="0.25">
      <c r="K1319" s="26" t="str">
        <f t="shared" si="80"/>
        <v/>
      </c>
      <c r="L1319" s="26" t="str">
        <f t="shared" si="81"/>
        <v/>
      </c>
      <c r="M1319" s="26" t="str">
        <f t="shared" si="82"/>
        <v/>
      </c>
      <c r="N1319" s="27" t="str">
        <f t="shared" si="83"/>
        <v/>
      </c>
    </row>
    <row r="1320" spans="11:14" ht="15" customHeight="1" x14ac:dyDescent="0.25">
      <c r="K1320" s="26" t="str">
        <f t="shared" si="80"/>
        <v/>
      </c>
      <c r="L1320" s="26" t="str">
        <f t="shared" si="81"/>
        <v/>
      </c>
      <c r="M1320" s="26" t="str">
        <f t="shared" si="82"/>
        <v/>
      </c>
      <c r="N1320" s="27" t="str">
        <f t="shared" si="83"/>
        <v/>
      </c>
    </row>
    <row r="1321" spans="11:14" ht="15" customHeight="1" x14ac:dyDescent="0.25">
      <c r="K1321" s="26" t="str">
        <f t="shared" si="80"/>
        <v/>
      </c>
      <c r="L1321" s="26" t="str">
        <f t="shared" si="81"/>
        <v/>
      </c>
      <c r="M1321" s="26" t="str">
        <f t="shared" si="82"/>
        <v/>
      </c>
      <c r="N1321" s="27" t="str">
        <f t="shared" si="83"/>
        <v/>
      </c>
    </row>
    <row r="1322" spans="11:14" ht="15" customHeight="1" x14ac:dyDescent="0.25">
      <c r="K1322" s="26" t="str">
        <f t="shared" si="80"/>
        <v/>
      </c>
      <c r="L1322" s="26" t="str">
        <f t="shared" si="81"/>
        <v/>
      </c>
      <c r="M1322" s="26" t="str">
        <f t="shared" si="82"/>
        <v/>
      </c>
      <c r="N1322" s="27" t="str">
        <f t="shared" si="83"/>
        <v/>
      </c>
    </row>
    <row r="1323" spans="11:14" ht="15" customHeight="1" x14ac:dyDescent="0.25">
      <c r="K1323" s="26" t="str">
        <f t="shared" si="80"/>
        <v/>
      </c>
      <c r="L1323" s="26" t="str">
        <f t="shared" si="81"/>
        <v/>
      </c>
      <c r="M1323" s="26" t="str">
        <f t="shared" si="82"/>
        <v/>
      </c>
      <c r="N1323" s="27" t="str">
        <f t="shared" si="83"/>
        <v/>
      </c>
    </row>
    <row r="1324" spans="11:14" ht="15" customHeight="1" x14ac:dyDescent="0.25">
      <c r="K1324" s="26" t="str">
        <f t="shared" si="80"/>
        <v/>
      </c>
      <c r="L1324" s="26" t="str">
        <f t="shared" si="81"/>
        <v/>
      </c>
      <c r="M1324" s="26" t="str">
        <f t="shared" si="82"/>
        <v/>
      </c>
      <c r="N1324" s="27" t="str">
        <f t="shared" si="83"/>
        <v/>
      </c>
    </row>
    <row r="1325" spans="11:14" ht="15" customHeight="1" x14ac:dyDescent="0.25">
      <c r="K1325" s="26" t="str">
        <f t="shared" si="80"/>
        <v/>
      </c>
      <c r="L1325" s="26" t="str">
        <f t="shared" si="81"/>
        <v/>
      </c>
      <c r="M1325" s="26" t="str">
        <f t="shared" si="82"/>
        <v/>
      </c>
      <c r="N1325" s="27" t="str">
        <f t="shared" si="83"/>
        <v/>
      </c>
    </row>
    <row r="1326" spans="11:14" ht="15" customHeight="1" x14ac:dyDescent="0.25">
      <c r="K1326" s="26" t="str">
        <f t="shared" si="80"/>
        <v/>
      </c>
      <c r="L1326" s="26" t="str">
        <f t="shared" si="81"/>
        <v/>
      </c>
      <c r="M1326" s="26" t="str">
        <f t="shared" si="82"/>
        <v/>
      </c>
      <c r="N1326" s="27" t="str">
        <f t="shared" si="83"/>
        <v/>
      </c>
    </row>
    <row r="1327" spans="11:14" ht="15" customHeight="1" x14ac:dyDescent="0.25">
      <c r="K1327" s="26" t="str">
        <f t="shared" si="80"/>
        <v/>
      </c>
      <c r="L1327" s="26" t="str">
        <f t="shared" si="81"/>
        <v/>
      </c>
      <c r="M1327" s="26" t="str">
        <f t="shared" si="82"/>
        <v/>
      </c>
      <c r="N1327" s="27" t="str">
        <f t="shared" si="83"/>
        <v/>
      </c>
    </row>
    <row r="1328" spans="11:14" ht="15" customHeight="1" x14ac:dyDescent="0.25">
      <c r="K1328" s="26" t="str">
        <f t="shared" si="80"/>
        <v/>
      </c>
      <c r="L1328" s="26" t="str">
        <f t="shared" si="81"/>
        <v/>
      </c>
      <c r="M1328" s="26" t="str">
        <f t="shared" si="82"/>
        <v/>
      </c>
      <c r="N1328" s="27" t="str">
        <f t="shared" si="83"/>
        <v/>
      </c>
    </row>
    <row r="1329" spans="11:14" ht="15" customHeight="1" x14ac:dyDescent="0.25">
      <c r="K1329" s="26" t="str">
        <f t="shared" si="80"/>
        <v/>
      </c>
      <c r="L1329" s="26" t="str">
        <f t="shared" si="81"/>
        <v/>
      </c>
      <c r="M1329" s="26" t="str">
        <f t="shared" si="82"/>
        <v/>
      </c>
      <c r="N1329" s="27" t="str">
        <f t="shared" si="83"/>
        <v/>
      </c>
    </row>
    <row r="1330" spans="11:14" ht="15" customHeight="1" x14ac:dyDescent="0.25">
      <c r="K1330" s="26" t="str">
        <f t="shared" si="80"/>
        <v/>
      </c>
      <c r="L1330" s="26" t="str">
        <f t="shared" si="81"/>
        <v/>
      </c>
      <c r="M1330" s="26" t="str">
        <f t="shared" si="82"/>
        <v/>
      </c>
      <c r="N1330" s="27" t="str">
        <f t="shared" si="83"/>
        <v/>
      </c>
    </row>
    <row r="1331" spans="11:14" ht="15" customHeight="1" x14ac:dyDescent="0.25">
      <c r="K1331" s="26" t="str">
        <f t="shared" si="80"/>
        <v/>
      </c>
      <c r="L1331" s="26" t="str">
        <f t="shared" si="81"/>
        <v/>
      </c>
      <c r="M1331" s="26" t="str">
        <f t="shared" si="82"/>
        <v/>
      </c>
      <c r="N1331" s="27" t="str">
        <f t="shared" si="83"/>
        <v/>
      </c>
    </row>
    <row r="1332" spans="11:14" ht="15" customHeight="1" x14ac:dyDescent="0.25">
      <c r="K1332" s="26" t="str">
        <f t="shared" si="80"/>
        <v/>
      </c>
      <c r="L1332" s="26" t="str">
        <f t="shared" si="81"/>
        <v/>
      </c>
      <c r="M1332" s="26" t="str">
        <f t="shared" si="82"/>
        <v/>
      </c>
      <c r="N1332" s="27" t="str">
        <f t="shared" si="83"/>
        <v/>
      </c>
    </row>
    <row r="1333" spans="11:14" ht="15" customHeight="1" x14ac:dyDescent="0.25">
      <c r="K1333" s="26" t="str">
        <f t="shared" si="80"/>
        <v/>
      </c>
      <c r="L1333" s="26" t="str">
        <f t="shared" si="81"/>
        <v/>
      </c>
      <c r="M1333" s="26" t="str">
        <f t="shared" si="82"/>
        <v/>
      </c>
      <c r="N1333" s="27" t="str">
        <f t="shared" si="83"/>
        <v/>
      </c>
    </row>
    <row r="1334" spans="11:14" ht="15" customHeight="1" x14ac:dyDescent="0.25">
      <c r="K1334" s="26" t="str">
        <f t="shared" si="80"/>
        <v/>
      </c>
      <c r="L1334" s="26" t="str">
        <f t="shared" si="81"/>
        <v/>
      </c>
      <c r="M1334" s="26" t="str">
        <f t="shared" si="82"/>
        <v/>
      </c>
      <c r="N1334" s="27" t="str">
        <f t="shared" si="83"/>
        <v/>
      </c>
    </row>
    <row r="1335" spans="11:14" ht="15" customHeight="1" x14ac:dyDescent="0.25">
      <c r="K1335" s="26" t="str">
        <f t="shared" si="80"/>
        <v/>
      </c>
      <c r="L1335" s="26" t="str">
        <f t="shared" si="81"/>
        <v/>
      </c>
      <c r="M1335" s="26" t="str">
        <f t="shared" si="82"/>
        <v/>
      </c>
      <c r="N1335" s="27" t="str">
        <f t="shared" si="83"/>
        <v/>
      </c>
    </row>
    <row r="1336" spans="11:14" ht="15" customHeight="1" x14ac:dyDescent="0.25">
      <c r="K1336" s="26" t="str">
        <f t="shared" si="80"/>
        <v/>
      </c>
      <c r="L1336" s="26" t="str">
        <f t="shared" si="81"/>
        <v/>
      </c>
      <c r="M1336" s="26" t="str">
        <f t="shared" si="82"/>
        <v/>
      </c>
      <c r="N1336" s="27" t="str">
        <f t="shared" si="83"/>
        <v/>
      </c>
    </row>
    <row r="1337" spans="11:14" ht="15" customHeight="1" x14ac:dyDescent="0.25">
      <c r="K1337" s="26" t="str">
        <f t="shared" si="80"/>
        <v/>
      </c>
      <c r="L1337" s="26" t="str">
        <f t="shared" si="81"/>
        <v/>
      </c>
      <c r="M1337" s="26" t="str">
        <f t="shared" si="82"/>
        <v/>
      </c>
      <c r="N1337" s="27" t="str">
        <f t="shared" si="83"/>
        <v/>
      </c>
    </row>
    <row r="1338" spans="11:14" ht="15" customHeight="1" x14ac:dyDescent="0.25">
      <c r="K1338" s="26" t="str">
        <f t="shared" si="80"/>
        <v/>
      </c>
      <c r="L1338" s="26" t="str">
        <f t="shared" si="81"/>
        <v/>
      </c>
      <c r="M1338" s="26" t="str">
        <f t="shared" si="82"/>
        <v/>
      </c>
      <c r="N1338" s="27" t="str">
        <f t="shared" si="83"/>
        <v/>
      </c>
    </row>
    <row r="1339" spans="11:14" ht="15" customHeight="1" x14ac:dyDescent="0.25">
      <c r="K1339" s="26" t="str">
        <f t="shared" si="80"/>
        <v/>
      </c>
      <c r="L1339" s="26" t="str">
        <f t="shared" si="81"/>
        <v/>
      </c>
      <c r="M1339" s="26" t="str">
        <f t="shared" si="82"/>
        <v/>
      </c>
      <c r="N1339" s="27" t="str">
        <f t="shared" si="83"/>
        <v/>
      </c>
    </row>
    <row r="1340" spans="11:14" ht="15" customHeight="1" x14ac:dyDescent="0.25">
      <c r="K1340" s="26" t="str">
        <f t="shared" si="80"/>
        <v/>
      </c>
      <c r="L1340" s="26" t="str">
        <f t="shared" si="81"/>
        <v/>
      </c>
      <c r="M1340" s="26" t="str">
        <f t="shared" si="82"/>
        <v/>
      </c>
      <c r="N1340" s="27" t="str">
        <f t="shared" si="83"/>
        <v/>
      </c>
    </row>
    <row r="1341" spans="11:14" ht="15" customHeight="1" x14ac:dyDescent="0.25">
      <c r="K1341" s="26" t="str">
        <f t="shared" si="80"/>
        <v/>
      </c>
      <c r="L1341" s="26" t="str">
        <f t="shared" si="81"/>
        <v/>
      </c>
      <c r="M1341" s="26" t="str">
        <f t="shared" si="82"/>
        <v/>
      </c>
      <c r="N1341" s="27" t="str">
        <f t="shared" si="83"/>
        <v/>
      </c>
    </row>
    <row r="1342" spans="11:14" ht="15" customHeight="1" x14ac:dyDescent="0.25">
      <c r="K1342" s="26" t="str">
        <f t="shared" si="80"/>
        <v/>
      </c>
      <c r="L1342" s="26" t="str">
        <f t="shared" si="81"/>
        <v/>
      </c>
      <c r="M1342" s="26" t="str">
        <f t="shared" si="82"/>
        <v/>
      </c>
      <c r="N1342" s="27" t="str">
        <f t="shared" si="83"/>
        <v/>
      </c>
    </row>
    <row r="1343" spans="11:14" ht="15" customHeight="1" x14ac:dyDescent="0.25">
      <c r="K1343" s="26" t="str">
        <f t="shared" si="80"/>
        <v/>
      </c>
      <c r="L1343" s="26" t="str">
        <f t="shared" si="81"/>
        <v/>
      </c>
      <c r="M1343" s="26" t="str">
        <f t="shared" si="82"/>
        <v/>
      </c>
      <c r="N1343" s="27" t="str">
        <f t="shared" si="83"/>
        <v/>
      </c>
    </row>
    <row r="1344" spans="11:14" ht="15" customHeight="1" x14ac:dyDescent="0.25">
      <c r="K1344" s="26" t="str">
        <f t="shared" si="80"/>
        <v/>
      </c>
      <c r="L1344" s="26" t="str">
        <f t="shared" si="81"/>
        <v/>
      </c>
      <c r="M1344" s="26" t="str">
        <f t="shared" si="82"/>
        <v/>
      </c>
      <c r="N1344" s="27" t="str">
        <f t="shared" si="83"/>
        <v/>
      </c>
    </row>
    <row r="1345" spans="11:14" ht="15" customHeight="1" x14ac:dyDescent="0.25">
      <c r="K1345" s="26" t="str">
        <f t="shared" si="80"/>
        <v/>
      </c>
      <c r="L1345" s="26" t="str">
        <f t="shared" si="81"/>
        <v/>
      </c>
      <c r="M1345" s="26" t="str">
        <f t="shared" si="82"/>
        <v/>
      </c>
      <c r="N1345" s="27" t="str">
        <f t="shared" si="83"/>
        <v/>
      </c>
    </row>
    <row r="1346" spans="11:14" ht="15" customHeight="1" x14ac:dyDescent="0.25">
      <c r="K1346" s="26" t="str">
        <f t="shared" si="80"/>
        <v/>
      </c>
      <c r="L1346" s="26" t="str">
        <f t="shared" si="81"/>
        <v/>
      </c>
      <c r="M1346" s="26" t="str">
        <f t="shared" si="82"/>
        <v/>
      </c>
      <c r="N1346" s="27" t="str">
        <f t="shared" si="83"/>
        <v/>
      </c>
    </row>
    <row r="1347" spans="11:14" ht="15" customHeight="1" x14ac:dyDescent="0.25">
      <c r="K1347" s="26" t="str">
        <f t="shared" si="80"/>
        <v/>
      </c>
      <c r="L1347" s="26" t="str">
        <f t="shared" si="81"/>
        <v/>
      </c>
      <c r="M1347" s="26" t="str">
        <f t="shared" si="82"/>
        <v/>
      </c>
      <c r="N1347" s="27" t="str">
        <f t="shared" si="83"/>
        <v/>
      </c>
    </row>
    <row r="1348" spans="11:14" ht="15" customHeight="1" x14ac:dyDescent="0.25">
      <c r="K1348" s="26" t="str">
        <f t="shared" si="80"/>
        <v/>
      </c>
      <c r="L1348" s="26" t="str">
        <f t="shared" si="81"/>
        <v/>
      </c>
      <c r="M1348" s="26" t="str">
        <f t="shared" si="82"/>
        <v/>
      </c>
      <c r="N1348" s="27" t="str">
        <f t="shared" si="83"/>
        <v/>
      </c>
    </row>
    <row r="1349" spans="11:14" ht="15" customHeight="1" x14ac:dyDescent="0.25">
      <c r="K1349" s="26" t="str">
        <f t="shared" ref="K1349:K1412" si="84">IF(H1349="","",(H1349-G1349)/G1349)</f>
        <v/>
      </c>
      <c r="L1349" s="26" t="str">
        <f t="shared" ref="L1349:L1412" si="85">IF(I1349="","",(I1349-G1349)/G1349)</f>
        <v/>
      </c>
      <c r="M1349" s="26" t="str">
        <f t="shared" ref="M1349:M1412" si="86">IF(J1349="","",(J1349-G1349)/G1349)</f>
        <v/>
      </c>
      <c r="N1349" s="27" t="str">
        <f t="shared" ref="N1349:N1412" si="87">IF(H1349="","",IF(D1349="HOLD",IF(ABS(K1349)&lt;0.03,"YES","NO"),IF(D1349="BUY",IF(K1349&gt;0,"YES","NO"),IF(D1349="SELL",IF(K1349&lt;0,"YES","NO"),""))))</f>
        <v/>
      </c>
    </row>
    <row r="1350" spans="11:14" ht="15" customHeight="1" x14ac:dyDescent="0.25">
      <c r="K1350" s="26" t="str">
        <f t="shared" si="84"/>
        <v/>
      </c>
      <c r="L1350" s="26" t="str">
        <f t="shared" si="85"/>
        <v/>
      </c>
      <c r="M1350" s="26" t="str">
        <f t="shared" si="86"/>
        <v/>
      </c>
      <c r="N1350" s="27" t="str">
        <f t="shared" si="87"/>
        <v/>
      </c>
    </row>
    <row r="1351" spans="11:14" ht="15" customHeight="1" x14ac:dyDescent="0.25">
      <c r="K1351" s="26" t="str">
        <f t="shared" si="84"/>
        <v/>
      </c>
      <c r="L1351" s="26" t="str">
        <f t="shared" si="85"/>
        <v/>
      </c>
      <c r="M1351" s="26" t="str">
        <f t="shared" si="86"/>
        <v/>
      </c>
      <c r="N1351" s="27" t="str">
        <f t="shared" si="87"/>
        <v/>
      </c>
    </row>
    <row r="1352" spans="11:14" ht="15" customHeight="1" x14ac:dyDescent="0.25">
      <c r="K1352" s="26" t="str">
        <f t="shared" si="84"/>
        <v/>
      </c>
      <c r="L1352" s="26" t="str">
        <f t="shared" si="85"/>
        <v/>
      </c>
      <c r="M1352" s="26" t="str">
        <f t="shared" si="86"/>
        <v/>
      </c>
      <c r="N1352" s="27" t="str">
        <f t="shared" si="87"/>
        <v/>
      </c>
    </row>
    <row r="1353" spans="11:14" ht="15" customHeight="1" x14ac:dyDescent="0.25">
      <c r="K1353" s="26" t="str">
        <f t="shared" si="84"/>
        <v/>
      </c>
      <c r="L1353" s="26" t="str">
        <f t="shared" si="85"/>
        <v/>
      </c>
      <c r="M1353" s="26" t="str">
        <f t="shared" si="86"/>
        <v/>
      </c>
      <c r="N1353" s="27" t="str">
        <f t="shared" si="87"/>
        <v/>
      </c>
    </row>
    <row r="1354" spans="11:14" ht="15" customHeight="1" x14ac:dyDescent="0.25">
      <c r="K1354" s="26" t="str">
        <f t="shared" si="84"/>
        <v/>
      </c>
      <c r="L1354" s="26" t="str">
        <f t="shared" si="85"/>
        <v/>
      </c>
      <c r="M1354" s="26" t="str">
        <f t="shared" si="86"/>
        <v/>
      </c>
      <c r="N1354" s="27" t="str">
        <f t="shared" si="87"/>
        <v/>
      </c>
    </row>
    <row r="1355" spans="11:14" ht="15" customHeight="1" x14ac:dyDescent="0.25">
      <c r="K1355" s="26" t="str">
        <f t="shared" si="84"/>
        <v/>
      </c>
      <c r="L1355" s="26" t="str">
        <f t="shared" si="85"/>
        <v/>
      </c>
      <c r="M1355" s="26" t="str">
        <f t="shared" si="86"/>
        <v/>
      </c>
      <c r="N1355" s="27" t="str">
        <f t="shared" si="87"/>
        <v/>
      </c>
    </row>
    <row r="1356" spans="11:14" ht="15" customHeight="1" x14ac:dyDescent="0.25">
      <c r="K1356" s="26" t="str">
        <f t="shared" si="84"/>
        <v/>
      </c>
      <c r="L1356" s="26" t="str">
        <f t="shared" si="85"/>
        <v/>
      </c>
      <c r="M1356" s="26" t="str">
        <f t="shared" si="86"/>
        <v/>
      </c>
      <c r="N1356" s="27" t="str">
        <f t="shared" si="87"/>
        <v/>
      </c>
    </row>
    <row r="1357" spans="11:14" ht="15" customHeight="1" x14ac:dyDescent="0.25">
      <c r="K1357" s="26" t="str">
        <f t="shared" si="84"/>
        <v/>
      </c>
      <c r="L1357" s="26" t="str">
        <f t="shared" si="85"/>
        <v/>
      </c>
      <c r="M1357" s="26" t="str">
        <f t="shared" si="86"/>
        <v/>
      </c>
      <c r="N1357" s="27" t="str">
        <f t="shared" si="87"/>
        <v/>
      </c>
    </row>
    <row r="1358" spans="11:14" ht="15" customHeight="1" x14ac:dyDescent="0.25">
      <c r="K1358" s="26" t="str">
        <f t="shared" si="84"/>
        <v/>
      </c>
      <c r="L1358" s="26" t="str">
        <f t="shared" si="85"/>
        <v/>
      </c>
      <c r="M1358" s="26" t="str">
        <f t="shared" si="86"/>
        <v/>
      </c>
      <c r="N1358" s="27" t="str">
        <f t="shared" si="87"/>
        <v/>
      </c>
    </row>
    <row r="1359" spans="11:14" ht="15" customHeight="1" x14ac:dyDescent="0.25">
      <c r="K1359" s="26" t="str">
        <f t="shared" si="84"/>
        <v/>
      </c>
      <c r="L1359" s="26" t="str">
        <f t="shared" si="85"/>
        <v/>
      </c>
      <c r="M1359" s="26" t="str">
        <f t="shared" si="86"/>
        <v/>
      </c>
      <c r="N1359" s="27" t="str">
        <f t="shared" si="87"/>
        <v/>
      </c>
    </row>
    <row r="1360" spans="11:14" ht="15" customHeight="1" x14ac:dyDescent="0.25">
      <c r="K1360" s="26" t="str">
        <f t="shared" si="84"/>
        <v/>
      </c>
      <c r="L1360" s="26" t="str">
        <f t="shared" si="85"/>
        <v/>
      </c>
      <c r="M1360" s="26" t="str">
        <f t="shared" si="86"/>
        <v/>
      </c>
      <c r="N1360" s="27" t="str">
        <f t="shared" si="87"/>
        <v/>
      </c>
    </row>
    <row r="1361" spans="11:14" ht="15" customHeight="1" x14ac:dyDescent="0.25">
      <c r="K1361" s="26" t="str">
        <f t="shared" si="84"/>
        <v/>
      </c>
      <c r="L1361" s="26" t="str">
        <f t="shared" si="85"/>
        <v/>
      </c>
      <c r="M1361" s="26" t="str">
        <f t="shared" si="86"/>
        <v/>
      </c>
      <c r="N1361" s="27" t="str">
        <f t="shared" si="87"/>
        <v/>
      </c>
    </row>
    <row r="1362" spans="11:14" ht="15" customHeight="1" x14ac:dyDescent="0.25">
      <c r="K1362" s="26" t="str">
        <f t="shared" si="84"/>
        <v/>
      </c>
      <c r="L1362" s="26" t="str">
        <f t="shared" si="85"/>
        <v/>
      </c>
      <c r="M1362" s="26" t="str">
        <f t="shared" si="86"/>
        <v/>
      </c>
      <c r="N1362" s="27" t="str">
        <f t="shared" si="87"/>
        <v/>
      </c>
    </row>
    <row r="1363" spans="11:14" ht="15" customHeight="1" x14ac:dyDescent="0.25">
      <c r="K1363" s="26" t="str">
        <f t="shared" si="84"/>
        <v/>
      </c>
      <c r="L1363" s="26" t="str">
        <f t="shared" si="85"/>
        <v/>
      </c>
      <c r="M1363" s="26" t="str">
        <f t="shared" si="86"/>
        <v/>
      </c>
      <c r="N1363" s="27" t="str">
        <f t="shared" si="87"/>
        <v/>
      </c>
    </row>
    <row r="1364" spans="11:14" ht="15" customHeight="1" x14ac:dyDescent="0.25">
      <c r="K1364" s="26" t="str">
        <f t="shared" si="84"/>
        <v/>
      </c>
      <c r="L1364" s="26" t="str">
        <f t="shared" si="85"/>
        <v/>
      </c>
      <c r="M1364" s="26" t="str">
        <f t="shared" si="86"/>
        <v/>
      </c>
      <c r="N1364" s="27" t="str">
        <f t="shared" si="87"/>
        <v/>
      </c>
    </row>
    <row r="1365" spans="11:14" ht="15" customHeight="1" x14ac:dyDescent="0.25">
      <c r="K1365" s="26" t="str">
        <f t="shared" si="84"/>
        <v/>
      </c>
      <c r="L1365" s="26" t="str">
        <f t="shared" si="85"/>
        <v/>
      </c>
      <c r="M1365" s="26" t="str">
        <f t="shared" si="86"/>
        <v/>
      </c>
      <c r="N1365" s="27" t="str">
        <f t="shared" si="87"/>
        <v/>
      </c>
    </row>
    <row r="1366" spans="11:14" ht="15" customHeight="1" x14ac:dyDescent="0.25">
      <c r="K1366" s="26" t="str">
        <f t="shared" si="84"/>
        <v/>
      </c>
      <c r="L1366" s="26" t="str">
        <f t="shared" si="85"/>
        <v/>
      </c>
      <c r="M1366" s="26" t="str">
        <f t="shared" si="86"/>
        <v/>
      </c>
      <c r="N1366" s="27" t="str">
        <f t="shared" si="87"/>
        <v/>
      </c>
    </row>
    <row r="1367" spans="11:14" ht="15" customHeight="1" x14ac:dyDescent="0.25">
      <c r="K1367" s="26" t="str">
        <f t="shared" si="84"/>
        <v/>
      </c>
      <c r="L1367" s="26" t="str">
        <f t="shared" si="85"/>
        <v/>
      </c>
      <c r="M1367" s="26" t="str">
        <f t="shared" si="86"/>
        <v/>
      </c>
      <c r="N1367" s="27" t="str">
        <f t="shared" si="87"/>
        <v/>
      </c>
    </row>
    <row r="1368" spans="11:14" ht="15" customHeight="1" x14ac:dyDescent="0.25">
      <c r="K1368" s="26" t="str">
        <f t="shared" si="84"/>
        <v/>
      </c>
      <c r="L1368" s="26" t="str">
        <f t="shared" si="85"/>
        <v/>
      </c>
      <c r="M1368" s="26" t="str">
        <f t="shared" si="86"/>
        <v/>
      </c>
      <c r="N1368" s="27" t="str">
        <f t="shared" si="87"/>
        <v/>
      </c>
    </row>
    <row r="1369" spans="11:14" ht="15" customHeight="1" x14ac:dyDescent="0.25">
      <c r="K1369" s="26" t="str">
        <f t="shared" si="84"/>
        <v/>
      </c>
      <c r="L1369" s="26" t="str">
        <f t="shared" si="85"/>
        <v/>
      </c>
      <c r="M1369" s="26" t="str">
        <f t="shared" si="86"/>
        <v/>
      </c>
      <c r="N1369" s="27" t="str">
        <f t="shared" si="87"/>
        <v/>
      </c>
    </row>
    <row r="1370" spans="11:14" ht="15" customHeight="1" x14ac:dyDescent="0.25">
      <c r="K1370" s="26" t="str">
        <f t="shared" si="84"/>
        <v/>
      </c>
      <c r="L1370" s="26" t="str">
        <f t="shared" si="85"/>
        <v/>
      </c>
      <c r="M1370" s="26" t="str">
        <f t="shared" si="86"/>
        <v/>
      </c>
      <c r="N1370" s="27" t="str">
        <f t="shared" si="87"/>
        <v/>
      </c>
    </row>
    <row r="1371" spans="11:14" ht="15" customHeight="1" x14ac:dyDescent="0.25">
      <c r="K1371" s="26" t="str">
        <f t="shared" si="84"/>
        <v/>
      </c>
      <c r="L1371" s="26" t="str">
        <f t="shared" si="85"/>
        <v/>
      </c>
      <c r="M1371" s="26" t="str">
        <f t="shared" si="86"/>
        <v/>
      </c>
      <c r="N1371" s="27" t="str">
        <f t="shared" si="87"/>
        <v/>
      </c>
    </row>
    <row r="1372" spans="11:14" ht="15" customHeight="1" x14ac:dyDescent="0.25">
      <c r="K1372" s="26" t="str">
        <f t="shared" si="84"/>
        <v/>
      </c>
      <c r="L1372" s="26" t="str">
        <f t="shared" si="85"/>
        <v/>
      </c>
      <c r="M1372" s="26" t="str">
        <f t="shared" si="86"/>
        <v/>
      </c>
      <c r="N1372" s="27" t="str">
        <f t="shared" si="87"/>
        <v/>
      </c>
    </row>
    <row r="1373" spans="11:14" ht="15" customHeight="1" x14ac:dyDescent="0.25">
      <c r="K1373" s="26" t="str">
        <f t="shared" si="84"/>
        <v/>
      </c>
      <c r="L1373" s="26" t="str">
        <f t="shared" si="85"/>
        <v/>
      </c>
      <c r="M1373" s="26" t="str">
        <f t="shared" si="86"/>
        <v/>
      </c>
      <c r="N1373" s="27" t="str">
        <f t="shared" si="87"/>
        <v/>
      </c>
    </row>
    <row r="1374" spans="11:14" ht="15" customHeight="1" x14ac:dyDescent="0.25">
      <c r="K1374" s="26" t="str">
        <f t="shared" si="84"/>
        <v/>
      </c>
      <c r="L1374" s="26" t="str">
        <f t="shared" si="85"/>
        <v/>
      </c>
      <c r="M1374" s="26" t="str">
        <f t="shared" si="86"/>
        <v/>
      </c>
      <c r="N1374" s="27" t="str">
        <f t="shared" si="87"/>
        <v/>
      </c>
    </row>
    <row r="1375" spans="11:14" ht="15" customHeight="1" x14ac:dyDescent="0.25">
      <c r="K1375" s="26" t="str">
        <f t="shared" si="84"/>
        <v/>
      </c>
      <c r="L1375" s="26" t="str">
        <f t="shared" si="85"/>
        <v/>
      </c>
      <c r="M1375" s="26" t="str">
        <f t="shared" si="86"/>
        <v/>
      </c>
      <c r="N1375" s="27" t="str">
        <f t="shared" si="87"/>
        <v/>
      </c>
    </row>
    <row r="1376" spans="11:14" ht="15" customHeight="1" x14ac:dyDescent="0.25">
      <c r="K1376" s="26" t="str">
        <f t="shared" si="84"/>
        <v/>
      </c>
      <c r="L1376" s="26" t="str">
        <f t="shared" si="85"/>
        <v/>
      </c>
      <c r="M1376" s="26" t="str">
        <f t="shared" si="86"/>
        <v/>
      </c>
      <c r="N1376" s="27" t="str">
        <f t="shared" si="87"/>
        <v/>
      </c>
    </row>
    <row r="1377" spans="11:14" ht="15" customHeight="1" x14ac:dyDescent="0.25">
      <c r="K1377" s="26" t="str">
        <f t="shared" si="84"/>
        <v/>
      </c>
      <c r="L1377" s="26" t="str">
        <f t="shared" si="85"/>
        <v/>
      </c>
      <c r="M1377" s="26" t="str">
        <f t="shared" si="86"/>
        <v/>
      </c>
      <c r="N1377" s="27" t="str">
        <f t="shared" si="87"/>
        <v/>
      </c>
    </row>
    <row r="1378" spans="11:14" ht="15" customHeight="1" x14ac:dyDescent="0.25">
      <c r="K1378" s="26" t="str">
        <f t="shared" si="84"/>
        <v/>
      </c>
      <c r="L1378" s="26" t="str">
        <f t="shared" si="85"/>
        <v/>
      </c>
      <c r="M1378" s="26" t="str">
        <f t="shared" si="86"/>
        <v/>
      </c>
      <c r="N1378" s="27" t="str">
        <f t="shared" si="87"/>
        <v/>
      </c>
    </row>
    <row r="1379" spans="11:14" ht="15" customHeight="1" x14ac:dyDescent="0.25">
      <c r="K1379" s="26" t="str">
        <f t="shared" si="84"/>
        <v/>
      </c>
      <c r="L1379" s="26" t="str">
        <f t="shared" si="85"/>
        <v/>
      </c>
      <c r="M1379" s="26" t="str">
        <f t="shared" si="86"/>
        <v/>
      </c>
      <c r="N1379" s="27" t="str">
        <f t="shared" si="87"/>
        <v/>
      </c>
    </row>
    <row r="1380" spans="11:14" ht="15" customHeight="1" x14ac:dyDescent="0.25">
      <c r="K1380" s="26" t="str">
        <f t="shared" si="84"/>
        <v/>
      </c>
      <c r="L1380" s="26" t="str">
        <f t="shared" si="85"/>
        <v/>
      </c>
      <c r="M1380" s="26" t="str">
        <f t="shared" si="86"/>
        <v/>
      </c>
      <c r="N1380" s="27" t="str">
        <f t="shared" si="87"/>
        <v/>
      </c>
    </row>
    <row r="1381" spans="11:14" ht="15" customHeight="1" x14ac:dyDescent="0.25">
      <c r="K1381" s="26" t="str">
        <f t="shared" si="84"/>
        <v/>
      </c>
      <c r="L1381" s="26" t="str">
        <f t="shared" si="85"/>
        <v/>
      </c>
      <c r="M1381" s="26" t="str">
        <f t="shared" si="86"/>
        <v/>
      </c>
      <c r="N1381" s="27" t="str">
        <f t="shared" si="87"/>
        <v/>
      </c>
    </row>
    <row r="1382" spans="11:14" ht="15" customHeight="1" x14ac:dyDescent="0.25">
      <c r="K1382" s="26" t="str">
        <f t="shared" si="84"/>
        <v/>
      </c>
      <c r="L1382" s="26" t="str">
        <f t="shared" si="85"/>
        <v/>
      </c>
      <c r="M1382" s="26" t="str">
        <f t="shared" si="86"/>
        <v/>
      </c>
      <c r="N1382" s="27" t="str">
        <f t="shared" si="87"/>
        <v/>
      </c>
    </row>
    <row r="1383" spans="11:14" ht="15" customHeight="1" x14ac:dyDescent="0.25">
      <c r="K1383" s="26" t="str">
        <f t="shared" si="84"/>
        <v/>
      </c>
      <c r="L1383" s="26" t="str">
        <f t="shared" si="85"/>
        <v/>
      </c>
      <c r="M1383" s="26" t="str">
        <f t="shared" si="86"/>
        <v/>
      </c>
      <c r="N1383" s="27" t="str">
        <f t="shared" si="87"/>
        <v/>
      </c>
    </row>
    <row r="1384" spans="11:14" ht="15" customHeight="1" x14ac:dyDescent="0.25">
      <c r="K1384" s="26" t="str">
        <f t="shared" si="84"/>
        <v/>
      </c>
      <c r="L1384" s="26" t="str">
        <f t="shared" si="85"/>
        <v/>
      </c>
      <c r="M1384" s="26" t="str">
        <f t="shared" si="86"/>
        <v/>
      </c>
      <c r="N1384" s="27" t="str">
        <f t="shared" si="87"/>
        <v/>
      </c>
    </row>
    <row r="1385" spans="11:14" ht="15" customHeight="1" x14ac:dyDescent="0.25">
      <c r="K1385" s="26" t="str">
        <f t="shared" si="84"/>
        <v/>
      </c>
      <c r="L1385" s="26" t="str">
        <f t="shared" si="85"/>
        <v/>
      </c>
      <c r="M1385" s="26" t="str">
        <f t="shared" si="86"/>
        <v/>
      </c>
      <c r="N1385" s="27" t="str">
        <f t="shared" si="87"/>
        <v/>
      </c>
    </row>
    <row r="1386" spans="11:14" ht="15" customHeight="1" x14ac:dyDescent="0.25">
      <c r="K1386" s="26" t="str">
        <f t="shared" si="84"/>
        <v/>
      </c>
      <c r="L1386" s="26" t="str">
        <f t="shared" si="85"/>
        <v/>
      </c>
      <c r="M1386" s="26" t="str">
        <f t="shared" si="86"/>
        <v/>
      </c>
      <c r="N1386" s="27" t="str">
        <f t="shared" si="87"/>
        <v/>
      </c>
    </row>
    <row r="1387" spans="11:14" ht="15" customHeight="1" x14ac:dyDescent="0.25">
      <c r="K1387" s="26" t="str">
        <f t="shared" si="84"/>
        <v/>
      </c>
      <c r="L1387" s="26" t="str">
        <f t="shared" si="85"/>
        <v/>
      </c>
      <c r="M1387" s="26" t="str">
        <f t="shared" si="86"/>
        <v/>
      </c>
      <c r="N1387" s="27" t="str">
        <f t="shared" si="87"/>
        <v/>
      </c>
    </row>
    <row r="1388" spans="11:14" ht="15" customHeight="1" x14ac:dyDescent="0.25">
      <c r="K1388" s="26" t="str">
        <f t="shared" si="84"/>
        <v/>
      </c>
      <c r="L1388" s="26" t="str">
        <f t="shared" si="85"/>
        <v/>
      </c>
      <c r="M1388" s="26" t="str">
        <f t="shared" si="86"/>
        <v/>
      </c>
      <c r="N1388" s="27" t="str">
        <f t="shared" si="87"/>
        <v/>
      </c>
    </row>
    <row r="1389" spans="11:14" ht="15" customHeight="1" x14ac:dyDescent="0.25">
      <c r="K1389" s="26" t="str">
        <f t="shared" si="84"/>
        <v/>
      </c>
      <c r="L1389" s="26" t="str">
        <f t="shared" si="85"/>
        <v/>
      </c>
      <c r="M1389" s="26" t="str">
        <f t="shared" si="86"/>
        <v/>
      </c>
      <c r="N1389" s="27" t="str">
        <f t="shared" si="87"/>
        <v/>
      </c>
    </row>
    <row r="1390" spans="11:14" ht="15" customHeight="1" x14ac:dyDescent="0.25">
      <c r="K1390" s="26" t="str">
        <f t="shared" si="84"/>
        <v/>
      </c>
      <c r="L1390" s="26" t="str">
        <f t="shared" si="85"/>
        <v/>
      </c>
      <c r="M1390" s="26" t="str">
        <f t="shared" si="86"/>
        <v/>
      </c>
      <c r="N1390" s="27" t="str">
        <f t="shared" si="87"/>
        <v/>
      </c>
    </row>
    <row r="1391" spans="11:14" ht="15" customHeight="1" x14ac:dyDescent="0.25">
      <c r="K1391" s="26" t="str">
        <f t="shared" si="84"/>
        <v/>
      </c>
      <c r="L1391" s="26" t="str">
        <f t="shared" si="85"/>
        <v/>
      </c>
      <c r="M1391" s="26" t="str">
        <f t="shared" si="86"/>
        <v/>
      </c>
      <c r="N1391" s="27" t="str">
        <f t="shared" si="87"/>
        <v/>
      </c>
    </row>
    <row r="1392" spans="11:14" ht="15" customHeight="1" x14ac:dyDescent="0.25">
      <c r="K1392" s="26" t="str">
        <f t="shared" si="84"/>
        <v/>
      </c>
      <c r="L1392" s="26" t="str">
        <f t="shared" si="85"/>
        <v/>
      </c>
      <c r="M1392" s="26" t="str">
        <f t="shared" si="86"/>
        <v/>
      </c>
      <c r="N1392" s="27" t="str">
        <f t="shared" si="87"/>
        <v/>
      </c>
    </row>
    <row r="1393" spans="11:14" ht="15" customHeight="1" x14ac:dyDescent="0.25">
      <c r="K1393" s="26" t="str">
        <f t="shared" si="84"/>
        <v/>
      </c>
      <c r="L1393" s="26" t="str">
        <f t="shared" si="85"/>
        <v/>
      </c>
      <c r="M1393" s="26" t="str">
        <f t="shared" si="86"/>
        <v/>
      </c>
      <c r="N1393" s="27" t="str">
        <f t="shared" si="87"/>
        <v/>
      </c>
    </row>
    <row r="1394" spans="11:14" ht="15" customHeight="1" x14ac:dyDescent="0.25">
      <c r="K1394" s="26" t="str">
        <f t="shared" si="84"/>
        <v/>
      </c>
      <c r="L1394" s="26" t="str">
        <f t="shared" si="85"/>
        <v/>
      </c>
      <c r="M1394" s="26" t="str">
        <f t="shared" si="86"/>
        <v/>
      </c>
      <c r="N1394" s="27" t="str">
        <f t="shared" si="87"/>
        <v/>
      </c>
    </row>
    <row r="1395" spans="11:14" ht="15" customHeight="1" x14ac:dyDescent="0.25">
      <c r="K1395" s="26" t="str">
        <f t="shared" si="84"/>
        <v/>
      </c>
      <c r="L1395" s="26" t="str">
        <f t="shared" si="85"/>
        <v/>
      </c>
      <c r="M1395" s="26" t="str">
        <f t="shared" si="86"/>
        <v/>
      </c>
      <c r="N1395" s="27" t="str">
        <f t="shared" si="87"/>
        <v/>
      </c>
    </row>
    <row r="1396" spans="11:14" ht="15" customHeight="1" x14ac:dyDescent="0.25">
      <c r="K1396" s="26" t="str">
        <f t="shared" si="84"/>
        <v/>
      </c>
      <c r="L1396" s="26" t="str">
        <f t="shared" si="85"/>
        <v/>
      </c>
      <c r="M1396" s="26" t="str">
        <f t="shared" si="86"/>
        <v/>
      </c>
      <c r="N1396" s="27" t="str">
        <f t="shared" si="87"/>
        <v/>
      </c>
    </row>
    <row r="1397" spans="11:14" ht="15" customHeight="1" x14ac:dyDescent="0.25">
      <c r="K1397" s="26" t="str">
        <f t="shared" si="84"/>
        <v/>
      </c>
      <c r="L1397" s="26" t="str">
        <f t="shared" si="85"/>
        <v/>
      </c>
      <c r="M1397" s="26" t="str">
        <f t="shared" si="86"/>
        <v/>
      </c>
      <c r="N1397" s="27" t="str">
        <f t="shared" si="87"/>
        <v/>
      </c>
    </row>
    <row r="1398" spans="11:14" ht="15" customHeight="1" x14ac:dyDescent="0.25">
      <c r="K1398" s="26" t="str">
        <f t="shared" si="84"/>
        <v/>
      </c>
      <c r="L1398" s="26" t="str">
        <f t="shared" si="85"/>
        <v/>
      </c>
      <c r="M1398" s="26" t="str">
        <f t="shared" si="86"/>
        <v/>
      </c>
      <c r="N1398" s="27" t="str">
        <f t="shared" si="87"/>
        <v/>
      </c>
    </row>
    <row r="1399" spans="11:14" ht="15" customHeight="1" x14ac:dyDescent="0.25">
      <c r="K1399" s="26" t="str">
        <f t="shared" si="84"/>
        <v/>
      </c>
      <c r="L1399" s="26" t="str">
        <f t="shared" si="85"/>
        <v/>
      </c>
      <c r="M1399" s="26" t="str">
        <f t="shared" si="86"/>
        <v/>
      </c>
      <c r="N1399" s="27" t="str">
        <f t="shared" si="87"/>
        <v/>
      </c>
    </row>
    <row r="1400" spans="11:14" ht="15" customHeight="1" x14ac:dyDescent="0.25">
      <c r="K1400" s="26" t="str">
        <f t="shared" si="84"/>
        <v/>
      </c>
      <c r="L1400" s="26" t="str">
        <f t="shared" si="85"/>
        <v/>
      </c>
      <c r="M1400" s="26" t="str">
        <f t="shared" si="86"/>
        <v/>
      </c>
      <c r="N1400" s="27" t="str">
        <f t="shared" si="87"/>
        <v/>
      </c>
    </row>
    <row r="1401" spans="11:14" ht="15" customHeight="1" x14ac:dyDescent="0.25">
      <c r="K1401" s="26" t="str">
        <f t="shared" si="84"/>
        <v/>
      </c>
      <c r="L1401" s="26" t="str">
        <f t="shared" si="85"/>
        <v/>
      </c>
      <c r="M1401" s="26" t="str">
        <f t="shared" si="86"/>
        <v/>
      </c>
      <c r="N1401" s="27" t="str">
        <f t="shared" si="87"/>
        <v/>
      </c>
    </row>
    <row r="1402" spans="11:14" ht="15" customHeight="1" x14ac:dyDescent="0.25">
      <c r="K1402" s="26" t="str">
        <f t="shared" si="84"/>
        <v/>
      </c>
      <c r="L1402" s="26" t="str">
        <f t="shared" si="85"/>
        <v/>
      </c>
      <c r="M1402" s="26" t="str">
        <f t="shared" si="86"/>
        <v/>
      </c>
      <c r="N1402" s="27" t="str">
        <f t="shared" si="87"/>
        <v/>
      </c>
    </row>
    <row r="1403" spans="11:14" ht="15" customHeight="1" x14ac:dyDescent="0.25">
      <c r="K1403" s="26" t="str">
        <f t="shared" si="84"/>
        <v/>
      </c>
      <c r="L1403" s="26" t="str">
        <f t="shared" si="85"/>
        <v/>
      </c>
      <c r="M1403" s="26" t="str">
        <f t="shared" si="86"/>
        <v/>
      </c>
      <c r="N1403" s="27" t="str">
        <f t="shared" si="87"/>
        <v/>
      </c>
    </row>
    <row r="1404" spans="11:14" ht="15" customHeight="1" x14ac:dyDescent="0.25">
      <c r="K1404" s="26" t="str">
        <f t="shared" si="84"/>
        <v/>
      </c>
      <c r="L1404" s="26" t="str">
        <f t="shared" si="85"/>
        <v/>
      </c>
      <c r="M1404" s="26" t="str">
        <f t="shared" si="86"/>
        <v/>
      </c>
      <c r="N1404" s="27" t="str">
        <f t="shared" si="87"/>
        <v/>
      </c>
    </row>
    <row r="1405" spans="11:14" ht="15" customHeight="1" x14ac:dyDescent="0.25">
      <c r="K1405" s="26" t="str">
        <f t="shared" si="84"/>
        <v/>
      </c>
      <c r="L1405" s="26" t="str">
        <f t="shared" si="85"/>
        <v/>
      </c>
      <c r="M1405" s="26" t="str">
        <f t="shared" si="86"/>
        <v/>
      </c>
      <c r="N1405" s="27" t="str">
        <f t="shared" si="87"/>
        <v/>
      </c>
    </row>
    <row r="1406" spans="11:14" ht="15" customHeight="1" x14ac:dyDescent="0.25">
      <c r="K1406" s="26" t="str">
        <f t="shared" si="84"/>
        <v/>
      </c>
      <c r="L1406" s="26" t="str">
        <f t="shared" si="85"/>
        <v/>
      </c>
      <c r="M1406" s="26" t="str">
        <f t="shared" si="86"/>
        <v/>
      </c>
      <c r="N1406" s="27" t="str">
        <f t="shared" si="87"/>
        <v/>
      </c>
    </row>
    <row r="1407" spans="11:14" ht="15" customHeight="1" x14ac:dyDescent="0.25">
      <c r="K1407" s="26" t="str">
        <f t="shared" si="84"/>
        <v/>
      </c>
      <c r="L1407" s="26" t="str">
        <f t="shared" si="85"/>
        <v/>
      </c>
      <c r="M1407" s="26" t="str">
        <f t="shared" si="86"/>
        <v/>
      </c>
      <c r="N1407" s="27" t="str">
        <f t="shared" si="87"/>
        <v/>
      </c>
    </row>
    <row r="1408" spans="11:14" ht="15" customHeight="1" x14ac:dyDescent="0.25">
      <c r="K1408" s="26" t="str">
        <f t="shared" si="84"/>
        <v/>
      </c>
      <c r="L1408" s="26" t="str">
        <f t="shared" si="85"/>
        <v/>
      </c>
      <c r="M1408" s="26" t="str">
        <f t="shared" si="86"/>
        <v/>
      </c>
      <c r="N1408" s="27" t="str">
        <f t="shared" si="87"/>
        <v/>
      </c>
    </row>
    <row r="1409" spans="11:14" ht="15" customHeight="1" x14ac:dyDescent="0.25">
      <c r="K1409" s="26" t="str">
        <f t="shared" si="84"/>
        <v/>
      </c>
      <c r="L1409" s="26" t="str">
        <f t="shared" si="85"/>
        <v/>
      </c>
      <c r="M1409" s="26" t="str">
        <f t="shared" si="86"/>
        <v/>
      </c>
      <c r="N1409" s="27" t="str">
        <f t="shared" si="87"/>
        <v/>
      </c>
    </row>
    <row r="1410" spans="11:14" ht="15" customHeight="1" x14ac:dyDescent="0.25">
      <c r="K1410" s="26" t="str">
        <f t="shared" si="84"/>
        <v/>
      </c>
      <c r="L1410" s="26" t="str">
        <f t="shared" si="85"/>
        <v/>
      </c>
      <c r="M1410" s="26" t="str">
        <f t="shared" si="86"/>
        <v/>
      </c>
      <c r="N1410" s="27" t="str">
        <f t="shared" si="87"/>
        <v/>
      </c>
    </row>
    <row r="1411" spans="11:14" ht="15" customHeight="1" x14ac:dyDescent="0.25">
      <c r="K1411" s="26" t="str">
        <f t="shared" si="84"/>
        <v/>
      </c>
      <c r="L1411" s="26" t="str">
        <f t="shared" si="85"/>
        <v/>
      </c>
      <c r="M1411" s="26" t="str">
        <f t="shared" si="86"/>
        <v/>
      </c>
      <c r="N1411" s="27" t="str">
        <f t="shared" si="87"/>
        <v/>
      </c>
    </row>
    <row r="1412" spans="11:14" ht="15" customHeight="1" x14ac:dyDescent="0.25">
      <c r="K1412" s="26" t="str">
        <f t="shared" si="84"/>
        <v/>
      </c>
      <c r="L1412" s="26" t="str">
        <f t="shared" si="85"/>
        <v/>
      </c>
      <c r="M1412" s="26" t="str">
        <f t="shared" si="86"/>
        <v/>
      </c>
      <c r="N1412" s="27" t="str">
        <f t="shared" si="87"/>
        <v/>
      </c>
    </row>
    <row r="1413" spans="11:14" ht="15" customHeight="1" x14ac:dyDescent="0.25">
      <c r="K1413" s="26" t="str">
        <f t="shared" ref="K1413:K1476" si="88">IF(H1413="","",(H1413-G1413)/G1413)</f>
        <v/>
      </c>
      <c r="L1413" s="26" t="str">
        <f t="shared" ref="L1413:L1476" si="89">IF(I1413="","",(I1413-G1413)/G1413)</f>
        <v/>
      </c>
      <c r="M1413" s="26" t="str">
        <f t="shared" ref="M1413:M1476" si="90">IF(J1413="","",(J1413-G1413)/G1413)</f>
        <v/>
      </c>
      <c r="N1413" s="27" t="str">
        <f t="shared" ref="N1413:N1476" si="91">IF(H1413="","",IF(D1413="HOLD",IF(ABS(K1413)&lt;0.03,"YES","NO"),IF(D1413="BUY",IF(K1413&gt;0,"YES","NO"),IF(D1413="SELL",IF(K1413&lt;0,"YES","NO"),""))))</f>
        <v/>
      </c>
    </row>
    <row r="1414" spans="11:14" ht="15" customHeight="1" x14ac:dyDescent="0.25">
      <c r="K1414" s="26" t="str">
        <f t="shared" si="88"/>
        <v/>
      </c>
      <c r="L1414" s="26" t="str">
        <f t="shared" si="89"/>
        <v/>
      </c>
      <c r="M1414" s="26" t="str">
        <f t="shared" si="90"/>
        <v/>
      </c>
      <c r="N1414" s="27" t="str">
        <f t="shared" si="91"/>
        <v/>
      </c>
    </row>
    <row r="1415" spans="11:14" ht="15" customHeight="1" x14ac:dyDescent="0.25">
      <c r="K1415" s="26" t="str">
        <f t="shared" si="88"/>
        <v/>
      </c>
      <c r="L1415" s="26" t="str">
        <f t="shared" si="89"/>
        <v/>
      </c>
      <c r="M1415" s="26" t="str">
        <f t="shared" si="90"/>
        <v/>
      </c>
      <c r="N1415" s="27" t="str">
        <f t="shared" si="91"/>
        <v/>
      </c>
    </row>
    <row r="1416" spans="11:14" ht="15" customHeight="1" x14ac:dyDescent="0.25">
      <c r="K1416" s="26" t="str">
        <f t="shared" si="88"/>
        <v/>
      </c>
      <c r="L1416" s="26" t="str">
        <f t="shared" si="89"/>
        <v/>
      </c>
      <c r="M1416" s="26" t="str">
        <f t="shared" si="90"/>
        <v/>
      </c>
      <c r="N1416" s="27" t="str">
        <f t="shared" si="91"/>
        <v/>
      </c>
    </row>
    <row r="1417" spans="11:14" ht="15" customHeight="1" x14ac:dyDescent="0.25">
      <c r="K1417" s="26" t="str">
        <f t="shared" si="88"/>
        <v/>
      </c>
      <c r="L1417" s="26" t="str">
        <f t="shared" si="89"/>
        <v/>
      </c>
      <c r="M1417" s="26" t="str">
        <f t="shared" si="90"/>
        <v/>
      </c>
      <c r="N1417" s="27" t="str">
        <f t="shared" si="91"/>
        <v/>
      </c>
    </row>
    <row r="1418" spans="11:14" ht="15" customHeight="1" x14ac:dyDescent="0.25">
      <c r="K1418" s="26" t="str">
        <f t="shared" si="88"/>
        <v/>
      </c>
      <c r="L1418" s="26" t="str">
        <f t="shared" si="89"/>
        <v/>
      </c>
      <c r="M1418" s="26" t="str">
        <f t="shared" si="90"/>
        <v/>
      </c>
      <c r="N1418" s="27" t="str">
        <f t="shared" si="91"/>
        <v/>
      </c>
    </row>
    <row r="1419" spans="11:14" ht="15" customHeight="1" x14ac:dyDescent="0.25">
      <c r="K1419" s="26" t="str">
        <f t="shared" si="88"/>
        <v/>
      </c>
      <c r="L1419" s="26" t="str">
        <f t="shared" si="89"/>
        <v/>
      </c>
      <c r="M1419" s="26" t="str">
        <f t="shared" si="90"/>
        <v/>
      </c>
      <c r="N1419" s="27" t="str">
        <f t="shared" si="91"/>
        <v/>
      </c>
    </row>
    <row r="1420" spans="11:14" ht="15" customHeight="1" x14ac:dyDescent="0.25">
      <c r="K1420" s="26" t="str">
        <f t="shared" si="88"/>
        <v/>
      </c>
      <c r="L1420" s="26" t="str">
        <f t="shared" si="89"/>
        <v/>
      </c>
      <c r="M1420" s="26" t="str">
        <f t="shared" si="90"/>
        <v/>
      </c>
      <c r="N1420" s="27" t="str">
        <f t="shared" si="91"/>
        <v/>
      </c>
    </row>
    <row r="1421" spans="11:14" ht="15" customHeight="1" x14ac:dyDescent="0.25">
      <c r="K1421" s="26" t="str">
        <f t="shared" si="88"/>
        <v/>
      </c>
      <c r="L1421" s="26" t="str">
        <f t="shared" si="89"/>
        <v/>
      </c>
      <c r="M1421" s="26" t="str">
        <f t="shared" si="90"/>
        <v/>
      </c>
      <c r="N1421" s="27" t="str">
        <f t="shared" si="91"/>
        <v/>
      </c>
    </row>
    <row r="1422" spans="11:14" ht="15" customHeight="1" x14ac:dyDescent="0.25">
      <c r="K1422" s="26" t="str">
        <f t="shared" si="88"/>
        <v/>
      </c>
      <c r="L1422" s="26" t="str">
        <f t="shared" si="89"/>
        <v/>
      </c>
      <c r="M1422" s="26" t="str">
        <f t="shared" si="90"/>
        <v/>
      </c>
      <c r="N1422" s="27" t="str">
        <f t="shared" si="91"/>
        <v/>
      </c>
    </row>
    <row r="1423" spans="11:14" ht="15" customHeight="1" x14ac:dyDescent="0.25">
      <c r="K1423" s="26" t="str">
        <f t="shared" si="88"/>
        <v/>
      </c>
      <c r="L1423" s="26" t="str">
        <f t="shared" si="89"/>
        <v/>
      </c>
      <c r="M1423" s="26" t="str">
        <f t="shared" si="90"/>
        <v/>
      </c>
      <c r="N1423" s="27" t="str">
        <f t="shared" si="91"/>
        <v/>
      </c>
    </row>
    <row r="1424" spans="11:14" ht="15" customHeight="1" x14ac:dyDescent="0.25">
      <c r="K1424" s="26" t="str">
        <f t="shared" si="88"/>
        <v/>
      </c>
      <c r="L1424" s="26" t="str">
        <f t="shared" si="89"/>
        <v/>
      </c>
      <c r="M1424" s="26" t="str">
        <f t="shared" si="90"/>
        <v/>
      </c>
      <c r="N1424" s="27" t="str">
        <f t="shared" si="91"/>
        <v/>
      </c>
    </row>
    <row r="1425" spans="11:14" ht="15" customHeight="1" x14ac:dyDescent="0.25">
      <c r="K1425" s="26" t="str">
        <f t="shared" si="88"/>
        <v/>
      </c>
      <c r="L1425" s="26" t="str">
        <f t="shared" si="89"/>
        <v/>
      </c>
      <c r="M1425" s="26" t="str">
        <f t="shared" si="90"/>
        <v/>
      </c>
      <c r="N1425" s="27" t="str">
        <f t="shared" si="91"/>
        <v/>
      </c>
    </row>
    <row r="1426" spans="11:14" ht="15" customHeight="1" x14ac:dyDescent="0.25">
      <c r="K1426" s="26" t="str">
        <f t="shared" si="88"/>
        <v/>
      </c>
      <c r="L1426" s="26" t="str">
        <f t="shared" si="89"/>
        <v/>
      </c>
      <c r="M1426" s="26" t="str">
        <f t="shared" si="90"/>
        <v/>
      </c>
      <c r="N1426" s="27" t="str">
        <f t="shared" si="91"/>
        <v/>
      </c>
    </row>
    <row r="1427" spans="11:14" ht="15" customHeight="1" x14ac:dyDescent="0.25">
      <c r="K1427" s="26" t="str">
        <f t="shared" si="88"/>
        <v/>
      </c>
      <c r="L1427" s="26" t="str">
        <f t="shared" si="89"/>
        <v/>
      </c>
      <c r="M1427" s="26" t="str">
        <f t="shared" si="90"/>
        <v/>
      </c>
      <c r="N1427" s="27" t="str">
        <f t="shared" si="91"/>
        <v/>
      </c>
    </row>
    <row r="1428" spans="11:14" ht="15" customHeight="1" x14ac:dyDescent="0.25">
      <c r="K1428" s="26" t="str">
        <f t="shared" si="88"/>
        <v/>
      </c>
      <c r="L1428" s="26" t="str">
        <f t="shared" si="89"/>
        <v/>
      </c>
      <c r="M1428" s="26" t="str">
        <f t="shared" si="90"/>
        <v/>
      </c>
      <c r="N1428" s="27" t="str">
        <f t="shared" si="91"/>
        <v/>
      </c>
    </row>
    <row r="1429" spans="11:14" ht="15" customHeight="1" x14ac:dyDescent="0.25">
      <c r="K1429" s="26" t="str">
        <f t="shared" si="88"/>
        <v/>
      </c>
      <c r="L1429" s="26" t="str">
        <f t="shared" si="89"/>
        <v/>
      </c>
      <c r="M1429" s="26" t="str">
        <f t="shared" si="90"/>
        <v/>
      </c>
      <c r="N1429" s="27" t="str">
        <f t="shared" si="91"/>
        <v/>
      </c>
    </row>
    <row r="1430" spans="11:14" ht="15" customHeight="1" x14ac:dyDescent="0.25">
      <c r="K1430" s="26" t="str">
        <f t="shared" si="88"/>
        <v/>
      </c>
      <c r="L1430" s="26" t="str">
        <f t="shared" si="89"/>
        <v/>
      </c>
      <c r="M1430" s="26" t="str">
        <f t="shared" si="90"/>
        <v/>
      </c>
      <c r="N1430" s="27" t="str">
        <f t="shared" si="91"/>
        <v/>
      </c>
    </row>
    <row r="1431" spans="11:14" ht="15" customHeight="1" x14ac:dyDescent="0.25">
      <c r="K1431" s="26" t="str">
        <f t="shared" si="88"/>
        <v/>
      </c>
      <c r="L1431" s="26" t="str">
        <f t="shared" si="89"/>
        <v/>
      </c>
      <c r="M1431" s="26" t="str">
        <f t="shared" si="90"/>
        <v/>
      </c>
      <c r="N1431" s="27" t="str">
        <f t="shared" si="91"/>
        <v/>
      </c>
    </row>
    <row r="1432" spans="11:14" ht="15" customHeight="1" x14ac:dyDescent="0.25">
      <c r="K1432" s="26" t="str">
        <f t="shared" si="88"/>
        <v/>
      </c>
      <c r="L1432" s="26" t="str">
        <f t="shared" si="89"/>
        <v/>
      </c>
      <c r="M1432" s="26" t="str">
        <f t="shared" si="90"/>
        <v/>
      </c>
      <c r="N1432" s="27" t="str">
        <f t="shared" si="91"/>
        <v/>
      </c>
    </row>
    <row r="1433" spans="11:14" ht="15" customHeight="1" x14ac:dyDescent="0.25">
      <c r="K1433" s="26" t="str">
        <f t="shared" si="88"/>
        <v/>
      </c>
      <c r="L1433" s="26" t="str">
        <f t="shared" si="89"/>
        <v/>
      </c>
      <c r="M1433" s="26" t="str">
        <f t="shared" si="90"/>
        <v/>
      </c>
      <c r="N1433" s="27" t="str">
        <f t="shared" si="91"/>
        <v/>
      </c>
    </row>
    <row r="1434" spans="11:14" ht="15" customHeight="1" x14ac:dyDescent="0.25">
      <c r="K1434" s="26" t="str">
        <f t="shared" si="88"/>
        <v/>
      </c>
      <c r="L1434" s="26" t="str">
        <f t="shared" si="89"/>
        <v/>
      </c>
      <c r="M1434" s="26" t="str">
        <f t="shared" si="90"/>
        <v/>
      </c>
      <c r="N1434" s="27" t="str">
        <f t="shared" si="91"/>
        <v/>
      </c>
    </row>
    <row r="1435" spans="11:14" ht="15" customHeight="1" x14ac:dyDescent="0.25">
      <c r="K1435" s="26" t="str">
        <f t="shared" si="88"/>
        <v/>
      </c>
      <c r="L1435" s="26" t="str">
        <f t="shared" si="89"/>
        <v/>
      </c>
      <c r="M1435" s="26" t="str">
        <f t="shared" si="90"/>
        <v/>
      </c>
      <c r="N1435" s="27" t="str">
        <f t="shared" si="91"/>
        <v/>
      </c>
    </row>
    <row r="1436" spans="11:14" ht="15" customHeight="1" x14ac:dyDescent="0.25">
      <c r="K1436" s="26" t="str">
        <f t="shared" si="88"/>
        <v/>
      </c>
      <c r="L1436" s="26" t="str">
        <f t="shared" si="89"/>
        <v/>
      </c>
      <c r="M1436" s="26" t="str">
        <f t="shared" si="90"/>
        <v/>
      </c>
      <c r="N1436" s="27" t="str">
        <f t="shared" si="91"/>
        <v/>
      </c>
    </row>
    <row r="1437" spans="11:14" ht="15" customHeight="1" x14ac:dyDescent="0.25">
      <c r="K1437" s="26" t="str">
        <f t="shared" si="88"/>
        <v/>
      </c>
      <c r="L1437" s="26" t="str">
        <f t="shared" si="89"/>
        <v/>
      </c>
      <c r="M1437" s="26" t="str">
        <f t="shared" si="90"/>
        <v/>
      </c>
      <c r="N1437" s="27" t="str">
        <f t="shared" si="91"/>
        <v/>
      </c>
    </row>
    <row r="1438" spans="11:14" ht="15" customHeight="1" x14ac:dyDescent="0.25">
      <c r="K1438" s="26" t="str">
        <f t="shared" si="88"/>
        <v/>
      </c>
      <c r="L1438" s="26" t="str">
        <f t="shared" si="89"/>
        <v/>
      </c>
      <c r="M1438" s="26" t="str">
        <f t="shared" si="90"/>
        <v/>
      </c>
      <c r="N1438" s="27" t="str">
        <f t="shared" si="91"/>
        <v/>
      </c>
    </row>
    <row r="1439" spans="11:14" ht="15" customHeight="1" x14ac:dyDescent="0.25">
      <c r="K1439" s="26" t="str">
        <f t="shared" si="88"/>
        <v/>
      </c>
      <c r="L1439" s="26" t="str">
        <f t="shared" si="89"/>
        <v/>
      </c>
      <c r="M1439" s="26" t="str">
        <f t="shared" si="90"/>
        <v/>
      </c>
      <c r="N1439" s="27" t="str">
        <f t="shared" si="91"/>
        <v/>
      </c>
    </row>
    <row r="1440" spans="11:14" ht="15" customHeight="1" x14ac:dyDescent="0.25">
      <c r="K1440" s="26" t="str">
        <f t="shared" si="88"/>
        <v/>
      </c>
      <c r="L1440" s="26" t="str">
        <f t="shared" si="89"/>
        <v/>
      </c>
      <c r="M1440" s="26" t="str">
        <f t="shared" si="90"/>
        <v/>
      </c>
      <c r="N1440" s="27" t="str">
        <f t="shared" si="91"/>
        <v/>
      </c>
    </row>
    <row r="1441" spans="11:14" ht="15" customHeight="1" x14ac:dyDescent="0.25">
      <c r="K1441" s="26" t="str">
        <f t="shared" si="88"/>
        <v/>
      </c>
      <c r="L1441" s="26" t="str">
        <f t="shared" si="89"/>
        <v/>
      </c>
      <c r="M1441" s="26" t="str">
        <f t="shared" si="90"/>
        <v/>
      </c>
      <c r="N1441" s="27" t="str">
        <f t="shared" si="91"/>
        <v/>
      </c>
    </row>
    <row r="1442" spans="11:14" ht="15" customHeight="1" x14ac:dyDescent="0.25">
      <c r="K1442" s="26" t="str">
        <f t="shared" si="88"/>
        <v/>
      </c>
      <c r="L1442" s="26" t="str">
        <f t="shared" si="89"/>
        <v/>
      </c>
      <c r="M1442" s="26" t="str">
        <f t="shared" si="90"/>
        <v/>
      </c>
      <c r="N1442" s="27" t="str">
        <f t="shared" si="91"/>
        <v/>
      </c>
    </row>
    <row r="1443" spans="11:14" ht="15" customHeight="1" x14ac:dyDescent="0.25">
      <c r="K1443" s="26" t="str">
        <f t="shared" si="88"/>
        <v/>
      </c>
      <c r="L1443" s="26" t="str">
        <f t="shared" si="89"/>
        <v/>
      </c>
      <c r="M1443" s="26" t="str">
        <f t="shared" si="90"/>
        <v/>
      </c>
      <c r="N1443" s="27" t="str">
        <f t="shared" si="91"/>
        <v/>
      </c>
    </row>
    <row r="1444" spans="11:14" ht="15" customHeight="1" x14ac:dyDescent="0.25">
      <c r="K1444" s="26" t="str">
        <f t="shared" si="88"/>
        <v/>
      </c>
      <c r="L1444" s="26" t="str">
        <f t="shared" si="89"/>
        <v/>
      </c>
      <c r="M1444" s="26" t="str">
        <f t="shared" si="90"/>
        <v/>
      </c>
      <c r="N1444" s="27" t="str">
        <f t="shared" si="91"/>
        <v/>
      </c>
    </row>
    <row r="1445" spans="11:14" ht="15" customHeight="1" x14ac:dyDescent="0.25">
      <c r="K1445" s="26" t="str">
        <f t="shared" si="88"/>
        <v/>
      </c>
      <c r="L1445" s="26" t="str">
        <f t="shared" si="89"/>
        <v/>
      </c>
      <c r="M1445" s="26" t="str">
        <f t="shared" si="90"/>
        <v/>
      </c>
      <c r="N1445" s="27" t="str">
        <f t="shared" si="91"/>
        <v/>
      </c>
    </row>
    <row r="1446" spans="11:14" ht="15" customHeight="1" x14ac:dyDescent="0.25">
      <c r="K1446" s="26" t="str">
        <f t="shared" si="88"/>
        <v/>
      </c>
      <c r="L1446" s="26" t="str">
        <f t="shared" si="89"/>
        <v/>
      </c>
      <c r="M1446" s="26" t="str">
        <f t="shared" si="90"/>
        <v/>
      </c>
      <c r="N1446" s="27" t="str">
        <f t="shared" si="91"/>
        <v/>
      </c>
    </row>
    <row r="1447" spans="11:14" ht="15" customHeight="1" x14ac:dyDescent="0.25">
      <c r="K1447" s="26" t="str">
        <f t="shared" si="88"/>
        <v/>
      </c>
      <c r="L1447" s="26" t="str">
        <f t="shared" si="89"/>
        <v/>
      </c>
      <c r="M1447" s="26" t="str">
        <f t="shared" si="90"/>
        <v/>
      </c>
      <c r="N1447" s="27" t="str">
        <f t="shared" si="91"/>
        <v/>
      </c>
    </row>
    <row r="1448" spans="11:14" ht="15" customHeight="1" x14ac:dyDescent="0.25">
      <c r="K1448" s="26" t="str">
        <f t="shared" si="88"/>
        <v/>
      </c>
      <c r="L1448" s="26" t="str">
        <f t="shared" si="89"/>
        <v/>
      </c>
      <c r="M1448" s="26" t="str">
        <f t="shared" si="90"/>
        <v/>
      </c>
      <c r="N1448" s="27" t="str">
        <f t="shared" si="91"/>
        <v/>
      </c>
    </row>
    <row r="1449" spans="11:14" ht="15" customHeight="1" x14ac:dyDescent="0.25">
      <c r="K1449" s="26" t="str">
        <f t="shared" si="88"/>
        <v/>
      </c>
      <c r="L1449" s="26" t="str">
        <f t="shared" si="89"/>
        <v/>
      </c>
      <c r="M1449" s="26" t="str">
        <f t="shared" si="90"/>
        <v/>
      </c>
      <c r="N1449" s="27" t="str">
        <f t="shared" si="91"/>
        <v/>
      </c>
    </row>
    <row r="1450" spans="11:14" ht="15" customHeight="1" x14ac:dyDescent="0.25">
      <c r="K1450" s="26" t="str">
        <f t="shared" si="88"/>
        <v/>
      </c>
      <c r="L1450" s="26" t="str">
        <f t="shared" si="89"/>
        <v/>
      </c>
      <c r="M1450" s="26" t="str">
        <f t="shared" si="90"/>
        <v/>
      </c>
      <c r="N1450" s="27" t="str">
        <f t="shared" si="91"/>
        <v/>
      </c>
    </row>
    <row r="1451" spans="11:14" ht="15" customHeight="1" x14ac:dyDescent="0.25">
      <c r="K1451" s="26" t="str">
        <f t="shared" si="88"/>
        <v/>
      </c>
      <c r="L1451" s="26" t="str">
        <f t="shared" si="89"/>
        <v/>
      </c>
      <c r="M1451" s="26" t="str">
        <f t="shared" si="90"/>
        <v/>
      </c>
      <c r="N1451" s="27" t="str">
        <f t="shared" si="91"/>
        <v/>
      </c>
    </row>
    <row r="1452" spans="11:14" ht="15" customHeight="1" x14ac:dyDescent="0.25">
      <c r="K1452" s="26" t="str">
        <f t="shared" si="88"/>
        <v/>
      </c>
      <c r="L1452" s="26" t="str">
        <f t="shared" si="89"/>
        <v/>
      </c>
      <c r="M1452" s="26" t="str">
        <f t="shared" si="90"/>
        <v/>
      </c>
      <c r="N1452" s="27" t="str">
        <f t="shared" si="91"/>
        <v/>
      </c>
    </row>
    <row r="1453" spans="11:14" ht="15" customHeight="1" x14ac:dyDescent="0.25">
      <c r="K1453" s="26" t="str">
        <f t="shared" si="88"/>
        <v/>
      </c>
      <c r="L1453" s="26" t="str">
        <f t="shared" si="89"/>
        <v/>
      </c>
      <c r="M1453" s="26" t="str">
        <f t="shared" si="90"/>
        <v/>
      </c>
      <c r="N1453" s="27" t="str">
        <f t="shared" si="91"/>
        <v/>
      </c>
    </row>
    <row r="1454" spans="11:14" ht="15" customHeight="1" x14ac:dyDescent="0.25">
      <c r="K1454" s="26" t="str">
        <f t="shared" si="88"/>
        <v/>
      </c>
      <c r="L1454" s="26" t="str">
        <f t="shared" si="89"/>
        <v/>
      </c>
      <c r="M1454" s="26" t="str">
        <f t="shared" si="90"/>
        <v/>
      </c>
      <c r="N1454" s="27" t="str">
        <f t="shared" si="91"/>
        <v/>
      </c>
    </row>
    <row r="1455" spans="11:14" ht="15" customHeight="1" x14ac:dyDescent="0.25">
      <c r="K1455" s="26" t="str">
        <f t="shared" si="88"/>
        <v/>
      </c>
      <c r="L1455" s="26" t="str">
        <f t="shared" si="89"/>
        <v/>
      </c>
      <c r="M1455" s="26" t="str">
        <f t="shared" si="90"/>
        <v/>
      </c>
      <c r="N1455" s="27" t="str">
        <f t="shared" si="91"/>
        <v/>
      </c>
    </row>
    <row r="1456" spans="11:14" ht="15" customHeight="1" x14ac:dyDescent="0.25">
      <c r="K1456" s="26" t="str">
        <f t="shared" si="88"/>
        <v/>
      </c>
      <c r="L1456" s="26" t="str">
        <f t="shared" si="89"/>
        <v/>
      </c>
      <c r="M1456" s="26" t="str">
        <f t="shared" si="90"/>
        <v/>
      </c>
      <c r="N1456" s="27" t="str">
        <f t="shared" si="91"/>
        <v/>
      </c>
    </row>
    <row r="1457" spans="11:14" ht="15" customHeight="1" x14ac:dyDescent="0.25">
      <c r="K1457" s="26" t="str">
        <f t="shared" si="88"/>
        <v/>
      </c>
      <c r="L1457" s="26" t="str">
        <f t="shared" si="89"/>
        <v/>
      </c>
      <c r="M1457" s="26" t="str">
        <f t="shared" si="90"/>
        <v/>
      </c>
      <c r="N1457" s="27" t="str">
        <f t="shared" si="91"/>
        <v/>
      </c>
    </row>
    <row r="1458" spans="11:14" ht="15" customHeight="1" x14ac:dyDescent="0.25">
      <c r="K1458" s="26" t="str">
        <f t="shared" si="88"/>
        <v/>
      </c>
      <c r="L1458" s="26" t="str">
        <f t="shared" si="89"/>
        <v/>
      </c>
      <c r="M1458" s="26" t="str">
        <f t="shared" si="90"/>
        <v/>
      </c>
      <c r="N1458" s="27" t="str">
        <f t="shared" si="91"/>
        <v/>
      </c>
    </row>
    <row r="1459" spans="11:14" ht="15" customHeight="1" x14ac:dyDescent="0.25">
      <c r="K1459" s="26" t="str">
        <f t="shared" si="88"/>
        <v/>
      </c>
      <c r="L1459" s="26" t="str">
        <f t="shared" si="89"/>
        <v/>
      </c>
      <c r="M1459" s="26" t="str">
        <f t="shared" si="90"/>
        <v/>
      </c>
      <c r="N1459" s="27" t="str">
        <f t="shared" si="91"/>
        <v/>
      </c>
    </row>
    <row r="1460" spans="11:14" ht="15" customHeight="1" x14ac:dyDescent="0.25">
      <c r="K1460" s="26" t="str">
        <f t="shared" si="88"/>
        <v/>
      </c>
      <c r="L1460" s="26" t="str">
        <f t="shared" si="89"/>
        <v/>
      </c>
      <c r="M1460" s="26" t="str">
        <f t="shared" si="90"/>
        <v/>
      </c>
      <c r="N1460" s="27" t="str">
        <f t="shared" si="91"/>
        <v/>
      </c>
    </row>
    <row r="1461" spans="11:14" ht="15" customHeight="1" x14ac:dyDescent="0.25">
      <c r="K1461" s="26" t="str">
        <f t="shared" si="88"/>
        <v/>
      </c>
      <c r="L1461" s="26" t="str">
        <f t="shared" si="89"/>
        <v/>
      </c>
      <c r="M1461" s="26" t="str">
        <f t="shared" si="90"/>
        <v/>
      </c>
      <c r="N1461" s="27" t="str">
        <f t="shared" si="91"/>
        <v/>
      </c>
    </row>
    <row r="1462" spans="11:14" ht="15" customHeight="1" x14ac:dyDescent="0.25">
      <c r="K1462" s="26" t="str">
        <f t="shared" si="88"/>
        <v/>
      </c>
      <c r="L1462" s="26" t="str">
        <f t="shared" si="89"/>
        <v/>
      </c>
      <c r="M1462" s="26" t="str">
        <f t="shared" si="90"/>
        <v/>
      </c>
      <c r="N1462" s="27" t="str">
        <f t="shared" si="91"/>
        <v/>
      </c>
    </row>
    <row r="1463" spans="11:14" ht="15" customHeight="1" x14ac:dyDescent="0.25">
      <c r="K1463" s="26" t="str">
        <f t="shared" si="88"/>
        <v/>
      </c>
      <c r="L1463" s="26" t="str">
        <f t="shared" si="89"/>
        <v/>
      </c>
      <c r="M1463" s="26" t="str">
        <f t="shared" si="90"/>
        <v/>
      </c>
      <c r="N1463" s="27" t="str">
        <f t="shared" si="91"/>
        <v/>
      </c>
    </row>
    <row r="1464" spans="11:14" ht="15" customHeight="1" x14ac:dyDescent="0.25">
      <c r="K1464" s="26" t="str">
        <f t="shared" si="88"/>
        <v/>
      </c>
      <c r="L1464" s="26" t="str">
        <f t="shared" si="89"/>
        <v/>
      </c>
      <c r="M1464" s="26" t="str">
        <f t="shared" si="90"/>
        <v/>
      </c>
      <c r="N1464" s="27" t="str">
        <f t="shared" si="91"/>
        <v/>
      </c>
    </row>
    <row r="1465" spans="11:14" ht="15" customHeight="1" x14ac:dyDescent="0.25">
      <c r="K1465" s="26" t="str">
        <f t="shared" si="88"/>
        <v/>
      </c>
      <c r="L1465" s="26" t="str">
        <f t="shared" si="89"/>
        <v/>
      </c>
      <c r="M1465" s="26" t="str">
        <f t="shared" si="90"/>
        <v/>
      </c>
      <c r="N1465" s="27" t="str">
        <f t="shared" si="91"/>
        <v/>
      </c>
    </row>
    <row r="1466" spans="11:14" ht="15" customHeight="1" x14ac:dyDescent="0.25">
      <c r="K1466" s="26" t="str">
        <f t="shared" si="88"/>
        <v/>
      </c>
      <c r="L1466" s="26" t="str">
        <f t="shared" si="89"/>
        <v/>
      </c>
      <c r="M1466" s="26" t="str">
        <f t="shared" si="90"/>
        <v/>
      </c>
      <c r="N1466" s="27" t="str">
        <f t="shared" si="91"/>
        <v/>
      </c>
    </row>
    <row r="1467" spans="11:14" ht="15" customHeight="1" x14ac:dyDescent="0.25">
      <c r="K1467" s="26" t="str">
        <f t="shared" si="88"/>
        <v/>
      </c>
      <c r="L1467" s="26" t="str">
        <f t="shared" si="89"/>
        <v/>
      </c>
      <c r="M1467" s="26" t="str">
        <f t="shared" si="90"/>
        <v/>
      </c>
      <c r="N1467" s="27" t="str">
        <f t="shared" si="91"/>
        <v/>
      </c>
    </row>
    <row r="1468" spans="11:14" ht="15" customHeight="1" x14ac:dyDescent="0.25">
      <c r="K1468" s="26" t="str">
        <f t="shared" si="88"/>
        <v/>
      </c>
      <c r="L1468" s="26" t="str">
        <f t="shared" si="89"/>
        <v/>
      </c>
      <c r="M1468" s="26" t="str">
        <f t="shared" si="90"/>
        <v/>
      </c>
      <c r="N1468" s="27" t="str">
        <f t="shared" si="91"/>
        <v/>
      </c>
    </row>
    <row r="1469" spans="11:14" ht="15" customHeight="1" x14ac:dyDescent="0.25">
      <c r="K1469" s="26" t="str">
        <f t="shared" si="88"/>
        <v/>
      </c>
      <c r="L1469" s="26" t="str">
        <f t="shared" si="89"/>
        <v/>
      </c>
      <c r="M1469" s="26" t="str">
        <f t="shared" si="90"/>
        <v/>
      </c>
      <c r="N1469" s="27" t="str">
        <f t="shared" si="91"/>
        <v/>
      </c>
    </row>
    <row r="1470" spans="11:14" ht="15" customHeight="1" x14ac:dyDescent="0.25">
      <c r="K1470" s="26" t="str">
        <f t="shared" si="88"/>
        <v/>
      </c>
      <c r="L1470" s="26" t="str">
        <f t="shared" si="89"/>
        <v/>
      </c>
      <c r="M1470" s="26" t="str">
        <f t="shared" si="90"/>
        <v/>
      </c>
      <c r="N1470" s="27" t="str">
        <f t="shared" si="91"/>
        <v/>
      </c>
    </row>
    <row r="1471" spans="11:14" ht="15" customHeight="1" x14ac:dyDescent="0.25">
      <c r="K1471" s="26" t="str">
        <f t="shared" si="88"/>
        <v/>
      </c>
      <c r="L1471" s="26" t="str">
        <f t="shared" si="89"/>
        <v/>
      </c>
      <c r="M1471" s="26" t="str">
        <f t="shared" si="90"/>
        <v/>
      </c>
      <c r="N1471" s="27" t="str">
        <f t="shared" si="91"/>
        <v/>
      </c>
    </row>
    <row r="1472" spans="11:14" ht="15" customHeight="1" x14ac:dyDescent="0.25">
      <c r="K1472" s="26" t="str">
        <f t="shared" si="88"/>
        <v/>
      </c>
      <c r="L1472" s="26" t="str">
        <f t="shared" si="89"/>
        <v/>
      </c>
      <c r="M1472" s="26" t="str">
        <f t="shared" si="90"/>
        <v/>
      </c>
      <c r="N1472" s="27" t="str">
        <f t="shared" si="91"/>
        <v/>
      </c>
    </row>
    <row r="1473" spans="11:14" ht="15" customHeight="1" x14ac:dyDescent="0.25">
      <c r="K1473" s="26" t="str">
        <f t="shared" si="88"/>
        <v/>
      </c>
      <c r="L1473" s="26" t="str">
        <f t="shared" si="89"/>
        <v/>
      </c>
      <c r="M1473" s="26" t="str">
        <f t="shared" si="90"/>
        <v/>
      </c>
      <c r="N1473" s="27" t="str">
        <f t="shared" si="91"/>
        <v/>
      </c>
    </row>
    <row r="1474" spans="11:14" ht="15" customHeight="1" x14ac:dyDescent="0.25">
      <c r="K1474" s="26" t="str">
        <f t="shared" si="88"/>
        <v/>
      </c>
      <c r="L1474" s="26" t="str">
        <f t="shared" si="89"/>
        <v/>
      </c>
      <c r="M1474" s="26" t="str">
        <f t="shared" si="90"/>
        <v/>
      </c>
      <c r="N1474" s="27" t="str">
        <f t="shared" si="91"/>
        <v/>
      </c>
    </row>
    <row r="1475" spans="11:14" ht="15" customHeight="1" x14ac:dyDescent="0.25">
      <c r="K1475" s="26" t="str">
        <f t="shared" si="88"/>
        <v/>
      </c>
      <c r="L1475" s="26" t="str">
        <f t="shared" si="89"/>
        <v/>
      </c>
      <c r="M1475" s="26" t="str">
        <f t="shared" si="90"/>
        <v/>
      </c>
      <c r="N1475" s="27" t="str">
        <f t="shared" si="91"/>
        <v/>
      </c>
    </row>
    <row r="1476" spans="11:14" ht="15" customHeight="1" x14ac:dyDescent="0.25">
      <c r="K1476" s="26" t="str">
        <f t="shared" si="88"/>
        <v/>
      </c>
      <c r="L1476" s="26" t="str">
        <f t="shared" si="89"/>
        <v/>
      </c>
      <c r="M1476" s="26" t="str">
        <f t="shared" si="90"/>
        <v/>
      </c>
      <c r="N1476" s="27" t="str">
        <f t="shared" si="91"/>
        <v/>
      </c>
    </row>
    <row r="1477" spans="11:14" ht="15" customHeight="1" x14ac:dyDescent="0.25">
      <c r="K1477" s="26" t="str">
        <f t="shared" ref="K1477:K1540" si="92">IF(H1477="","",(H1477-G1477)/G1477)</f>
        <v/>
      </c>
      <c r="L1477" s="26" t="str">
        <f t="shared" ref="L1477:L1540" si="93">IF(I1477="","",(I1477-G1477)/G1477)</f>
        <v/>
      </c>
      <c r="M1477" s="26" t="str">
        <f t="shared" ref="M1477:M1540" si="94">IF(J1477="","",(J1477-G1477)/G1477)</f>
        <v/>
      </c>
      <c r="N1477" s="27" t="str">
        <f t="shared" ref="N1477:N1540" si="95">IF(H1477="","",IF(D1477="HOLD",IF(ABS(K1477)&lt;0.03,"YES","NO"),IF(D1477="BUY",IF(K1477&gt;0,"YES","NO"),IF(D1477="SELL",IF(K1477&lt;0,"YES","NO"),""))))</f>
        <v/>
      </c>
    </row>
    <row r="1478" spans="11:14" ht="15" customHeight="1" x14ac:dyDescent="0.25">
      <c r="K1478" s="26" t="str">
        <f t="shared" si="92"/>
        <v/>
      </c>
      <c r="L1478" s="26" t="str">
        <f t="shared" si="93"/>
        <v/>
      </c>
      <c r="M1478" s="26" t="str">
        <f t="shared" si="94"/>
        <v/>
      </c>
      <c r="N1478" s="27" t="str">
        <f t="shared" si="95"/>
        <v/>
      </c>
    </row>
    <row r="1479" spans="11:14" ht="15" customHeight="1" x14ac:dyDescent="0.25">
      <c r="K1479" s="26" t="str">
        <f t="shared" si="92"/>
        <v/>
      </c>
      <c r="L1479" s="26" t="str">
        <f t="shared" si="93"/>
        <v/>
      </c>
      <c r="M1479" s="26" t="str">
        <f t="shared" si="94"/>
        <v/>
      </c>
      <c r="N1479" s="27" t="str">
        <f t="shared" si="95"/>
        <v/>
      </c>
    </row>
    <row r="1480" spans="11:14" ht="15" customHeight="1" x14ac:dyDescent="0.25">
      <c r="K1480" s="26" t="str">
        <f t="shared" si="92"/>
        <v/>
      </c>
      <c r="L1480" s="26" t="str">
        <f t="shared" si="93"/>
        <v/>
      </c>
      <c r="M1480" s="26" t="str">
        <f t="shared" si="94"/>
        <v/>
      </c>
      <c r="N1480" s="27" t="str">
        <f t="shared" si="95"/>
        <v/>
      </c>
    </row>
    <row r="1481" spans="11:14" ht="15" customHeight="1" x14ac:dyDescent="0.25">
      <c r="K1481" s="26" t="str">
        <f t="shared" si="92"/>
        <v/>
      </c>
      <c r="L1481" s="26" t="str">
        <f t="shared" si="93"/>
        <v/>
      </c>
      <c r="M1481" s="26" t="str">
        <f t="shared" si="94"/>
        <v/>
      </c>
      <c r="N1481" s="27" t="str">
        <f t="shared" si="95"/>
        <v/>
      </c>
    </row>
    <row r="1482" spans="11:14" ht="15" customHeight="1" x14ac:dyDescent="0.25">
      <c r="K1482" s="26" t="str">
        <f t="shared" si="92"/>
        <v/>
      </c>
      <c r="L1482" s="26" t="str">
        <f t="shared" si="93"/>
        <v/>
      </c>
      <c r="M1482" s="26" t="str">
        <f t="shared" si="94"/>
        <v/>
      </c>
      <c r="N1482" s="27" t="str">
        <f t="shared" si="95"/>
        <v/>
      </c>
    </row>
    <row r="1483" spans="11:14" ht="15" customHeight="1" x14ac:dyDescent="0.25">
      <c r="K1483" s="26" t="str">
        <f t="shared" si="92"/>
        <v/>
      </c>
      <c r="L1483" s="26" t="str">
        <f t="shared" si="93"/>
        <v/>
      </c>
      <c r="M1483" s="26" t="str">
        <f t="shared" si="94"/>
        <v/>
      </c>
      <c r="N1483" s="27" t="str">
        <f t="shared" si="95"/>
        <v/>
      </c>
    </row>
    <row r="1484" spans="11:14" ht="15" customHeight="1" x14ac:dyDescent="0.25">
      <c r="K1484" s="26" t="str">
        <f t="shared" si="92"/>
        <v/>
      </c>
      <c r="L1484" s="26" t="str">
        <f t="shared" si="93"/>
        <v/>
      </c>
      <c r="M1484" s="26" t="str">
        <f t="shared" si="94"/>
        <v/>
      </c>
      <c r="N1484" s="27" t="str">
        <f t="shared" si="95"/>
        <v/>
      </c>
    </row>
    <row r="1485" spans="11:14" ht="15" customHeight="1" x14ac:dyDescent="0.25">
      <c r="K1485" s="26" t="str">
        <f t="shared" si="92"/>
        <v/>
      </c>
      <c r="L1485" s="26" t="str">
        <f t="shared" si="93"/>
        <v/>
      </c>
      <c r="M1485" s="26" t="str">
        <f t="shared" si="94"/>
        <v/>
      </c>
      <c r="N1485" s="27" t="str">
        <f t="shared" si="95"/>
        <v/>
      </c>
    </row>
    <row r="1486" spans="11:14" ht="15" customHeight="1" x14ac:dyDescent="0.25">
      <c r="K1486" s="26" t="str">
        <f t="shared" si="92"/>
        <v/>
      </c>
      <c r="L1486" s="26" t="str">
        <f t="shared" si="93"/>
        <v/>
      </c>
      <c r="M1486" s="26" t="str">
        <f t="shared" si="94"/>
        <v/>
      </c>
      <c r="N1486" s="27" t="str">
        <f t="shared" si="95"/>
        <v/>
      </c>
    </row>
    <row r="1487" spans="11:14" ht="15" customHeight="1" x14ac:dyDescent="0.25">
      <c r="K1487" s="26" t="str">
        <f t="shared" si="92"/>
        <v/>
      </c>
      <c r="L1487" s="26" t="str">
        <f t="shared" si="93"/>
        <v/>
      </c>
      <c r="M1487" s="26" t="str">
        <f t="shared" si="94"/>
        <v/>
      </c>
      <c r="N1487" s="27" t="str">
        <f t="shared" si="95"/>
        <v/>
      </c>
    </row>
    <row r="1488" spans="11:14" ht="15" customHeight="1" x14ac:dyDescent="0.25">
      <c r="K1488" s="26" t="str">
        <f t="shared" si="92"/>
        <v/>
      </c>
      <c r="L1488" s="26" t="str">
        <f t="shared" si="93"/>
        <v/>
      </c>
      <c r="M1488" s="26" t="str">
        <f t="shared" si="94"/>
        <v/>
      </c>
      <c r="N1488" s="27" t="str">
        <f t="shared" si="95"/>
        <v/>
      </c>
    </row>
    <row r="1489" spans="11:14" ht="15" customHeight="1" x14ac:dyDescent="0.25">
      <c r="K1489" s="26" t="str">
        <f t="shared" si="92"/>
        <v/>
      </c>
      <c r="L1489" s="26" t="str">
        <f t="shared" si="93"/>
        <v/>
      </c>
      <c r="M1489" s="26" t="str">
        <f t="shared" si="94"/>
        <v/>
      </c>
      <c r="N1489" s="27" t="str">
        <f t="shared" si="95"/>
        <v/>
      </c>
    </row>
    <row r="1490" spans="11:14" ht="15" customHeight="1" x14ac:dyDescent="0.25">
      <c r="K1490" s="26" t="str">
        <f t="shared" si="92"/>
        <v/>
      </c>
      <c r="L1490" s="26" t="str">
        <f t="shared" si="93"/>
        <v/>
      </c>
      <c r="M1490" s="26" t="str">
        <f t="shared" si="94"/>
        <v/>
      </c>
      <c r="N1490" s="27" t="str">
        <f t="shared" si="95"/>
        <v/>
      </c>
    </row>
    <row r="1491" spans="11:14" ht="15" customHeight="1" x14ac:dyDescent="0.25">
      <c r="K1491" s="26" t="str">
        <f t="shared" si="92"/>
        <v/>
      </c>
      <c r="L1491" s="26" t="str">
        <f t="shared" si="93"/>
        <v/>
      </c>
      <c r="M1491" s="26" t="str">
        <f t="shared" si="94"/>
        <v/>
      </c>
      <c r="N1491" s="27" t="str">
        <f t="shared" si="95"/>
        <v/>
      </c>
    </row>
    <row r="1492" spans="11:14" ht="15" customHeight="1" x14ac:dyDescent="0.25">
      <c r="K1492" s="26" t="str">
        <f t="shared" si="92"/>
        <v/>
      </c>
      <c r="L1492" s="26" t="str">
        <f t="shared" si="93"/>
        <v/>
      </c>
      <c r="M1492" s="26" t="str">
        <f t="shared" si="94"/>
        <v/>
      </c>
      <c r="N1492" s="27" t="str">
        <f t="shared" si="95"/>
        <v/>
      </c>
    </row>
    <row r="1493" spans="11:14" ht="15" customHeight="1" x14ac:dyDescent="0.25">
      <c r="K1493" s="26" t="str">
        <f t="shared" si="92"/>
        <v/>
      </c>
      <c r="L1493" s="26" t="str">
        <f t="shared" si="93"/>
        <v/>
      </c>
      <c r="M1493" s="26" t="str">
        <f t="shared" si="94"/>
        <v/>
      </c>
      <c r="N1493" s="27" t="str">
        <f t="shared" si="95"/>
        <v/>
      </c>
    </row>
    <row r="1494" spans="11:14" ht="15" customHeight="1" x14ac:dyDescent="0.25">
      <c r="K1494" s="26" t="str">
        <f t="shared" si="92"/>
        <v/>
      </c>
      <c r="L1494" s="26" t="str">
        <f t="shared" si="93"/>
        <v/>
      </c>
      <c r="M1494" s="26" t="str">
        <f t="shared" si="94"/>
        <v/>
      </c>
      <c r="N1494" s="27" t="str">
        <f t="shared" si="95"/>
        <v/>
      </c>
    </row>
    <row r="1495" spans="11:14" ht="15" customHeight="1" x14ac:dyDescent="0.25">
      <c r="K1495" s="26" t="str">
        <f t="shared" si="92"/>
        <v/>
      </c>
      <c r="L1495" s="26" t="str">
        <f t="shared" si="93"/>
        <v/>
      </c>
      <c r="M1495" s="26" t="str">
        <f t="shared" si="94"/>
        <v/>
      </c>
      <c r="N1495" s="27" t="str">
        <f t="shared" si="95"/>
        <v/>
      </c>
    </row>
    <row r="1496" spans="11:14" ht="15" customHeight="1" x14ac:dyDescent="0.25">
      <c r="K1496" s="26" t="str">
        <f t="shared" si="92"/>
        <v/>
      </c>
      <c r="L1496" s="26" t="str">
        <f t="shared" si="93"/>
        <v/>
      </c>
      <c r="M1496" s="26" t="str">
        <f t="shared" si="94"/>
        <v/>
      </c>
      <c r="N1496" s="27" t="str">
        <f t="shared" si="95"/>
        <v/>
      </c>
    </row>
    <row r="1497" spans="11:14" ht="15" customHeight="1" x14ac:dyDescent="0.25">
      <c r="K1497" s="26" t="str">
        <f t="shared" si="92"/>
        <v/>
      </c>
      <c r="L1497" s="26" t="str">
        <f t="shared" si="93"/>
        <v/>
      </c>
      <c r="M1497" s="26" t="str">
        <f t="shared" si="94"/>
        <v/>
      </c>
      <c r="N1497" s="27" t="str">
        <f t="shared" si="95"/>
        <v/>
      </c>
    </row>
    <row r="1498" spans="11:14" ht="15" customHeight="1" x14ac:dyDescent="0.25">
      <c r="K1498" s="26" t="str">
        <f t="shared" si="92"/>
        <v/>
      </c>
      <c r="L1498" s="26" t="str">
        <f t="shared" si="93"/>
        <v/>
      </c>
      <c r="M1498" s="26" t="str">
        <f t="shared" si="94"/>
        <v/>
      </c>
      <c r="N1498" s="27" t="str">
        <f t="shared" si="95"/>
        <v/>
      </c>
    </row>
    <row r="1499" spans="11:14" ht="15" customHeight="1" x14ac:dyDescent="0.25">
      <c r="K1499" s="26" t="str">
        <f t="shared" si="92"/>
        <v/>
      </c>
      <c r="L1499" s="26" t="str">
        <f t="shared" si="93"/>
        <v/>
      </c>
      <c r="M1499" s="26" t="str">
        <f t="shared" si="94"/>
        <v/>
      </c>
      <c r="N1499" s="27" t="str">
        <f t="shared" si="95"/>
        <v/>
      </c>
    </row>
    <row r="1500" spans="11:14" ht="15" customHeight="1" x14ac:dyDescent="0.25">
      <c r="K1500" s="26" t="str">
        <f t="shared" si="92"/>
        <v/>
      </c>
      <c r="L1500" s="26" t="str">
        <f t="shared" si="93"/>
        <v/>
      </c>
      <c r="M1500" s="26" t="str">
        <f t="shared" si="94"/>
        <v/>
      </c>
      <c r="N1500" s="27" t="str">
        <f t="shared" si="95"/>
        <v/>
      </c>
    </row>
    <row r="1501" spans="11:14" ht="15" customHeight="1" x14ac:dyDescent="0.25">
      <c r="K1501" s="26" t="str">
        <f t="shared" si="92"/>
        <v/>
      </c>
      <c r="L1501" s="26" t="str">
        <f t="shared" si="93"/>
        <v/>
      </c>
      <c r="M1501" s="26" t="str">
        <f t="shared" si="94"/>
        <v/>
      </c>
      <c r="N1501" s="27" t="str">
        <f t="shared" si="95"/>
        <v/>
      </c>
    </row>
    <row r="1502" spans="11:14" ht="15" customHeight="1" x14ac:dyDescent="0.25">
      <c r="K1502" s="26" t="str">
        <f t="shared" si="92"/>
        <v/>
      </c>
      <c r="L1502" s="26" t="str">
        <f t="shared" si="93"/>
        <v/>
      </c>
      <c r="M1502" s="26" t="str">
        <f t="shared" si="94"/>
        <v/>
      </c>
      <c r="N1502" s="27" t="str">
        <f t="shared" si="95"/>
        <v/>
      </c>
    </row>
    <row r="1503" spans="11:14" ht="15" customHeight="1" x14ac:dyDescent="0.25">
      <c r="K1503" s="26" t="str">
        <f t="shared" si="92"/>
        <v/>
      </c>
      <c r="L1503" s="26" t="str">
        <f t="shared" si="93"/>
        <v/>
      </c>
      <c r="M1503" s="26" t="str">
        <f t="shared" si="94"/>
        <v/>
      </c>
      <c r="N1503" s="27" t="str">
        <f t="shared" si="95"/>
        <v/>
      </c>
    </row>
    <row r="1504" spans="11:14" ht="15" customHeight="1" x14ac:dyDescent="0.25">
      <c r="K1504" s="26" t="str">
        <f t="shared" si="92"/>
        <v/>
      </c>
      <c r="L1504" s="26" t="str">
        <f t="shared" si="93"/>
        <v/>
      </c>
      <c r="M1504" s="26" t="str">
        <f t="shared" si="94"/>
        <v/>
      </c>
      <c r="N1504" s="27" t="str">
        <f t="shared" si="95"/>
        <v/>
      </c>
    </row>
    <row r="1505" spans="11:14" ht="15" customHeight="1" x14ac:dyDescent="0.25">
      <c r="K1505" s="26" t="str">
        <f t="shared" si="92"/>
        <v/>
      </c>
      <c r="L1505" s="26" t="str">
        <f t="shared" si="93"/>
        <v/>
      </c>
      <c r="M1505" s="26" t="str">
        <f t="shared" si="94"/>
        <v/>
      </c>
      <c r="N1505" s="27" t="str">
        <f t="shared" si="95"/>
        <v/>
      </c>
    </row>
    <row r="1506" spans="11:14" ht="15" customHeight="1" x14ac:dyDescent="0.25">
      <c r="K1506" s="26" t="str">
        <f t="shared" si="92"/>
        <v/>
      </c>
      <c r="L1506" s="26" t="str">
        <f t="shared" si="93"/>
        <v/>
      </c>
      <c r="M1506" s="26" t="str">
        <f t="shared" si="94"/>
        <v/>
      </c>
      <c r="N1506" s="27" t="str">
        <f t="shared" si="95"/>
        <v/>
      </c>
    </row>
    <row r="1507" spans="11:14" ht="15" customHeight="1" x14ac:dyDescent="0.25">
      <c r="K1507" s="26" t="str">
        <f t="shared" si="92"/>
        <v/>
      </c>
      <c r="L1507" s="26" t="str">
        <f t="shared" si="93"/>
        <v/>
      </c>
      <c r="M1507" s="26" t="str">
        <f t="shared" si="94"/>
        <v/>
      </c>
      <c r="N1507" s="27" t="str">
        <f t="shared" si="95"/>
        <v/>
      </c>
    </row>
    <row r="1508" spans="11:14" ht="15" customHeight="1" x14ac:dyDescent="0.25">
      <c r="K1508" s="26" t="str">
        <f t="shared" si="92"/>
        <v/>
      </c>
      <c r="L1508" s="26" t="str">
        <f t="shared" si="93"/>
        <v/>
      </c>
      <c r="M1508" s="26" t="str">
        <f t="shared" si="94"/>
        <v/>
      </c>
      <c r="N1508" s="27" t="str">
        <f t="shared" si="95"/>
        <v/>
      </c>
    </row>
    <row r="1509" spans="11:14" ht="15" customHeight="1" x14ac:dyDescent="0.25">
      <c r="K1509" s="26" t="str">
        <f t="shared" si="92"/>
        <v/>
      </c>
      <c r="L1509" s="26" t="str">
        <f t="shared" si="93"/>
        <v/>
      </c>
      <c r="M1509" s="26" t="str">
        <f t="shared" si="94"/>
        <v/>
      </c>
      <c r="N1509" s="27" t="str">
        <f t="shared" si="95"/>
        <v/>
      </c>
    </row>
    <row r="1510" spans="11:14" ht="15" customHeight="1" x14ac:dyDescent="0.25">
      <c r="K1510" s="26" t="str">
        <f t="shared" si="92"/>
        <v/>
      </c>
      <c r="L1510" s="26" t="str">
        <f t="shared" si="93"/>
        <v/>
      </c>
      <c r="M1510" s="26" t="str">
        <f t="shared" si="94"/>
        <v/>
      </c>
      <c r="N1510" s="27" t="str">
        <f t="shared" si="95"/>
        <v/>
      </c>
    </row>
    <row r="1511" spans="11:14" ht="15" customHeight="1" x14ac:dyDescent="0.25">
      <c r="K1511" s="26" t="str">
        <f t="shared" si="92"/>
        <v/>
      </c>
      <c r="L1511" s="26" t="str">
        <f t="shared" si="93"/>
        <v/>
      </c>
      <c r="M1511" s="26" t="str">
        <f t="shared" si="94"/>
        <v/>
      </c>
      <c r="N1511" s="27" t="str">
        <f t="shared" si="95"/>
        <v/>
      </c>
    </row>
    <row r="1512" spans="11:14" ht="15" customHeight="1" x14ac:dyDescent="0.25">
      <c r="K1512" s="26" t="str">
        <f t="shared" si="92"/>
        <v/>
      </c>
      <c r="L1512" s="26" t="str">
        <f t="shared" si="93"/>
        <v/>
      </c>
      <c r="M1512" s="26" t="str">
        <f t="shared" si="94"/>
        <v/>
      </c>
      <c r="N1512" s="27" t="str">
        <f t="shared" si="95"/>
        <v/>
      </c>
    </row>
    <row r="1513" spans="11:14" ht="15" customHeight="1" x14ac:dyDescent="0.25">
      <c r="K1513" s="26" t="str">
        <f t="shared" si="92"/>
        <v/>
      </c>
      <c r="L1513" s="26" t="str">
        <f t="shared" si="93"/>
        <v/>
      </c>
      <c r="M1513" s="26" t="str">
        <f t="shared" si="94"/>
        <v/>
      </c>
      <c r="N1513" s="27" t="str">
        <f t="shared" si="95"/>
        <v/>
      </c>
    </row>
    <row r="1514" spans="11:14" ht="15" customHeight="1" x14ac:dyDescent="0.25">
      <c r="K1514" s="26" t="str">
        <f t="shared" si="92"/>
        <v/>
      </c>
      <c r="L1514" s="26" t="str">
        <f t="shared" si="93"/>
        <v/>
      </c>
      <c r="M1514" s="26" t="str">
        <f t="shared" si="94"/>
        <v/>
      </c>
      <c r="N1514" s="27" t="str">
        <f t="shared" si="95"/>
        <v/>
      </c>
    </row>
    <row r="1515" spans="11:14" ht="15" customHeight="1" x14ac:dyDescent="0.25">
      <c r="K1515" s="26" t="str">
        <f t="shared" si="92"/>
        <v/>
      </c>
      <c r="L1515" s="26" t="str">
        <f t="shared" si="93"/>
        <v/>
      </c>
      <c r="M1515" s="26" t="str">
        <f t="shared" si="94"/>
        <v/>
      </c>
      <c r="N1515" s="27" t="str">
        <f t="shared" si="95"/>
        <v/>
      </c>
    </row>
    <row r="1516" spans="11:14" ht="15" customHeight="1" x14ac:dyDescent="0.25">
      <c r="K1516" s="26" t="str">
        <f t="shared" si="92"/>
        <v/>
      </c>
      <c r="L1516" s="26" t="str">
        <f t="shared" si="93"/>
        <v/>
      </c>
      <c r="M1516" s="26" t="str">
        <f t="shared" si="94"/>
        <v/>
      </c>
      <c r="N1516" s="27" t="str">
        <f t="shared" si="95"/>
        <v/>
      </c>
    </row>
    <row r="1517" spans="11:14" ht="15" customHeight="1" x14ac:dyDescent="0.25">
      <c r="K1517" s="26" t="str">
        <f t="shared" si="92"/>
        <v/>
      </c>
      <c r="L1517" s="26" t="str">
        <f t="shared" si="93"/>
        <v/>
      </c>
      <c r="M1517" s="26" t="str">
        <f t="shared" si="94"/>
        <v/>
      </c>
      <c r="N1517" s="27" t="str">
        <f t="shared" si="95"/>
        <v/>
      </c>
    </row>
    <row r="1518" spans="11:14" ht="15" customHeight="1" x14ac:dyDescent="0.25">
      <c r="K1518" s="26" t="str">
        <f t="shared" si="92"/>
        <v/>
      </c>
      <c r="L1518" s="26" t="str">
        <f t="shared" si="93"/>
        <v/>
      </c>
      <c r="M1518" s="26" t="str">
        <f t="shared" si="94"/>
        <v/>
      </c>
      <c r="N1518" s="27" t="str">
        <f t="shared" si="95"/>
        <v/>
      </c>
    </row>
    <row r="1519" spans="11:14" ht="15" customHeight="1" x14ac:dyDescent="0.25">
      <c r="K1519" s="26" t="str">
        <f t="shared" si="92"/>
        <v/>
      </c>
      <c r="L1519" s="26" t="str">
        <f t="shared" si="93"/>
        <v/>
      </c>
      <c r="M1519" s="26" t="str">
        <f t="shared" si="94"/>
        <v/>
      </c>
      <c r="N1519" s="27" t="str">
        <f t="shared" si="95"/>
        <v/>
      </c>
    </row>
    <row r="1520" spans="11:14" ht="15" customHeight="1" x14ac:dyDescent="0.25">
      <c r="K1520" s="26" t="str">
        <f t="shared" si="92"/>
        <v/>
      </c>
      <c r="L1520" s="26" t="str">
        <f t="shared" si="93"/>
        <v/>
      </c>
      <c r="M1520" s="26" t="str">
        <f t="shared" si="94"/>
        <v/>
      </c>
      <c r="N1520" s="27" t="str">
        <f t="shared" si="95"/>
        <v/>
      </c>
    </row>
    <row r="1521" spans="11:14" ht="15" customHeight="1" x14ac:dyDescent="0.25">
      <c r="K1521" s="26" t="str">
        <f t="shared" si="92"/>
        <v/>
      </c>
      <c r="L1521" s="26" t="str">
        <f t="shared" si="93"/>
        <v/>
      </c>
      <c r="M1521" s="26" t="str">
        <f t="shared" si="94"/>
        <v/>
      </c>
      <c r="N1521" s="27" t="str">
        <f t="shared" si="95"/>
        <v/>
      </c>
    </row>
    <row r="1522" spans="11:14" ht="15" customHeight="1" x14ac:dyDescent="0.25">
      <c r="K1522" s="26" t="str">
        <f t="shared" si="92"/>
        <v/>
      </c>
      <c r="L1522" s="26" t="str">
        <f t="shared" si="93"/>
        <v/>
      </c>
      <c r="M1522" s="26" t="str">
        <f t="shared" si="94"/>
        <v/>
      </c>
      <c r="N1522" s="27" t="str">
        <f t="shared" si="95"/>
        <v/>
      </c>
    </row>
    <row r="1523" spans="11:14" ht="15" customHeight="1" x14ac:dyDescent="0.25">
      <c r="K1523" s="26" t="str">
        <f t="shared" si="92"/>
        <v/>
      </c>
      <c r="L1523" s="26" t="str">
        <f t="shared" si="93"/>
        <v/>
      </c>
      <c r="M1523" s="26" t="str">
        <f t="shared" si="94"/>
        <v/>
      </c>
      <c r="N1523" s="27" t="str">
        <f t="shared" si="95"/>
        <v/>
      </c>
    </row>
    <row r="1524" spans="11:14" ht="15" customHeight="1" x14ac:dyDescent="0.25">
      <c r="K1524" s="26" t="str">
        <f t="shared" si="92"/>
        <v/>
      </c>
      <c r="L1524" s="26" t="str">
        <f t="shared" si="93"/>
        <v/>
      </c>
      <c r="M1524" s="26" t="str">
        <f t="shared" si="94"/>
        <v/>
      </c>
      <c r="N1524" s="27" t="str">
        <f t="shared" si="95"/>
        <v/>
      </c>
    </row>
    <row r="1525" spans="11:14" ht="15" customHeight="1" x14ac:dyDescent="0.25">
      <c r="K1525" s="26" t="str">
        <f t="shared" si="92"/>
        <v/>
      </c>
      <c r="L1525" s="26" t="str">
        <f t="shared" si="93"/>
        <v/>
      </c>
      <c r="M1525" s="26" t="str">
        <f t="shared" si="94"/>
        <v/>
      </c>
      <c r="N1525" s="27" t="str">
        <f t="shared" si="95"/>
        <v/>
      </c>
    </row>
    <row r="1526" spans="11:14" ht="15" customHeight="1" x14ac:dyDescent="0.25">
      <c r="K1526" s="26" t="str">
        <f t="shared" si="92"/>
        <v/>
      </c>
      <c r="L1526" s="26" t="str">
        <f t="shared" si="93"/>
        <v/>
      </c>
      <c r="M1526" s="26" t="str">
        <f t="shared" si="94"/>
        <v/>
      </c>
      <c r="N1526" s="27" t="str">
        <f t="shared" si="95"/>
        <v/>
      </c>
    </row>
    <row r="1527" spans="11:14" ht="15" customHeight="1" x14ac:dyDescent="0.25">
      <c r="K1527" s="26" t="str">
        <f t="shared" si="92"/>
        <v/>
      </c>
      <c r="L1527" s="26" t="str">
        <f t="shared" si="93"/>
        <v/>
      </c>
      <c r="M1527" s="26" t="str">
        <f t="shared" si="94"/>
        <v/>
      </c>
      <c r="N1527" s="27" t="str">
        <f t="shared" si="95"/>
        <v/>
      </c>
    </row>
    <row r="1528" spans="11:14" ht="15" customHeight="1" x14ac:dyDescent="0.25">
      <c r="K1528" s="26" t="str">
        <f t="shared" si="92"/>
        <v/>
      </c>
      <c r="L1528" s="26" t="str">
        <f t="shared" si="93"/>
        <v/>
      </c>
      <c r="M1528" s="26" t="str">
        <f t="shared" si="94"/>
        <v/>
      </c>
      <c r="N1528" s="27" t="str">
        <f t="shared" si="95"/>
        <v/>
      </c>
    </row>
    <row r="1529" spans="11:14" ht="15" customHeight="1" x14ac:dyDescent="0.25">
      <c r="K1529" s="26" t="str">
        <f t="shared" si="92"/>
        <v/>
      </c>
      <c r="L1529" s="26" t="str">
        <f t="shared" si="93"/>
        <v/>
      </c>
      <c r="M1529" s="26" t="str">
        <f t="shared" si="94"/>
        <v/>
      </c>
      <c r="N1529" s="27" t="str">
        <f t="shared" si="95"/>
        <v/>
      </c>
    </row>
    <row r="1530" spans="11:14" ht="15" customHeight="1" x14ac:dyDescent="0.25">
      <c r="K1530" s="26" t="str">
        <f t="shared" si="92"/>
        <v/>
      </c>
      <c r="L1530" s="26" t="str">
        <f t="shared" si="93"/>
        <v/>
      </c>
      <c r="M1530" s="26" t="str">
        <f t="shared" si="94"/>
        <v/>
      </c>
      <c r="N1530" s="27" t="str">
        <f t="shared" si="95"/>
        <v/>
      </c>
    </row>
    <row r="1531" spans="11:14" ht="15" customHeight="1" x14ac:dyDescent="0.25">
      <c r="K1531" s="26" t="str">
        <f t="shared" si="92"/>
        <v/>
      </c>
      <c r="L1531" s="26" t="str">
        <f t="shared" si="93"/>
        <v/>
      </c>
      <c r="M1531" s="26" t="str">
        <f t="shared" si="94"/>
        <v/>
      </c>
      <c r="N1531" s="27" t="str">
        <f t="shared" si="95"/>
        <v/>
      </c>
    </row>
    <row r="1532" spans="11:14" ht="15" customHeight="1" x14ac:dyDescent="0.25">
      <c r="K1532" s="26" t="str">
        <f t="shared" si="92"/>
        <v/>
      </c>
      <c r="L1532" s="26" t="str">
        <f t="shared" si="93"/>
        <v/>
      </c>
      <c r="M1532" s="26" t="str">
        <f t="shared" si="94"/>
        <v/>
      </c>
      <c r="N1532" s="27" t="str">
        <f t="shared" si="95"/>
        <v/>
      </c>
    </row>
    <row r="1533" spans="11:14" ht="15" customHeight="1" x14ac:dyDescent="0.25">
      <c r="K1533" s="26" t="str">
        <f t="shared" si="92"/>
        <v/>
      </c>
      <c r="L1533" s="26" t="str">
        <f t="shared" si="93"/>
        <v/>
      </c>
      <c r="M1533" s="26" t="str">
        <f t="shared" si="94"/>
        <v/>
      </c>
      <c r="N1533" s="27" t="str">
        <f t="shared" si="95"/>
        <v/>
      </c>
    </row>
    <row r="1534" spans="11:14" ht="15" customHeight="1" x14ac:dyDescent="0.25">
      <c r="K1534" s="26" t="str">
        <f t="shared" si="92"/>
        <v/>
      </c>
      <c r="L1534" s="26" t="str">
        <f t="shared" si="93"/>
        <v/>
      </c>
      <c r="M1534" s="26" t="str">
        <f t="shared" si="94"/>
        <v/>
      </c>
      <c r="N1534" s="27" t="str">
        <f t="shared" si="95"/>
        <v/>
      </c>
    </row>
    <row r="1535" spans="11:14" ht="15" customHeight="1" x14ac:dyDescent="0.25">
      <c r="K1535" s="26" t="str">
        <f t="shared" si="92"/>
        <v/>
      </c>
      <c r="L1535" s="26" t="str">
        <f t="shared" si="93"/>
        <v/>
      </c>
      <c r="M1535" s="26" t="str">
        <f t="shared" si="94"/>
        <v/>
      </c>
      <c r="N1535" s="27" t="str">
        <f t="shared" si="95"/>
        <v/>
      </c>
    </row>
    <row r="1536" spans="11:14" ht="15" customHeight="1" x14ac:dyDescent="0.25">
      <c r="K1536" s="26" t="str">
        <f t="shared" si="92"/>
        <v/>
      </c>
      <c r="L1536" s="26" t="str">
        <f t="shared" si="93"/>
        <v/>
      </c>
      <c r="M1536" s="26" t="str">
        <f t="shared" si="94"/>
        <v/>
      </c>
      <c r="N1536" s="27" t="str">
        <f t="shared" si="95"/>
        <v/>
      </c>
    </row>
    <row r="1537" spans="11:14" ht="15" customHeight="1" x14ac:dyDescent="0.25">
      <c r="K1537" s="26" t="str">
        <f t="shared" si="92"/>
        <v/>
      </c>
      <c r="L1537" s="26" t="str">
        <f t="shared" si="93"/>
        <v/>
      </c>
      <c r="M1537" s="26" t="str">
        <f t="shared" si="94"/>
        <v/>
      </c>
      <c r="N1537" s="27" t="str">
        <f t="shared" si="95"/>
        <v/>
      </c>
    </row>
    <row r="1538" spans="11:14" ht="15" customHeight="1" x14ac:dyDescent="0.25">
      <c r="K1538" s="26" t="str">
        <f t="shared" si="92"/>
        <v/>
      </c>
      <c r="L1538" s="26" t="str">
        <f t="shared" si="93"/>
        <v/>
      </c>
      <c r="M1538" s="26" t="str">
        <f t="shared" si="94"/>
        <v/>
      </c>
      <c r="N1538" s="27" t="str">
        <f t="shared" si="95"/>
        <v/>
      </c>
    </row>
    <row r="1539" spans="11:14" ht="15" customHeight="1" x14ac:dyDescent="0.25">
      <c r="K1539" s="26" t="str">
        <f t="shared" si="92"/>
        <v/>
      </c>
      <c r="L1539" s="26" t="str">
        <f t="shared" si="93"/>
        <v/>
      </c>
      <c r="M1539" s="26" t="str">
        <f t="shared" si="94"/>
        <v/>
      </c>
      <c r="N1539" s="27" t="str">
        <f t="shared" si="95"/>
        <v/>
      </c>
    </row>
    <row r="1540" spans="11:14" ht="15" customHeight="1" x14ac:dyDescent="0.25">
      <c r="K1540" s="26" t="str">
        <f t="shared" si="92"/>
        <v/>
      </c>
      <c r="L1540" s="26" t="str">
        <f t="shared" si="93"/>
        <v/>
      </c>
      <c r="M1540" s="26" t="str">
        <f t="shared" si="94"/>
        <v/>
      </c>
      <c r="N1540" s="27" t="str">
        <f t="shared" si="95"/>
        <v/>
      </c>
    </row>
    <row r="1541" spans="11:14" ht="15" customHeight="1" x14ac:dyDescent="0.25">
      <c r="K1541" s="26" t="str">
        <f t="shared" ref="K1541:K1604" si="96">IF(H1541="","",(H1541-G1541)/G1541)</f>
        <v/>
      </c>
      <c r="L1541" s="26" t="str">
        <f t="shared" ref="L1541:L1604" si="97">IF(I1541="","",(I1541-G1541)/G1541)</f>
        <v/>
      </c>
      <c r="M1541" s="26" t="str">
        <f t="shared" ref="M1541:M1604" si="98">IF(J1541="","",(J1541-G1541)/G1541)</f>
        <v/>
      </c>
      <c r="N1541" s="27" t="str">
        <f t="shared" ref="N1541:N1604" si="99">IF(H1541="","",IF(D1541="HOLD",IF(ABS(K1541)&lt;0.03,"YES","NO"),IF(D1541="BUY",IF(K1541&gt;0,"YES","NO"),IF(D1541="SELL",IF(K1541&lt;0,"YES","NO"),""))))</f>
        <v/>
      </c>
    </row>
    <row r="1542" spans="11:14" ht="15" customHeight="1" x14ac:dyDescent="0.25">
      <c r="K1542" s="26" t="str">
        <f t="shared" si="96"/>
        <v/>
      </c>
      <c r="L1542" s="26" t="str">
        <f t="shared" si="97"/>
        <v/>
      </c>
      <c r="M1542" s="26" t="str">
        <f t="shared" si="98"/>
        <v/>
      </c>
      <c r="N1542" s="27" t="str">
        <f t="shared" si="99"/>
        <v/>
      </c>
    </row>
    <row r="1543" spans="11:14" ht="15" customHeight="1" x14ac:dyDescent="0.25">
      <c r="K1543" s="26" t="str">
        <f t="shared" si="96"/>
        <v/>
      </c>
      <c r="L1543" s="26" t="str">
        <f t="shared" si="97"/>
        <v/>
      </c>
      <c r="M1543" s="26" t="str">
        <f t="shared" si="98"/>
        <v/>
      </c>
      <c r="N1543" s="27" t="str">
        <f t="shared" si="99"/>
        <v/>
      </c>
    </row>
    <row r="1544" spans="11:14" ht="15" customHeight="1" x14ac:dyDescent="0.25">
      <c r="K1544" s="26" t="str">
        <f t="shared" si="96"/>
        <v/>
      </c>
      <c r="L1544" s="26" t="str">
        <f t="shared" si="97"/>
        <v/>
      </c>
      <c r="M1544" s="26" t="str">
        <f t="shared" si="98"/>
        <v/>
      </c>
      <c r="N1544" s="27" t="str">
        <f t="shared" si="99"/>
        <v/>
      </c>
    </row>
    <row r="1545" spans="11:14" ht="15" customHeight="1" x14ac:dyDescent="0.25">
      <c r="K1545" s="26" t="str">
        <f t="shared" si="96"/>
        <v/>
      </c>
      <c r="L1545" s="26" t="str">
        <f t="shared" si="97"/>
        <v/>
      </c>
      <c r="M1545" s="26" t="str">
        <f t="shared" si="98"/>
        <v/>
      </c>
      <c r="N1545" s="27" t="str">
        <f t="shared" si="99"/>
        <v/>
      </c>
    </row>
    <row r="1546" spans="11:14" ht="15" customHeight="1" x14ac:dyDescent="0.25">
      <c r="K1546" s="26" t="str">
        <f t="shared" si="96"/>
        <v/>
      </c>
      <c r="L1546" s="26" t="str">
        <f t="shared" si="97"/>
        <v/>
      </c>
      <c r="M1546" s="26" t="str">
        <f t="shared" si="98"/>
        <v/>
      </c>
      <c r="N1546" s="27" t="str">
        <f t="shared" si="99"/>
        <v/>
      </c>
    </row>
    <row r="1547" spans="11:14" ht="15" customHeight="1" x14ac:dyDescent="0.25">
      <c r="K1547" s="26" t="str">
        <f t="shared" si="96"/>
        <v/>
      </c>
      <c r="L1547" s="26" t="str">
        <f t="shared" si="97"/>
        <v/>
      </c>
      <c r="M1547" s="26" t="str">
        <f t="shared" si="98"/>
        <v/>
      </c>
      <c r="N1547" s="27" t="str">
        <f t="shared" si="99"/>
        <v/>
      </c>
    </row>
    <row r="1548" spans="11:14" ht="15" customHeight="1" x14ac:dyDescent="0.25">
      <c r="K1548" s="26" t="str">
        <f t="shared" si="96"/>
        <v/>
      </c>
      <c r="L1548" s="26" t="str">
        <f t="shared" si="97"/>
        <v/>
      </c>
      <c r="M1548" s="26" t="str">
        <f t="shared" si="98"/>
        <v/>
      </c>
      <c r="N1548" s="27" t="str">
        <f t="shared" si="99"/>
        <v/>
      </c>
    </row>
    <row r="1549" spans="11:14" ht="15" customHeight="1" x14ac:dyDescent="0.25">
      <c r="K1549" s="26" t="str">
        <f t="shared" si="96"/>
        <v/>
      </c>
      <c r="L1549" s="26" t="str">
        <f t="shared" si="97"/>
        <v/>
      </c>
      <c r="M1549" s="26" t="str">
        <f t="shared" si="98"/>
        <v/>
      </c>
      <c r="N1549" s="27" t="str">
        <f t="shared" si="99"/>
        <v/>
      </c>
    </row>
    <row r="1550" spans="11:14" ht="15" customHeight="1" x14ac:dyDescent="0.25">
      <c r="K1550" s="26" t="str">
        <f t="shared" si="96"/>
        <v/>
      </c>
      <c r="L1550" s="26" t="str">
        <f t="shared" si="97"/>
        <v/>
      </c>
      <c r="M1550" s="26" t="str">
        <f t="shared" si="98"/>
        <v/>
      </c>
      <c r="N1550" s="27" t="str">
        <f t="shared" si="99"/>
        <v/>
      </c>
    </row>
    <row r="1551" spans="11:14" ht="15" customHeight="1" x14ac:dyDescent="0.25">
      <c r="K1551" s="26" t="str">
        <f t="shared" si="96"/>
        <v/>
      </c>
      <c r="L1551" s="26" t="str">
        <f t="shared" si="97"/>
        <v/>
      </c>
      <c r="M1551" s="26" t="str">
        <f t="shared" si="98"/>
        <v/>
      </c>
      <c r="N1551" s="27" t="str">
        <f t="shared" si="99"/>
        <v/>
      </c>
    </row>
    <row r="1552" spans="11:14" ht="15" customHeight="1" x14ac:dyDescent="0.25">
      <c r="K1552" s="26" t="str">
        <f t="shared" si="96"/>
        <v/>
      </c>
      <c r="L1552" s="26" t="str">
        <f t="shared" si="97"/>
        <v/>
      </c>
      <c r="M1552" s="26" t="str">
        <f t="shared" si="98"/>
        <v/>
      </c>
      <c r="N1552" s="27" t="str">
        <f t="shared" si="99"/>
        <v/>
      </c>
    </row>
    <row r="1553" spans="11:14" ht="15" customHeight="1" x14ac:dyDescent="0.25">
      <c r="K1553" s="26" t="str">
        <f t="shared" si="96"/>
        <v/>
      </c>
      <c r="L1553" s="26" t="str">
        <f t="shared" si="97"/>
        <v/>
      </c>
      <c r="M1553" s="26" t="str">
        <f t="shared" si="98"/>
        <v/>
      </c>
      <c r="N1553" s="27" t="str">
        <f t="shared" si="99"/>
        <v/>
      </c>
    </row>
    <row r="1554" spans="11:14" ht="15" customHeight="1" x14ac:dyDescent="0.25">
      <c r="K1554" s="26" t="str">
        <f t="shared" si="96"/>
        <v/>
      </c>
      <c r="L1554" s="26" t="str">
        <f t="shared" si="97"/>
        <v/>
      </c>
      <c r="M1554" s="26" t="str">
        <f t="shared" si="98"/>
        <v/>
      </c>
      <c r="N1554" s="27" t="str">
        <f t="shared" si="99"/>
        <v/>
      </c>
    </row>
    <row r="1555" spans="11:14" ht="15" customHeight="1" x14ac:dyDescent="0.25">
      <c r="K1555" s="26" t="str">
        <f t="shared" si="96"/>
        <v/>
      </c>
      <c r="L1555" s="26" t="str">
        <f t="shared" si="97"/>
        <v/>
      </c>
      <c r="M1555" s="26" t="str">
        <f t="shared" si="98"/>
        <v/>
      </c>
      <c r="N1555" s="27" t="str">
        <f t="shared" si="99"/>
        <v/>
      </c>
    </row>
    <row r="1556" spans="11:14" ht="15" customHeight="1" x14ac:dyDescent="0.25">
      <c r="K1556" s="26" t="str">
        <f t="shared" si="96"/>
        <v/>
      </c>
      <c r="L1556" s="26" t="str">
        <f t="shared" si="97"/>
        <v/>
      </c>
      <c r="M1556" s="26" t="str">
        <f t="shared" si="98"/>
        <v/>
      </c>
      <c r="N1556" s="27" t="str">
        <f t="shared" si="99"/>
        <v/>
      </c>
    </row>
    <row r="1557" spans="11:14" ht="15" customHeight="1" x14ac:dyDescent="0.25">
      <c r="K1557" s="26" t="str">
        <f t="shared" si="96"/>
        <v/>
      </c>
      <c r="L1557" s="26" t="str">
        <f t="shared" si="97"/>
        <v/>
      </c>
      <c r="M1557" s="26" t="str">
        <f t="shared" si="98"/>
        <v/>
      </c>
      <c r="N1557" s="27" t="str">
        <f t="shared" si="99"/>
        <v/>
      </c>
    </row>
    <row r="1558" spans="11:14" ht="15" customHeight="1" x14ac:dyDescent="0.25">
      <c r="K1558" s="26" t="str">
        <f t="shared" si="96"/>
        <v/>
      </c>
      <c r="L1558" s="26" t="str">
        <f t="shared" si="97"/>
        <v/>
      </c>
      <c r="M1558" s="26" t="str">
        <f t="shared" si="98"/>
        <v/>
      </c>
      <c r="N1558" s="27" t="str">
        <f t="shared" si="99"/>
        <v/>
      </c>
    </row>
    <row r="1559" spans="11:14" ht="15" customHeight="1" x14ac:dyDescent="0.25">
      <c r="K1559" s="26" t="str">
        <f t="shared" si="96"/>
        <v/>
      </c>
      <c r="L1559" s="26" t="str">
        <f t="shared" si="97"/>
        <v/>
      </c>
      <c r="M1559" s="26" t="str">
        <f t="shared" si="98"/>
        <v/>
      </c>
      <c r="N1559" s="27" t="str">
        <f t="shared" si="99"/>
        <v/>
      </c>
    </row>
    <row r="1560" spans="11:14" ht="15" customHeight="1" x14ac:dyDescent="0.25">
      <c r="K1560" s="26" t="str">
        <f t="shared" si="96"/>
        <v/>
      </c>
      <c r="L1560" s="26" t="str">
        <f t="shared" si="97"/>
        <v/>
      </c>
      <c r="M1560" s="26" t="str">
        <f t="shared" si="98"/>
        <v/>
      </c>
      <c r="N1560" s="27" t="str">
        <f t="shared" si="99"/>
        <v/>
      </c>
    </row>
    <row r="1561" spans="11:14" ht="15" customHeight="1" x14ac:dyDescent="0.25">
      <c r="K1561" s="26" t="str">
        <f t="shared" si="96"/>
        <v/>
      </c>
      <c r="L1561" s="26" t="str">
        <f t="shared" si="97"/>
        <v/>
      </c>
      <c r="M1561" s="26" t="str">
        <f t="shared" si="98"/>
        <v/>
      </c>
      <c r="N1561" s="27" t="str">
        <f t="shared" si="99"/>
        <v/>
      </c>
    </row>
    <row r="1562" spans="11:14" ht="15" customHeight="1" x14ac:dyDescent="0.25">
      <c r="K1562" s="26" t="str">
        <f t="shared" si="96"/>
        <v/>
      </c>
      <c r="L1562" s="26" t="str">
        <f t="shared" si="97"/>
        <v/>
      </c>
      <c r="M1562" s="26" t="str">
        <f t="shared" si="98"/>
        <v/>
      </c>
      <c r="N1562" s="27" t="str">
        <f t="shared" si="99"/>
        <v/>
      </c>
    </row>
    <row r="1563" spans="11:14" ht="15" customHeight="1" x14ac:dyDescent="0.25">
      <c r="K1563" s="26" t="str">
        <f t="shared" si="96"/>
        <v/>
      </c>
      <c r="L1563" s="26" t="str">
        <f t="shared" si="97"/>
        <v/>
      </c>
      <c r="M1563" s="26" t="str">
        <f t="shared" si="98"/>
        <v/>
      </c>
      <c r="N1563" s="27" t="str">
        <f t="shared" si="99"/>
        <v/>
      </c>
    </row>
    <row r="1564" spans="11:14" ht="15" customHeight="1" x14ac:dyDescent="0.25">
      <c r="K1564" s="26" t="str">
        <f t="shared" si="96"/>
        <v/>
      </c>
      <c r="L1564" s="26" t="str">
        <f t="shared" si="97"/>
        <v/>
      </c>
      <c r="M1564" s="26" t="str">
        <f t="shared" si="98"/>
        <v/>
      </c>
      <c r="N1564" s="27" t="str">
        <f t="shared" si="99"/>
        <v/>
      </c>
    </row>
    <row r="1565" spans="11:14" ht="15" customHeight="1" x14ac:dyDescent="0.25">
      <c r="K1565" s="26" t="str">
        <f t="shared" si="96"/>
        <v/>
      </c>
      <c r="L1565" s="26" t="str">
        <f t="shared" si="97"/>
        <v/>
      </c>
      <c r="M1565" s="26" t="str">
        <f t="shared" si="98"/>
        <v/>
      </c>
      <c r="N1565" s="27" t="str">
        <f t="shared" si="99"/>
        <v/>
      </c>
    </row>
    <row r="1566" spans="11:14" ht="15" customHeight="1" x14ac:dyDescent="0.25">
      <c r="K1566" s="26" t="str">
        <f t="shared" si="96"/>
        <v/>
      </c>
      <c r="L1566" s="26" t="str">
        <f t="shared" si="97"/>
        <v/>
      </c>
      <c r="M1566" s="26" t="str">
        <f t="shared" si="98"/>
        <v/>
      </c>
      <c r="N1566" s="27" t="str">
        <f t="shared" si="99"/>
        <v/>
      </c>
    </row>
    <row r="1567" spans="11:14" ht="15" customHeight="1" x14ac:dyDescent="0.25">
      <c r="K1567" s="26" t="str">
        <f t="shared" si="96"/>
        <v/>
      </c>
      <c r="L1567" s="26" t="str">
        <f t="shared" si="97"/>
        <v/>
      </c>
      <c r="M1567" s="26" t="str">
        <f t="shared" si="98"/>
        <v/>
      </c>
      <c r="N1567" s="27" t="str">
        <f t="shared" si="99"/>
        <v/>
      </c>
    </row>
    <row r="1568" spans="11:14" ht="15" customHeight="1" x14ac:dyDescent="0.25">
      <c r="K1568" s="26" t="str">
        <f t="shared" si="96"/>
        <v/>
      </c>
      <c r="L1568" s="26" t="str">
        <f t="shared" si="97"/>
        <v/>
      </c>
      <c r="M1568" s="26" t="str">
        <f t="shared" si="98"/>
        <v/>
      </c>
      <c r="N1568" s="27" t="str">
        <f t="shared" si="99"/>
        <v/>
      </c>
    </row>
    <row r="1569" spans="11:14" ht="15" customHeight="1" x14ac:dyDescent="0.25">
      <c r="K1569" s="26" t="str">
        <f t="shared" si="96"/>
        <v/>
      </c>
      <c r="L1569" s="26" t="str">
        <f t="shared" si="97"/>
        <v/>
      </c>
      <c r="M1569" s="26" t="str">
        <f t="shared" si="98"/>
        <v/>
      </c>
      <c r="N1569" s="27" t="str">
        <f t="shared" si="99"/>
        <v/>
      </c>
    </row>
    <row r="1570" spans="11:14" ht="15" customHeight="1" x14ac:dyDescent="0.25">
      <c r="K1570" s="26" t="str">
        <f t="shared" si="96"/>
        <v/>
      </c>
      <c r="L1570" s="26" t="str">
        <f t="shared" si="97"/>
        <v/>
      </c>
      <c r="M1570" s="26" t="str">
        <f t="shared" si="98"/>
        <v/>
      </c>
      <c r="N1570" s="27" t="str">
        <f t="shared" si="99"/>
        <v/>
      </c>
    </row>
    <row r="1571" spans="11:14" ht="15" customHeight="1" x14ac:dyDescent="0.25">
      <c r="K1571" s="26" t="str">
        <f t="shared" si="96"/>
        <v/>
      </c>
      <c r="L1571" s="26" t="str">
        <f t="shared" si="97"/>
        <v/>
      </c>
      <c r="M1571" s="26" t="str">
        <f t="shared" si="98"/>
        <v/>
      </c>
      <c r="N1571" s="27" t="str">
        <f t="shared" si="99"/>
        <v/>
      </c>
    </row>
    <row r="1572" spans="11:14" ht="15" customHeight="1" x14ac:dyDescent="0.25">
      <c r="K1572" s="26" t="str">
        <f t="shared" si="96"/>
        <v/>
      </c>
      <c r="L1572" s="26" t="str">
        <f t="shared" si="97"/>
        <v/>
      </c>
      <c r="M1572" s="26" t="str">
        <f t="shared" si="98"/>
        <v/>
      </c>
      <c r="N1572" s="27" t="str">
        <f t="shared" si="99"/>
        <v/>
      </c>
    </row>
    <row r="1573" spans="11:14" ht="15" customHeight="1" x14ac:dyDescent="0.25">
      <c r="K1573" s="26" t="str">
        <f t="shared" si="96"/>
        <v/>
      </c>
      <c r="L1573" s="26" t="str">
        <f t="shared" si="97"/>
        <v/>
      </c>
      <c r="M1573" s="26" t="str">
        <f t="shared" si="98"/>
        <v/>
      </c>
      <c r="N1573" s="27" t="str">
        <f t="shared" si="99"/>
        <v/>
      </c>
    </row>
    <row r="1574" spans="11:14" ht="15" customHeight="1" x14ac:dyDescent="0.25">
      <c r="K1574" s="26" t="str">
        <f t="shared" si="96"/>
        <v/>
      </c>
      <c r="L1574" s="26" t="str">
        <f t="shared" si="97"/>
        <v/>
      </c>
      <c r="M1574" s="26" t="str">
        <f t="shared" si="98"/>
        <v/>
      </c>
      <c r="N1574" s="27" t="str">
        <f t="shared" si="99"/>
        <v/>
      </c>
    </row>
    <row r="1575" spans="11:14" ht="15" customHeight="1" x14ac:dyDescent="0.25">
      <c r="K1575" s="26" t="str">
        <f t="shared" si="96"/>
        <v/>
      </c>
      <c r="L1575" s="26" t="str">
        <f t="shared" si="97"/>
        <v/>
      </c>
      <c r="M1575" s="26" t="str">
        <f t="shared" si="98"/>
        <v/>
      </c>
      <c r="N1575" s="27" t="str">
        <f t="shared" si="99"/>
        <v/>
      </c>
    </row>
    <row r="1576" spans="11:14" ht="15" customHeight="1" x14ac:dyDescent="0.25">
      <c r="K1576" s="26" t="str">
        <f t="shared" si="96"/>
        <v/>
      </c>
      <c r="L1576" s="26" t="str">
        <f t="shared" si="97"/>
        <v/>
      </c>
      <c r="M1576" s="26" t="str">
        <f t="shared" si="98"/>
        <v/>
      </c>
      <c r="N1576" s="27" t="str">
        <f t="shared" si="99"/>
        <v/>
      </c>
    </row>
    <row r="1577" spans="11:14" ht="15" customHeight="1" x14ac:dyDescent="0.25">
      <c r="K1577" s="26" t="str">
        <f t="shared" si="96"/>
        <v/>
      </c>
      <c r="L1577" s="26" t="str">
        <f t="shared" si="97"/>
        <v/>
      </c>
      <c r="M1577" s="26" t="str">
        <f t="shared" si="98"/>
        <v/>
      </c>
      <c r="N1577" s="27" t="str">
        <f t="shared" si="99"/>
        <v/>
      </c>
    </row>
    <row r="1578" spans="11:14" ht="15" customHeight="1" x14ac:dyDescent="0.25">
      <c r="K1578" s="26" t="str">
        <f t="shared" si="96"/>
        <v/>
      </c>
      <c r="L1578" s="26" t="str">
        <f t="shared" si="97"/>
        <v/>
      </c>
      <c r="M1578" s="26" t="str">
        <f t="shared" si="98"/>
        <v/>
      </c>
      <c r="N1578" s="27" t="str">
        <f t="shared" si="99"/>
        <v/>
      </c>
    </row>
    <row r="1579" spans="11:14" ht="15" customHeight="1" x14ac:dyDescent="0.25">
      <c r="K1579" s="26" t="str">
        <f t="shared" si="96"/>
        <v/>
      </c>
      <c r="L1579" s="26" t="str">
        <f t="shared" si="97"/>
        <v/>
      </c>
      <c r="M1579" s="26" t="str">
        <f t="shared" si="98"/>
        <v/>
      </c>
      <c r="N1579" s="27" t="str">
        <f t="shared" si="99"/>
        <v/>
      </c>
    </row>
    <row r="1580" spans="11:14" ht="15" customHeight="1" x14ac:dyDescent="0.25">
      <c r="K1580" s="26" t="str">
        <f t="shared" si="96"/>
        <v/>
      </c>
      <c r="L1580" s="26" t="str">
        <f t="shared" si="97"/>
        <v/>
      </c>
      <c r="M1580" s="26" t="str">
        <f t="shared" si="98"/>
        <v/>
      </c>
      <c r="N1580" s="27" t="str">
        <f t="shared" si="99"/>
        <v/>
      </c>
    </row>
    <row r="1581" spans="11:14" ht="15" customHeight="1" x14ac:dyDescent="0.25">
      <c r="K1581" s="26" t="str">
        <f t="shared" si="96"/>
        <v/>
      </c>
      <c r="L1581" s="26" t="str">
        <f t="shared" si="97"/>
        <v/>
      </c>
      <c r="M1581" s="26" t="str">
        <f t="shared" si="98"/>
        <v/>
      </c>
      <c r="N1581" s="27" t="str">
        <f t="shared" si="99"/>
        <v/>
      </c>
    </row>
    <row r="1582" spans="11:14" ht="15" customHeight="1" x14ac:dyDescent="0.25">
      <c r="K1582" s="26" t="str">
        <f t="shared" si="96"/>
        <v/>
      </c>
      <c r="L1582" s="26" t="str">
        <f t="shared" si="97"/>
        <v/>
      </c>
      <c r="M1582" s="26" t="str">
        <f t="shared" si="98"/>
        <v/>
      </c>
      <c r="N1582" s="27" t="str">
        <f t="shared" si="99"/>
        <v/>
      </c>
    </row>
    <row r="1583" spans="11:14" ht="15" customHeight="1" x14ac:dyDescent="0.25">
      <c r="K1583" s="26" t="str">
        <f t="shared" si="96"/>
        <v/>
      </c>
      <c r="L1583" s="26" t="str">
        <f t="shared" si="97"/>
        <v/>
      </c>
      <c r="M1583" s="26" t="str">
        <f t="shared" si="98"/>
        <v/>
      </c>
      <c r="N1583" s="27" t="str">
        <f t="shared" si="99"/>
        <v/>
      </c>
    </row>
    <row r="1584" spans="11:14" ht="15" customHeight="1" x14ac:dyDescent="0.25">
      <c r="K1584" s="26" t="str">
        <f t="shared" si="96"/>
        <v/>
      </c>
      <c r="L1584" s="26" t="str">
        <f t="shared" si="97"/>
        <v/>
      </c>
      <c r="M1584" s="26" t="str">
        <f t="shared" si="98"/>
        <v/>
      </c>
      <c r="N1584" s="27" t="str">
        <f t="shared" si="99"/>
        <v/>
      </c>
    </row>
    <row r="1585" spans="11:14" ht="15" customHeight="1" x14ac:dyDescent="0.25">
      <c r="K1585" s="26" t="str">
        <f t="shared" si="96"/>
        <v/>
      </c>
      <c r="L1585" s="26" t="str">
        <f t="shared" si="97"/>
        <v/>
      </c>
      <c r="M1585" s="26" t="str">
        <f t="shared" si="98"/>
        <v/>
      </c>
      <c r="N1585" s="27" t="str">
        <f t="shared" si="99"/>
        <v/>
      </c>
    </row>
    <row r="1586" spans="11:14" ht="15" customHeight="1" x14ac:dyDescent="0.25">
      <c r="K1586" s="26" t="str">
        <f t="shared" si="96"/>
        <v/>
      </c>
      <c r="L1586" s="26" t="str">
        <f t="shared" si="97"/>
        <v/>
      </c>
      <c r="M1586" s="26" t="str">
        <f t="shared" si="98"/>
        <v/>
      </c>
      <c r="N1586" s="27" t="str">
        <f t="shared" si="99"/>
        <v/>
      </c>
    </row>
    <row r="1587" spans="11:14" ht="15" customHeight="1" x14ac:dyDescent="0.25">
      <c r="K1587" s="26" t="str">
        <f t="shared" si="96"/>
        <v/>
      </c>
      <c r="L1587" s="26" t="str">
        <f t="shared" si="97"/>
        <v/>
      </c>
      <c r="M1587" s="26" t="str">
        <f t="shared" si="98"/>
        <v/>
      </c>
      <c r="N1587" s="27" t="str">
        <f t="shared" si="99"/>
        <v/>
      </c>
    </row>
    <row r="1588" spans="11:14" ht="15" customHeight="1" x14ac:dyDescent="0.25">
      <c r="K1588" s="26" t="str">
        <f t="shared" si="96"/>
        <v/>
      </c>
      <c r="L1588" s="26" t="str">
        <f t="shared" si="97"/>
        <v/>
      </c>
      <c r="M1588" s="26" t="str">
        <f t="shared" si="98"/>
        <v/>
      </c>
      <c r="N1588" s="27" t="str">
        <f t="shared" si="99"/>
        <v/>
      </c>
    </row>
    <row r="1589" spans="11:14" ht="15" customHeight="1" x14ac:dyDescent="0.25">
      <c r="K1589" s="26" t="str">
        <f t="shared" si="96"/>
        <v/>
      </c>
      <c r="L1589" s="26" t="str">
        <f t="shared" si="97"/>
        <v/>
      </c>
      <c r="M1589" s="26" t="str">
        <f t="shared" si="98"/>
        <v/>
      </c>
      <c r="N1589" s="27" t="str">
        <f t="shared" si="99"/>
        <v/>
      </c>
    </row>
    <row r="1590" spans="11:14" ht="15" customHeight="1" x14ac:dyDescent="0.25">
      <c r="K1590" s="26" t="str">
        <f t="shared" si="96"/>
        <v/>
      </c>
      <c r="L1590" s="26" t="str">
        <f t="shared" si="97"/>
        <v/>
      </c>
      <c r="M1590" s="26" t="str">
        <f t="shared" si="98"/>
        <v/>
      </c>
      <c r="N1590" s="27" t="str">
        <f t="shared" si="99"/>
        <v/>
      </c>
    </row>
    <row r="1591" spans="11:14" ht="15" customHeight="1" x14ac:dyDescent="0.25">
      <c r="K1591" s="26" t="str">
        <f t="shared" si="96"/>
        <v/>
      </c>
      <c r="L1591" s="26" t="str">
        <f t="shared" si="97"/>
        <v/>
      </c>
      <c r="M1591" s="26" t="str">
        <f t="shared" si="98"/>
        <v/>
      </c>
      <c r="N1591" s="27" t="str">
        <f t="shared" si="99"/>
        <v/>
      </c>
    </row>
    <row r="1592" spans="11:14" ht="15" customHeight="1" x14ac:dyDescent="0.25">
      <c r="K1592" s="26" t="str">
        <f t="shared" si="96"/>
        <v/>
      </c>
      <c r="L1592" s="26" t="str">
        <f t="shared" si="97"/>
        <v/>
      </c>
      <c r="M1592" s="26" t="str">
        <f t="shared" si="98"/>
        <v/>
      </c>
      <c r="N1592" s="27" t="str">
        <f t="shared" si="99"/>
        <v/>
      </c>
    </row>
    <row r="1593" spans="11:14" ht="15" customHeight="1" x14ac:dyDescent="0.25">
      <c r="K1593" s="26" t="str">
        <f t="shared" si="96"/>
        <v/>
      </c>
      <c r="L1593" s="26" t="str">
        <f t="shared" si="97"/>
        <v/>
      </c>
      <c r="M1593" s="26" t="str">
        <f t="shared" si="98"/>
        <v/>
      </c>
      <c r="N1593" s="27" t="str">
        <f t="shared" si="99"/>
        <v/>
      </c>
    </row>
    <row r="1594" spans="11:14" ht="15" customHeight="1" x14ac:dyDescent="0.25">
      <c r="K1594" s="26" t="str">
        <f t="shared" si="96"/>
        <v/>
      </c>
      <c r="L1594" s="26" t="str">
        <f t="shared" si="97"/>
        <v/>
      </c>
      <c r="M1594" s="26" t="str">
        <f t="shared" si="98"/>
        <v/>
      </c>
      <c r="N1594" s="27" t="str">
        <f t="shared" si="99"/>
        <v/>
      </c>
    </row>
    <row r="1595" spans="11:14" ht="15" customHeight="1" x14ac:dyDescent="0.25">
      <c r="K1595" s="26" t="str">
        <f t="shared" si="96"/>
        <v/>
      </c>
      <c r="L1595" s="26" t="str">
        <f t="shared" si="97"/>
        <v/>
      </c>
      <c r="M1595" s="26" t="str">
        <f t="shared" si="98"/>
        <v/>
      </c>
      <c r="N1595" s="27" t="str">
        <f t="shared" si="99"/>
        <v/>
      </c>
    </row>
    <row r="1596" spans="11:14" ht="15" customHeight="1" x14ac:dyDescent="0.25">
      <c r="K1596" s="26" t="str">
        <f t="shared" si="96"/>
        <v/>
      </c>
      <c r="L1596" s="26" t="str">
        <f t="shared" si="97"/>
        <v/>
      </c>
      <c r="M1596" s="26" t="str">
        <f t="shared" si="98"/>
        <v/>
      </c>
      <c r="N1596" s="27" t="str">
        <f t="shared" si="99"/>
        <v/>
      </c>
    </row>
    <row r="1597" spans="11:14" ht="15" customHeight="1" x14ac:dyDescent="0.25">
      <c r="K1597" s="26" t="str">
        <f t="shared" si="96"/>
        <v/>
      </c>
      <c r="L1597" s="26" t="str">
        <f t="shared" si="97"/>
        <v/>
      </c>
      <c r="M1597" s="26" t="str">
        <f t="shared" si="98"/>
        <v/>
      </c>
      <c r="N1597" s="27" t="str">
        <f t="shared" si="99"/>
        <v/>
      </c>
    </row>
    <row r="1598" spans="11:14" ht="15" customHeight="1" x14ac:dyDescent="0.25">
      <c r="K1598" s="26" t="str">
        <f t="shared" si="96"/>
        <v/>
      </c>
      <c r="L1598" s="26" t="str">
        <f t="shared" si="97"/>
        <v/>
      </c>
      <c r="M1598" s="26" t="str">
        <f t="shared" si="98"/>
        <v/>
      </c>
      <c r="N1598" s="27" t="str">
        <f t="shared" si="99"/>
        <v/>
      </c>
    </row>
    <row r="1599" spans="11:14" ht="15" customHeight="1" x14ac:dyDescent="0.25">
      <c r="K1599" s="26" t="str">
        <f t="shared" si="96"/>
        <v/>
      </c>
      <c r="L1599" s="26" t="str">
        <f t="shared" si="97"/>
        <v/>
      </c>
      <c r="M1599" s="26" t="str">
        <f t="shared" si="98"/>
        <v/>
      </c>
      <c r="N1599" s="27" t="str">
        <f t="shared" si="99"/>
        <v/>
      </c>
    </row>
    <row r="1600" spans="11:14" ht="15" customHeight="1" x14ac:dyDescent="0.25">
      <c r="K1600" s="26" t="str">
        <f t="shared" si="96"/>
        <v/>
      </c>
      <c r="L1600" s="26" t="str">
        <f t="shared" si="97"/>
        <v/>
      </c>
      <c r="M1600" s="26" t="str">
        <f t="shared" si="98"/>
        <v/>
      </c>
      <c r="N1600" s="27" t="str">
        <f t="shared" si="99"/>
        <v/>
      </c>
    </row>
    <row r="1601" spans="11:14" ht="15" customHeight="1" x14ac:dyDescent="0.25">
      <c r="K1601" s="26" t="str">
        <f t="shared" si="96"/>
        <v/>
      </c>
      <c r="L1601" s="26" t="str">
        <f t="shared" si="97"/>
        <v/>
      </c>
      <c r="M1601" s="26" t="str">
        <f t="shared" si="98"/>
        <v/>
      </c>
      <c r="N1601" s="27" t="str">
        <f t="shared" si="99"/>
        <v/>
      </c>
    </row>
    <row r="1602" spans="11:14" ht="15" customHeight="1" x14ac:dyDescent="0.25">
      <c r="K1602" s="26" t="str">
        <f t="shared" si="96"/>
        <v/>
      </c>
      <c r="L1602" s="26" t="str">
        <f t="shared" si="97"/>
        <v/>
      </c>
      <c r="M1602" s="26" t="str">
        <f t="shared" si="98"/>
        <v/>
      </c>
      <c r="N1602" s="27" t="str">
        <f t="shared" si="99"/>
        <v/>
      </c>
    </row>
    <row r="1603" spans="11:14" ht="15" customHeight="1" x14ac:dyDescent="0.25">
      <c r="K1603" s="26" t="str">
        <f t="shared" si="96"/>
        <v/>
      </c>
      <c r="L1603" s="26" t="str">
        <f t="shared" si="97"/>
        <v/>
      </c>
      <c r="M1603" s="26" t="str">
        <f t="shared" si="98"/>
        <v/>
      </c>
      <c r="N1603" s="27" t="str">
        <f t="shared" si="99"/>
        <v/>
      </c>
    </row>
    <row r="1604" spans="11:14" ht="15" customHeight="1" x14ac:dyDescent="0.25">
      <c r="K1604" s="26" t="str">
        <f t="shared" si="96"/>
        <v/>
      </c>
      <c r="L1604" s="26" t="str">
        <f t="shared" si="97"/>
        <v/>
      </c>
      <c r="M1604" s="26" t="str">
        <f t="shared" si="98"/>
        <v/>
      </c>
      <c r="N1604" s="27" t="str">
        <f t="shared" si="99"/>
        <v/>
      </c>
    </row>
    <row r="1605" spans="11:14" ht="15" customHeight="1" x14ac:dyDescent="0.25">
      <c r="K1605" s="26" t="str">
        <f t="shared" ref="K1605:K1668" si="100">IF(H1605="","",(H1605-G1605)/G1605)</f>
        <v/>
      </c>
      <c r="L1605" s="26" t="str">
        <f t="shared" ref="L1605:L1668" si="101">IF(I1605="","",(I1605-G1605)/G1605)</f>
        <v/>
      </c>
      <c r="M1605" s="26" t="str">
        <f t="shared" ref="M1605:M1668" si="102">IF(J1605="","",(J1605-G1605)/G1605)</f>
        <v/>
      </c>
      <c r="N1605" s="27" t="str">
        <f t="shared" ref="N1605:N1668" si="103">IF(H1605="","",IF(D1605="HOLD",IF(ABS(K1605)&lt;0.03,"YES","NO"),IF(D1605="BUY",IF(K1605&gt;0,"YES","NO"),IF(D1605="SELL",IF(K1605&lt;0,"YES","NO"),""))))</f>
        <v/>
      </c>
    </row>
    <row r="1606" spans="11:14" ht="15" customHeight="1" x14ac:dyDescent="0.25">
      <c r="K1606" s="26" t="str">
        <f t="shared" si="100"/>
        <v/>
      </c>
      <c r="L1606" s="26" t="str">
        <f t="shared" si="101"/>
        <v/>
      </c>
      <c r="M1606" s="26" t="str">
        <f t="shared" si="102"/>
        <v/>
      </c>
      <c r="N1606" s="27" t="str">
        <f t="shared" si="103"/>
        <v/>
      </c>
    </row>
    <row r="1607" spans="11:14" ht="15" customHeight="1" x14ac:dyDescent="0.25">
      <c r="K1607" s="26" t="str">
        <f t="shared" si="100"/>
        <v/>
      </c>
      <c r="L1607" s="26" t="str">
        <f t="shared" si="101"/>
        <v/>
      </c>
      <c r="M1607" s="26" t="str">
        <f t="shared" si="102"/>
        <v/>
      </c>
      <c r="N1607" s="27" t="str">
        <f t="shared" si="103"/>
        <v/>
      </c>
    </row>
    <row r="1608" spans="11:14" ht="15" customHeight="1" x14ac:dyDescent="0.25">
      <c r="K1608" s="26" t="str">
        <f t="shared" si="100"/>
        <v/>
      </c>
      <c r="L1608" s="26" t="str">
        <f t="shared" si="101"/>
        <v/>
      </c>
      <c r="M1608" s="26" t="str">
        <f t="shared" si="102"/>
        <v/>
      </c>
      <c r="N1608" s="27" t="str">
        <f t="shared" si="103"/>
        <v/>
      </c>
    </row>
    <row r="1609" spans="11:14" ht="15" customHeight="1" x14ac:dyDescent="0.25">
      <c r="K1609" s="26" t="str">
        <f t="shared" si="100"/>
        <v/>
      </c>
      <c r="L1609" s="26" t="str">
        <f t="shared" si="101"/>
        <v/>
      </c>
      <c r="M1609" s="26" t="str">
        <f t="shared" si="102"/>
        <v/>
      </c>
      <c r="N1609" s="27" t="str">
        <f t="shared" si="103"/>
        <v/>
      </c>
    </row>
    <row r="1610" spans="11:14" ht="15" customHeight="1" x14ac:dyDescent="0.25">
      <c r="K1610" s="26" t="str">
        <f t="shared" si="100"/>
        <v/>
      </c>
      <c r="L1610" s="26" t="str">
        <f t="shared" si="101"/>
        <v/>
      </c>
      <c r="M1610" s="26" t="str">
        <f t="shared" si="102"/>
        <v/>
      </c>
      <c r="N1610" s="27" t="str">
        <f t="shared" si="103"/>
        <v/>
      </c>
    </row>
    <row r="1611" spans="11:14" ht="15" customHeight="1" x14ac:dyDescent="0.25">
      <c r="K1611" s="26" t="str">
        <f t="shared" si="100"/>
        <v/>
      </c>
      <c r="L1611" s="26" t="str">
        <f t="shared" si="101"/>
        <v/>
      </c>
      <c r="M1611" s="26" t="str">
        <f t="shared" si="102"/>
        <v/>
      </c>
      <c r="N1611" s="27" t="str">
        <f t="shared" si="103"/>
        <v/>
      </c>
    </row>
    <row r="1612" spans="11:14" ht="15" customHeight="1" x14ac:dyDescent="0.25">
      <c r="K1612" s="26" t="str">
        <f t="shared" si="100"/>
        <v/>
      </c>
      <c r="L1612" s="26" t="str">
        <f t="shared" si="101"/>
        <v/>
      </c>
      <c r="M1612" s="26" t="str">
        <f t="shared" si="102"/>
        <v/>
      </c>
      <c r="N1612" s="27" t="str">
        <f t="shared" si="103"/>
        <v/>
      </c>
    </row>
    <row r="1613" spans="11:14" ht="15" customHeight="1" x14ac:dyDescent="0.25">
      <c r="K1613" s="26" t="str">
        <f t="shared" si="100"/>
        <v/>
      </c>
      <c r="L1613" s="26" t="str">
        <f t="shared" si="101"/>
        <v/>
      </c>
      <c r="M1613" s="26" t="str">
        <f t="shared" si="102"/>
        <v/>
      </c>
      <c r="N1613" s="27" t="str">
        <f t="shared" si="103"/>
        <v/>
      </c>
    </row>
    <row r="1614" spans="11:14" ht="15" customHeight="1" x14ac:dyDescent="0.25">
      <c r="K1614" s="26" t="str">
        <f t="shared" si="100"/>
        <v/>
      </c>
      <c r="L1614" s="26" t="str">
        <f t="shared" si="101"/>
        <v/>
      </c>
      <c r="M1614" s="26" t="str">
        <f t="shared" si="102"/>
        <v/>
      </c>
      <c r="N1614" s="27" t="str">
        <f t="shared" si="103"/>
        <v/>
      </c>
    </row>
    <row r="1615" spans="11:14" ht="15" customHeight="1" x14ac:dyDescent="0.25">
      <c r="K1615" s="26" t="str">
        <f t="shared" si="100"/>
        <v/>
      </c>
      <c r="L1615" s="26" t="str">
        <f t="shared" si="101"/>
        <v/>
      </c>
      <c r="M1615" s="26" t="str">
        <f t="shared" si="102"/>
        <v/>
      </c>
      <c r="N1615" s="27" t="str">
        <f t="shared" si="103"/>
        <v/>
      </c>
    </row>
    <row r="1616" spans="11:14" ht="15" customHeight="1" x14ac:dyDescent="0.25">
      <c r="K1616" s="26" t="str">
        <f t="shared" si="100"/>
        <v/>
      </c>
      <c r="L1616" s="26" t="str">
        <f t="shared" si="101"/>
        <v/>
      </c>
      <c r="M1616" s="26" t="str">
        <f t="shared" si="102"/>
        <v/>
      </c>
      <c r="N1616" s="27" t="str">
        <f t="shared" si="103"/>
        <v/>
      </c>
    </row>
    <row r="1617" spans="11:14" ht="15" customHeight="1" x14ac:dyDescent="0.25">
      <c r="K1617" s="26" t="str">
        <f t="shared" si="100"/>
        <v/>
      </c>
      <c r="L1617" s="26" t="str">
        <f t="shared" si="101"/>
        <v/>
      </c>
      <c r="M1617" s="26" t="str">
        <f t="shared" si="102"/>
        <v/>
      </c>
      <c r="N1617" s="27" t="str">
        <f t="shared" si="103"/>
        <v/>
      </c>
    </row>
    <row r="1618" spans="11:14" ht="15" customHeight="1" x14ac:dyDescent="0.25">
      <c r="K1618" s="26" t="str">
        <f t="shared" si="100"/>
        <v/>
      </c>
      <c r="L1618" s="26" t="str">
        <f t="shared" si="101"/>
        <v/>
      </c>
      <c r="M1618" s="26" t="str">
        <f t="shared" si="102"/>
        <v/>
      </c>
      <c r="N1618" s="27" t="str">
        <f t="shared" si="103"/>
        <v/>
      </c>
    </row>
    <row r="1619" spans="11:14" ht="15" customHeight="1" x14ac:dyDescent="0.25">
      <c r="K1619" s="26" t="str">
        <f t="shared" si="100"/>
        <v/>
      </c>
      <c r="L1619" s="26" t="str">
        <f t="shared" si="101"/>
        <v/>
      </c>
      <c r="M1619" s="26" t="str">
        <f t="shared" si="102"/>
        <v/>
      </c>
      <c r="N1619" s="27" t="str">
        <f t="shared" si="103"/>
        <v/>
      </c>
    </row>
    <row r="1620" spans="11:14" ht="15" customHeight="1" x14ac:dyDescent="0.25">
      <c r="K1620" s="26" t="str">
        <f t="shared" si="100"/>
        <v/>
      </c>
      <c r="L1620" s="26" t="str">
        <f t="shared" si="101"/>
        <v/>
      </c>
      <c r="M1620" s="26" t="str">
        <f t="shared" si="102"/>
        <v/>
      </c>
      <c r="N1620" s="27" t="str">
        <f t="shared" si="103"/>
        <v/>
      </c>
    </row>
    <row r="1621" spans="11:14" ht="15" customHeight="1" x14ac:dyDescent="0.25">
      <c r="K1621" s="26" t="str">
        <f t="shared" si="100"/>
        <v/>
      </c>
      <c r="L1621" s="26" t="str">
        <f t="shared" si="101"/>
        <v/>
      </c>
      <c r="M1621" s="26" t="str">
        <f t="shared" si="102"/>
        <v/>
      </c>
      <c r="N1621" s="27" t="str">
        <f t="shared" si="103"/>
        <v/>
      </c>
    </row>
    <row r="1622" spans="11:14" ht="15" customHeight="1" x14ac:dyDescent="0.25">
      <c r="K1622" s="26" t="str">
        <f t="shared" si="100"/>
        <v/>
      </c>
      <c r="L1622" s="26" t="str">
        <f t="shared" si="101"/>
        <v/>
      </c>
      <c r="M1622" s="26" t="str">
        <f t="shared" si="102"/>
        <v/>
      </c>
      <c r="N1622" s="27" t="str">
        <f t="shared" si="103"/>
        <v/>
      </c>
    </row>
    <row r="1623" spans="11:14" ht="15" customHeight="1" x14ac:dyDescent="0.25">
      <c r="K1623" s="26" t="str">
        <f t="shared" si="100"/>
        <v/>
      </c>
      <c r="L1623" s="26" t="str">
        <f t="shared" si="101"/>
        <v/>
      </c>
      <c r="M1623" s="26" t="str">
        <f t="shared" si="102"/>
        <v/>
      </c>
      <c r="N1623" s="27" t="str">
        <f t="shared" si="103"/>
        <v/>
      </c>
    </row>
    <row r="1624" spans="11:14" ht="15" customHeight="1" x14ac:dyDescent="0.25">
      <c r="K1624" s="26" t="str">
        <f t="shared" si="100"/>
        <v/>
      </c>
      <c r="L1624" s="26" t="str">
        <f t="shared" si="101"/>
        <v/>
      </c>
      <c r="M1624" s="26" t="str">
        <f t="shared" si="102"/>
        <v/>
      </c>
      <c r="N1624" s="27" t="str">
        <f t="shared" si="103"/>
        <v/>
      </c>
    </row>
    <row r="1625" spans="11:14" ht="15" customHeight="1" x14ac:dyDescent="0.25">
      <c r="K1625" s="26" t="str">
        <f t="shared" si="100"/>
        <v/>
      </c>
      <c r="L1625" s="26" t="str">
        <f t="shared" si="101"/>
        <v/>
      </c>
      <c r="M1625" s="26" t="str">
        <f t="shared" si="102"/>
        <v/>
      </c>
      <c r="N1625" s="27" t="str">
        <f t="shared" si="103"/>
        <v/>
      </c>
    </row>
    <row r="1626" spans="11:14" ht="15" customHeight="1" x14ac:dyDescent="0.25">
      <c r="K1626" s="26" t="str">
        <f t="shared" si="100"/>
        <v/>
      </c>
      <c r="L1626" s="26" t="str">
        <f t="shared" si="101"/>
        <v/>
      </c>
      <c r="M1626" s="26" t="str">
        <f t="shared" si="102"/>
        <v/>
      </c>
      <c r="N1626" s="27" t="str">
        <f t="shared" si="103"/>
        <v/>
      </c>
    </row>
    <row r="1627" spans="11:14" ht="15" customHeight="1" x14ac:dyDescent="0.25">
      <c r="K1627" s="26" t="str">
        <f t="shared" si="100"/>
        <v/>
      </c>
      <c r="L1627" s="26" t="str">
        <f t="shared" si="101"/>
        <v/>
      </c>
      <c r="M1627" s="26" t="str">
        <f t="shared" si="102"/>
        <v/>
      </c>
      <c r="N1627" s="27" t="str">
        <f t="shared" si="103"/>
        <v/>
      </c>
    </row>
    <row r="1628" spans="11:14" ht="15" customHeight="1" x14ac:dyDescent="0.25">
      <c r="K1628" s="26" t="str">
        <f t="shared" si="100"/>
        <v/>
      </c>
      <c r="L1628" s="26" t="str">
        <f t="shared" si="101"/>
        <v/>
      </c>
      <c r="M1628" s="26" t="str">
        <f t="shared" si="102"/>
        <v/>
      </c>
      <c r="N1628" s="27" t="str">
        <f t="shared" si="103"/>
        <v/>
      </c>
    </row>
    <row r="1629" spans="11:14" ht="15" customHeight="1" x14ac:dyDescent="0.25">
      <c r="K1629" s="26" t="str">
        <f t="shared" si="100"/>
        <v/>
      </c>
      <c r="L1629" s="26" t="str">
        <f t="shared" si="101"/>
        <v/>
      </c>
      <c r="M1629" s="26" t="str">
        <f t="shared" si="102"/>
        <v/>
      </c>
      <c r="N1629" s="27" t="str">
        <f t="shared" si="103"/>
        <v/>
      </c>
    </row>
    <row r="1630" spans="11:14" ht="15" customHeight="1" x14ac:dyDescent="0.25">
      <c r="K1630" s="26" t="str">
        <f t="shared" si="100"/>
        <v/>
      </c>
      <c r="L1630" s="26" t="str">
        <f t="shared" si="101"/>
        <v/>
      </c>
      <c r="M1630" s="26" t="str">
        <f t="shared" si="102"/>
        <v/>
      </c>
      <c r="N1630" s="27" t="str">
        <f t="shared" si="103"/>
        <v/>
      </c>
    </row>
    <row r="1631" spans="11:14" ht="15" customHeight="1" x14ac:dyDescent="0.25">
      <c r="K1631" s="26" t="str">
        <f t="shared" si="100"/>
        <v/>
      </c>
      <c r="L1631" s="26" t="str">
        <f t="shared" si="101"/>
        <v/>
      </c>
      <c r="M1631" s="26" t="str">
        <f t="shared" si="102"/>
        <v/>
      </c>
      <c r="N1631" s="27" t="str">
        <f t="shared" si="103"/>
        <v/>
      </c>
    </row>
    <row r="1632" spans="11:14" ht="15" customHeight="1" x14ac:dyDescent="0.25">
      <c r="K1632" s="26" t="str">
        <f t="shared" si="100"/>
        <v/>
      </c>
      <c r="L1632" s="26" t="str">
        <f t="shared" si="101"/>
        <v/>
      </c>
      <c r="M1632" s="26" t="str">
        <f t="shared" si="102"/>
        <v/>
      </c>
      <c r="N1632" s="27" t="str">
        <f t="shared" si="103"/>
        <v/>
      </c>
    </row>
    <row r="1633" spans="11:14" ht="15" customHeight="1" x14ac:dyDescent="0.25">
      <c r="K1633" s="26" t="str">
        <f t="shared" si="100"/>
        <v/>
      </c>
      <c r="L1633" s="26" t="str">
        <f t="shared" si="101"/>
        <v/>
      </c>
      <c r="M1633" s="26" t="str">
        <f t="shared" si="102"/>
        <v/>
      </c>
      <c r="N1633" s="27" t="str">
        <f t="shared" si="103"/>
        <v/>
      </c>
    </row>
    <row r="1634" spans="11:14" ht="15" customHeight="1" x14ac:dyDescent="0.25">
      <c r="K1634" s="26" t="str">
        <f t="shared" si="100"/>
        <v/>
      </c>
      <c r="L1634" s="26" t="str">
        <f t="shared" si="101"/>
        <v/>
      </c>
      <c r="M1634" s="26" t="str">
        <f t="shared" si="102"/>
        <v/>
      </c>
      <c r="N1634" s="27" t="str">
        <f t="shared" si="103"/>
        <v/>
      </c>
    </row>
    <row r="1635" spans="11:14" ht="15" customHeight="1" x14ac:dyDescent="0.25">
      <c r="K1635" s="26" t="str">
        <f t="shared" si="100"/>
        <v/>
      </c>
      <c r="L1635" s="26" t="str">
        <f t="shared" si="101"/>
        <v/>
      </c>
      <c r="M1635" s="26" t="str">
        <f t="shared" si="102"/>
        <v/>
      </c>
      <c r="N1635" s="27" t="str">
        <f t="shared" si="103"/>
        <v/>
      </c>
    </row>
    <row r="1636" spans="11:14" ht="15" customHeight="1" x14ac:dyDescent="0.25">
      <c r="K1636" s="26" t="str">
        <f t="shared" si="100"/>
        <v/>
      </c>
      <c r="L1636" s="26" t="str">
        <f t="shared" si="101"/>
        <v/>
      </c>
      <c r="M1636" s="26" t="str">
        <f t="shared" si="102"/>
        <v/>
      </c>
      <c r="N1636" s="27" t="str">
        <f t="shared" si="103"/>
        <v/>
      </c>
    </row>
    <row r="1637" spans="11:14" ht="15" customHeight="1" x14ac:dyDescent="0.25">
      <c r="K1637" s="26" t="str">
        <f t="shared" si="100"/>
        <v/>
      </c>
      <c r="L1637" s="26" t="str">
        <f t="shared" si="101"/>
        <v/>
      </c>
      <c r="M1637" s="26" t="str">
        <f t="shared" si="102"/>
        <v/>
      </c>
      <c r="N1637" s="27" t="str">
        <f t="shared" si="103"/>
        <v/>
      </c>
    </row>
    <row r="1638" spans="11:14" ht="15" customHeight="1" x14ac:dyDescent="0.25">
      <c r="K1638" s="26" t="str">
        <f t="shared" si="100"/>
        <v/>
      </c>
      <c r="L1638" s="26" t="str">
        <f t="shared" si="101"/>
        <v/>
      </c>
      <c r="M1638" s="26" t="str">
        <f t="shared" si="102"/>
        <v/>
      </c>
      <c r="N1638" s="27" t="str">
        <f t="shared" si="103"/>
        <v/>
      </c>
    </row>
    <row r="1639" spans="11:14" ht="15" customHeight="1" x14ac:dyDescent="0.25">
      <c r="K1639" s="26" t="str">
        <f t="shared" si="100"/>
        <v/>
      </c>
      <c r="L1639" s="26" t="str">
        <f t="shared" si="101"/>
        <v/>
      </c>
      <c r="M1639" s="26" t="str">
        <f t="shared" si="102"/>
        <v/>
      </c>
      <c r="N1639" s="27" t="str">
        <f t="shared" si="103"/>
        <v/>
      </c>
    </row>
    <row r="1640" spans="11:14" ht="15" customHeight="1" x14ac:dyDescent="0.25">
      <c r="K1640" s="26" t="str">
        <f t="shared" si="100"/>
        <v/>
      </c>
      <c r="L1640" s="26" t="str">
        <f t="shared" si="101"/>
        <v/>
      </c>
      <c r="M1640" s="26" t="str">
        <f t="shared" si="102"/>
        <v/>
      </c>
      <c r="N1640" s="27" t="str">
        <f t="shared" si="103"/>
        <v/>
      </c>
    </row>
    <row r="1641" spans="11:14" ht="15" customHeight="1" x14ac:dyDescent="0.25">
      <c r="K1641" s="26" t="str">
        <f t="shared" si="100"/>
        <v/>
      </c>
      <c r="L1641" s="26" t="str">
        <f t="shared" si="101"/>
        <v/>
      </c>
      <c r="M1641" s="26" t="str">
        <f t="shared" si="102"/>
        <v/>
      </c>
      <c r="N1641" s="27" t="str">
        <f t="shared" si="103"/>
        <v/>
      </c>
    </row>
    <row r="1642" spans="11:14" ht="15" customHeight="1" x14ac:dyDescent="0.25">
      <c r="K1642" s="26" t="str">
        <f t="shared" si="100"/>
        <v/>
      </c>
      <c r="L1642" s="26" t="str">
        <f t="shared" si="101"/>
        <v/>
      </c>
      <c r="M1642" s="26" t="str">
        <f t="shared" si="102"/>
        <v/>
      </c>
      <c r="N1642" s="27" t="str">
        <f t="shared" si="103"/>
        <v/>
      </c>
    </row>
    <row r="1643" spans="11:14" ht="15" customHeight="1" x14ac:dyDescent="0.25">
      <c r="K1643" s="26" t="str">
        <f t="shared" si="100"/>
        <v/>
      </c>
      <c r="L1643" s="26" t="str">
        <f t="shared" si="101"/>
        <v/>
      </c>
      <c r="M1643" s="26" t="str">
        <f t="shared" si="102"/>
        <v/>
      </c>
      <c r="N1643" s="27" t="str">
        <f t="shared" si="103"/>
        <v/>
      </c>
    </row>
    <row r="1644" spans="11:14" ht="15" customHeight="1" x14ac:dyDescent="0.25">
      <c r="K1644" s="26" t="str">
        <f t="shared" si="100"/>
        <v/>
      </c>
      <c r="L1644" s="26" t="str">
        <f t="shared" si="101"/>
        <v/>
      </c>
      <c r="M1644" s="26" t="str">
        <f t="shared" si="102"/>
        <v/>
      </c>
      <c r="N1644" s="27" t="str">
        <f t="shared" si="103"/>
        <v/>
      </c>
    </row>
    <row r="1645" spans="11:14" ht="15" customHeight="1" x14ac:dyDescent="0.25">
      <c r="K1645" s="26" t="str">
        <f t="shared" si="100"/>
        <v/>
      </c>
      <c r="L1645" s="26" t="str">
        <f t="shared" si="101"/>
        <v/>
      </c>
      <c r="M1645" s="26" t="str">
        <f t="shared" si="102"/>
        <v/>
      </c>
      <c r="N1645" s="27" t="str">
        <f t="shared" si="103"/>
        <v/>
      </c>
    </row>
    <row r="1646" spans="11:14" ht="15" customHeight="1" x14ac:dyDescent="0.25">
      <c r="K1646" s="26" t="str">
        <f t="shared" si="100"/>
        <v/>
      </c>
      <c r="L1646" s="26" t="str">
        <f t="shared" si="101"/>
        <v/>
      </c>
      <c r="M1646" s="26" t="str">
        <f t="shared" si="102"/>
        <v/>
      </c>
      <c r="N1646" s="27" t="str">
        <f t="shared" si="103"/>
        <v/>
      </c>
    </row>
    <row r="1647" spans="11:14" ht="15" customHeight="1" x14ac:dyDescent="0.25">
      <c r="K1647" s="26" t="str">
        <f t="shared" si="100"/>
        <v/>
      </c>
      <c r="L1647" s="26" t="str">
        <f t="shared" si="101"/>
        <v/>
      </c>
      <c r="M1647" s="26" t="str">
        <f t="shared" si="102"/>
        <v/>
      </c>
      <c r="N1647" s="27" t="str">
        <f t="shared" si="103"/>
        <v/>
      </c>
    </row>
    <row r="1648" spans="11:14" ht="15" customHeight="1" x14ac:dyDescent="0.25">
      <c r="K1648" s="26" t="str">
        <f t="shared" si="100"/>
        <v/>
      </c>
      <c r="L1648" s="26" t="str">
        <f t="shared" si="101"/>
        <v/>
      </c>
      <c r="M1648" s="26" t="str">
        <f t="shared" si="102"/>
        <v/>
      </c>
      <c r="N1648" s="27" t="str">
        <f t="shared" si="103"/>
        <v/>
      </c>
    </row>
    <row r="1649" spans="11:14" ht="15" customHeight="1" x14ac:dyDescent="0.25">
      <c r="K1649" s="26" t="str">
        <f t="shared" si="100"/>
        <v/>
      </c>
      <c r="L1649" s="26" t="str">
        <f t="shared" si="101"/>
        <v/>
      </c>
      <c r="M1649" s="26" t="str">
        <f t="shared" si="102"/>
        <v/>
      </c>
      <c r="N1649" s="27" t="str">
        <f t="shared" si="103"/>
        <v/>
      </c>
    </row>
    <row r="1650" spans="11:14" ht="15" customHeight="1" x14ac:dyDescent="0.25">
      <c r="K1650" s="26" t="str">
        <f t="shared" si="100"/>
        <v/>
      </c>
      <c r="L1650" s="26" t="str">
        <f t="shared" si="101"/>
        <v/>
      </c>
      <c r="M1650" s="26" t="str">
        <f t="shared" si="102"/>
        <v/>
      </c>
      <c r="N1650" s="27" t="str">
        <f t="shared" si="103"/>
        <v/>
      </c>
    </row>
    <row r="1651" spans="11:14" ht="15" customHeight="1" x14ac:dyDescent="0.25">
      <c r="K1651" s="26" t="str">
        <f t="shared" si="100"/>
        <v/>
      </c>
      <c r="L1651" s="26" t="str">
        <f t="shared" si="101"/>
        <v/>
      </c>
      <c r="M1651" s="26" t="str">
        <f t="shared" si="102"/>
        <v/>
      </c>
      <c r="N1651" s="27" t="str">
        <f t="shared" si="103"/>
        <v/>
      </c>
    </row>
    <row r="1652" spans="11:14" ht="15" customHeight="1" x14ac:dyDescent="0.25">
      <c r="K1652" s="26" t="str">
        <f t="shared" si="100"/>
        <v/>
      </c>
      <c r="L1652" s="26" t="str">
        <f t="shared" si="101"/>
        <v/>
      </c>
      <c r="M1652" s="26" t="str">
        <f t="shared" si="102"/>
        <v/>
      </c>
      <c r="N1652" s="27" t="str">
        <f t="shared" si="103"/>
        <v/>
      </c>
    </row>
    <row r="1653" spans="11:14" ht="15" customHeight="1" x14ac:dyDescent="0.25">
      <c r="K1653" s="26" t="str">
        <f t="shared" si="100"/>
        <v/>
      </c>
      <c r="L1653" s="26" t="str">
        <f t="shared" si="101"/>
        <v/>
      </c>
      <c r="M1653" s="26" t="str">
        <f t="shared" si="102"/>
        <v/>
      </c>
      <c r="N1653" s="27" t="str">
        <f t="shared" si="103"/>
        <v/>
      </c>
    </row>
    <row r="1654" spans="11:14" ht="15" customHeight="1" x14ac:dyDescent="0.25">
      <c r="K1654" s="26" t="str">
        <f t="shared" si="100"/>
        <v/>
      </c>
      <c r="L1654" s="26" t="str">
        <f t="shared" si="101"/>
        <v/>
      </c>
      <c r="M1654" s="26" t="str">
        <f t="shared" si="102"/>
        <v/>
      </c>
      <c r="N1654" s="27" t="str">
        <f t="shared" si="103"/>
        <v/>
      </c>
    </row>
    <row r="1655" spans="11:14" ht="15" customHeight="1" x14ac:dyDescent="0.25">
      <c r="K1655" s="26" t="str">
        <f t="shared" si="100"/>
        <v/>
      </c>
      <c r="L1655" s="26" t="str">
        <f t="shared" si="101"/>
        <v/>
      </c>
      <c r="M1655" s="26" t="str">
        <f t="shared" si="102"/>
        <v/>
      </c>
      <c r="N1655" s="27" t="str">
        <f t="shared" si="103"/>
        <v/>
      </c>
    </row>
    <row r="1656" spans="11:14" ht="15" customHeight="1" x14ac:dyDescent="0.25">
      <c r="K1656" s="26" t="str">
        <f t="shared" si="100"/>
        <v/>
      </c>
      <c r="L1656" s="26" t="str">
        <f t="shared" si="101"/>
        <v/>
      </c>
      <c r="M1656" s="26" t="str">
        <f t="shared" si="102"/>
        <v/>
      </c>
      <c r="N1656" s="27" t="str">
        <f t="shared" si="103"/>
        <v/>
      </c>
    </row>
    <row r="1657" spans="11:14" ht="15" customHeight="1" x14ac:dyDescent="0.25">
      <c r="K1657" s="26" t="str">
        <f t="shared" si="100"/>
        <v/>
      </c>
      <c r="L1657" s="26" t="str">
        <f t="shared" si="101"/>
        <v/>
      </c>
      <c r="M1657" s="26" t="str">
        <f t="shared" si="102"/>
        <v/>
      </c>
      <c r="N1657" s="27" t="str">
        <f t="shared" si="103"/>
        <v/>
      </c>
    </row>
    <row r="1658" spans="11:14" ht="15" customHeight="1" x14ac:dyDescent="0.25">
      <c r="K1658" s="26" t="str">
        <f t="shared" si="100"/>
        <v/>
      </c>
      <c r="L1658" s="26" t="str">
        <f t="shared" si="101"/>
        <v/>
      </c>
      <c r="M1658" s="26" t="str">
        <f t="shared" si="102"/>
        <v/>
      </c>
      <c r="N1658" s="27" t="str">
        <f t="shared" si="103"/>
        <v/>
      </c>
    </row>
    <row r="1659" spans="11:14" ht="15" customHeight="1" x14ac:dyDescent="0.25">
      <c r="K1659" s="26" t="str">
        <f t="shared" si="100"/>
        <v/>
      </c>
      <c r="L1659" s="26" t="str">
        <f t="shared" si="101"/>
        <v/>
      </c>
      <c r="M1659" s="26" t="str">
        <f t="shared" si="102"/>
        <v/>
      </c>
      <c r="N1659" s="27" t="str">
        <f t="shared" si="103"/>
        <v/>
      </c>
    </row>
    <row r="1660" spans="11:14" ht="15" customHeight="1" x14ac:dyDescent="0.25">
      <c r="K1660" s="26" t="str">
        <f t="shared" si="100"/>
        <v/>
      </c>
      <c r="L1660" s="26" t="str">
        <f t="shared" si="101"/>
        <v/>
      </c>
      <c r="M1660" s="26" t="str">
        <f t="shared" si="102"/>
        <v/>
      </c>
      <c r="N1660" s="27" t="str">
        <f t="shared" si="103"/>
        <v/>
      </c>
    </row>
    <row r="1661" spans="11:14" ht="15" customHeight="1" x14ac:dyDescent="0.25">
      <c r="K1661" s="26" t="str">
        <f t="shared" si="100"/>
        <v/>
      </c>
      <c r="L1661" s="26" t="str">
        <f t="shared" si="101"/>
        <v/>
      </c>
      <c r="M1661" s="26" t="str">
        <f t="shared" si="102"/>
        <v/>
      </c>
      <c r="N1661" s="27" t="str">
        <f t="shared" si="103"/>
        <v/>
      </c>
    </row>
    <row r="1662" spans="11:14" ht="15" customHeight="1" x14ac:dyDescent="0.25">
      <c r="K1662" s="26" t="str">
        <f t="shared" si="100"/>
        <v/>
      </c>
      <c r="L1662" s="26" t="str">
        <f t="shared" si="101"/>
        <v/>
      </c>
      <c r="M1662" s="26" t="str">
        <f t="shared" si="102"/>
        <v/>
      </c>
      <c r="N1662" s="27" t="str">
        <f t="shared" si="103"/>
        <v/>
      </c>
    </row>
    <row r="1663" spans="11:14" ht="15" customHeight="1" x14ac:dyDescent="0.25">
      <c r="K1663" s="26" t="str">
        <f t="shared" si="100"/>
        <v/>
      </c>
      <c r="L1663" s="26" t="str">
        <f t="shared" si="101"/>
        <v/>
      </c>
      <c r="M1663" s="26" t="str">
        <f t="shared" si="102"/>
        <v/>
      </c>
      <c r="N1663" s="27" t="str">
        <f t="shared" si="103"/>
        <v/>
      </c>
    </row>
    <row r="1664" spans="11:14" ht="15" customHeight="1" x14ac:dyDescent="0.25">
      <c r="K1664" s="26" t="str">
        <f t="shared" si="100"/>
        <v/>
      </c>
      <c r="L1664" s="26" t="str">
        <f t="shared" si="101"/>
        <v/>
      </c>
      <c r="M1664" s="26" t="str">
        <f t="shared" si="102"/>
        <v/>
      </c>
      <c r="N1664" s="27" t="str">
        <f t="shared" si="103"/>
        <v/>
      </c>
    </row>
    <row r="1665" spans="11:14" ht="15" customHeight="1" x14ac:dyDescent="0.25">
      <c r="K1665" s="26" t="str">
        <f t="shared" si="100"/>
        <v/>
      </c>
      <c r="L1665" s="26" t="str">
        <f t="shared" si="101"/>
        <v/>
      </c>
      <c r="M1665" s="26" t="str">
        <f t="shared" si="102"/>
        <v/>
      </c>
      <c r="N1665" s="27" t="str">
        <f t="shared" si="103"/>
        <v/>
      </c>
    </row>
    <row r="1666" spans="11:14" ht="15" customHeight="1" x14ac:dyDescent="0.25">
      <c r="K1666" s="26" t="str">
        <f t="shared" si="100"/>
        <v/>
      </c>
      <c r="L1666" s="26" t="str">
        <f t="shared" si="101"/>
        <v/>
      </c>
      <c r="M1666" s="26" t="str">
        <f t="shared" si="102"/>
        <v/>
      </c>
      <c r="N1666" s="27" t="str">
        <f t="shared" si="103"/>
        <v/>
      </c>
    </row>
    <row r="1667" spans="11:14" ht="15" customHeight="1" x14ac:dyDescent="0.25">
      <c r="K1667" s="26" t="str">
        <f t="shared" si="100"/>
        <v/>
      </c>
      <c r="L1667" s="26" t="str">
        <f t="shared" si="101"/>
        <v/>
      </c>
      <c r="M1667" s="26" t="str">
        <f t="shared" si="102"/>
        <v/>
      </c>
      <c r="N1667" s="27" t="str">
        <f t="shared" si="103"/>
        <v/>
      </c>
    </row>
    <row r="1668" spans="11:14" ht="15" customHeight="1" x14ac:dyDescent="0.25">
      <c r="K1668" s="26" t="str">
        <f t="shared" si="100"/>
        <v/>
      </c>
      <c r="L1668" s="26" t="str">
        <f t="shared" si="101"/>
        <v/>
      </c>
      <c r="M1668" s="26" t="str">
        <f t="shared" si="102"/>
        <v/>
      </c>
      <c r="N1668" s="27" t="str">
        <f t="shared" si="103"/>
        <v/>
      </c>
    </row>
    <row r="1669" spans="11:14" ht="15" customHeight="1" x14ac:dyDescent="0.25">
      <c r="K1669" s="26" t="str">
        <f t="shared" ref="K1669:K1732" si="104">IF(H1669="","",(H1669-G1669)/G1669)</f>
        <v/>
      </c>
      <c r="L1669" s="26" t="str">
        <f t="shared" ref="L1669:L1732" si="105">IF(I1669="","",(I1669-G1669)/G1669)</f>
        <v/>
      </c>
      <c r="M1669" s="26" t="str">
        <f t="shared" ref="M1669:M1732" si="106">IF(J1669="","",(J1669-G1669)/G1669)</f>
        <v/>
      </c>
      <c r="N1669" s="27" t="str">
        <f t="shared" ref="N1669:N1732" si="107">IF(H1669="","",IF(D1669="HOLD",IF(ABS(K1669)&lt;0.03,"YES","NO"),IF(D1669="BUY",IF(K1669&gt;0,"YES","NO"),IF(D1669="SELL",IF(K1669&lt;0,"YES","NO"),""))))</f>
        <v/>
      </c>
    </row>
    <row r="1670" spans="11:14" ht="15" customHeight="1" x14ac:dyDescent="0.25">
      <c r="K1670" s="26" t="str">
        <f t="shared" si="104"/>
        <v/>
      </c>
      <c r="L1670" s="26" t="str">
        <f t="shared" si="105"/>
        <v/>
      </c>
      <c r="M1670" s="26" t="str">
        <f t="shared" si="106"/>
        <v/>
      </c>
      <c r="N1670" s="27" t="str">
        <f t="shared" si="107"/>
        <v/>
      </c>
    </row>
    <row r="1671" spans="11:14" ht="15" customHeight="1" x14ac:dyDescent="0.25">
      <c r="K1671" s="26" t="str">
        <f t="shared" si="104"/>
        <v/>
      </c>
      <c r="L1671" s="26" t="str">
        <f t="shared" si="105"/>
        <v/>
      </c>
      <c r="M1671" s="26" t="str">
        <f t="shared" si="106"/>
        <v/>
      </c>
      <c r="N1671" s="27" t="str">
        <f t="shared" si="107"/>
        <v/>
      </c>
    </row>
    <row r="1672" spans="11:14" ht="15" customHeight="1" x14ac:dyDescent="0.25">
      <c r="K1672" s="26" t="str">
        <f t="shared" si="104"/>
        <v/>
      </c>
      <c r="L1672" s="26" t="str">
        <f t="shared" si="105"/>
        <v/>
      </c>
      <c r="M1672" s="26" t="str">
        <f t="shared" si="106"/>
        <v/>
      </c>
      <c r="N1672" s="27" t="str">
        <f t="shared" si="107"/>
        <v/>
      </c>
    </row>
    <row r="1673" spans="11:14" ht="15" customHeight="1" x14ac:dyDescent="0.25">
      <c r="K1673" s="26" t="str">
        <f t="shared" si="104"/>
        <v/>
      </c>
      <c r="L1673" s="26" t="str">
        <f t="shared" si="105"/>
        <v/>
      </c>
      <c r="M1673" s="26" t="str">
        <f t="shared" si="106"/>
        <v/>
      </c>
      <c r="N1673" s="27" t="str">
        <f t="shared" si="107"/>
        <v/>
      </c>
    </row>
    <row r="1674" spans="11:14" ht="15" customHeight="1" x14ac:dyDescent="0.25">
      <c r="K1674" s="26" t="str">
        <f t="shared" si="104"/>
        <v/>
      </c>
      <c r="L1674" s="26" t="str">
        <f t="shared" si="105"/>
        <v/>
      </c>
      <c r="M1674" s="26" t="str">
        <f t="shared" si="106"/>
        <v/>
      </c>
      <c r="N1674" s="27" t="str">
        <f t="shared" si="107"/>
        <v/>
      </c>
    </row>
    <row r="1675" spans="11:14" ht="15" customHeight="1" x14ac:dyDescent="0.25">
      <c r="K1675" s="26" t="str">
        <f t="shared" si="104"/>
        <v/>
      </c>
      <c r="L1675" s="26" t="str">
        <f t="shared" si="105"/>
        <v/>
      </c>
      <c r="M1675" s="26" t="str">
        <f t="shared" si="106"/>
        <v/>
      </c>
      <c r="N1675" s="27" t="str">
        <f t="shared" si="107"/>
        <v/>
      </c>
    </row>
    <row r="1676" spans="11:14" ht="15" customHeight="1" x14ac:dyDescent="0.25">
      <c r="K1676" s="26" t="str">
        <f t="shared" si="104"/>
        <v/>
      </c>
      <c r="L1676" s="26" t="str">
        <f t="shared" si="105"/>
        <v/>
      </c>
      <c r="M1676" s="26" t="str">
        <f t="shared" si="106"/>
        <v/>
      </c>
      <c r="N1676" s="27" t="str">
        <f t="shared" si="107"/>
        <v/>
      </c>
    </row>
    <row r="1677" spans="11:14" ht="15" customHeight="1" x14ac:dyDescent="0.25">
      <c r="K1677" s="26" t="str">
        <f t="shared" si="104"/>
        <v/>
      </c>
      <c r="L1677" s="26" t="str">
        <f t="shared" si="105"/>
        <v/>
      </c>
      <c r="M1677" s="26" t="str">
        <f t="shared" si="106"/>
        <v/>
      </c>
      <c r="N1677" s="27" t="str">
        <f t="shared" si="107"/>
        <v/>
      </c>
    </row>
    <row r="1678" spans="11:14" ht="15" customHeight="1" x14ac:dyDescent="0.25">
      <c r="K1678" s="26" t="str">
        <f t="shared" si="104"/>
        <v/>
      </c>
      <c r="L1678" s="26" t="str">
        <f t="shared" si="105"/>
        <v/>
      </c>
      <c r="M1678" s="26" t="str">
        <f t="shared" si="106"/>
        <v/>
      </c>
      <c r="N1678" s="27" t="str">
        <f t="shared" si="107"/>
        <v/>
      </c>
    </row>
    <row r="1679" spans="11:14" ht="15" customHeight="1" x14ac:dyDescent="0.25">
      <c r="K1679" s="26" t="str">
        <f t="shared" si="104"/>
        <v/>
      </c>
      <c r="L1679" s="26" t="str">
        <f t="shared" si="105"/>
        <v/>
      </c>
      <c r="M1679" s="26" t="str">
        <f t="shared" si="106"/>
        <v/>
      </c>
      <c r="N1679" s="27" t="str">
        <f t="shared" si="107"/>
        <v/>
      </c>
    </row>
    <row r="1680" spans="11:14" ht="15" customHeight="1" x14ac:dyDescent="0.25">
      <c r="K1680" s="26" t="str">
        <f t="shared" si="104"/>
        <v/>
      </c>
      <c r="L1680" s="26" t="str">
        <f t="shared" si="105"/>
        <v/>
      </c>
      <c r="M1680" s="26" t="str">
        <f t="shared" si="106"/>
        <v/>
      </c>
      <c r="N1680" s="27" t="str">
        <f t="shared" si="107"/>
        <v/>
      </c>
    </row>
    <row r="1681" spans="11:14" ht="15" customHeight="1" x14ac:dyDescent="0.25">
      <c r="K1681" s="26" t="str">
        <f t="shared" si="104"/>
        <v/>
      </c>
      <c r="L1681" s="26" t="str">
        <f t="shared" si="105"/>
        <v/>
      </c>
      <c r="M1681" s="26" t="str">
        <f t="shared" si="106"/>
        <v/>
      </c>
      <c r="N1681" s="27" t="str">
        <f t="shared" si="107"/>
        <v/>
      </c>
    </row>
    <row r="1682" spans="11:14" ht="15" customHeight="1" x14ac:dyDescent="0.25">
      <c r="K1682" s="26" t="str">
        <f t="shared" si="104"/>
        <v/>
      </c>
      <c r="L1682" s="26" t="str">
        <f t="shared" si="105"/>
        <v/>
      </c>
      <c r="M1682" s="26" t="str">
        <f t="shared" si="106"/>
        <v/>
      </c>
      <c r="N1682" s="27" t="str">
        <f t="shared" si="107"/>
        <v/>
      </c>
    </row>
    <row r="1683" spans="11:14" ht="15" customHeight="1" x14ac:dyDescent="0.25">
      <c r="K1683" s="26" t="str">
        <f t="shared" si="104"/>
        <v/>
      </c>
      <c r="L1683" s="26" t="str">
        <f t="shared" si="105"/>
        <v/>
      </c>
      <c r="M1683" s="26" t="str">
        <f t="shared" si="106"/>
        <v/>
      </c>
      <c r="N1683" s="27" t="str">
        <f t="shared" si="107"/>
        <v/>
      </c>
    </row>
    <row r="1684" spans="11:14" ht="15" customHeight="1" x14ac:dyDescent="0.25">
      <c r="K1684" s="26" t="str">
        <f t="shared" si="104"/>
        <v/>
      </c>
      <c r="L1684" s="26" t="str">
        <f t="shared" si="105"/>
        <v/>
      </c>
      <c r="M1684" s="26" t="str">
        <f t="shared" si="106"/>
        <v/>
      </c>
      <c r="N1684" s="27" t="str">
        <f t="shared" si="107"/>
        <v/>
      </c>
    </row>
    <row r="1685" spans="11:14" ht="15" customHeight="1" x14ac:dyDescent="0.25">
      <c r="K1685" s="26" t="str">
        <f t="shared" si="104"/>
        <v/>
      </c>
      <c r="L1685" s="26" t="str">
        <f t="shared" si="105"/>
        <v/>
      </c>
      <c r="M1685" s="26" t="str">
        <f t="shared" si="106"/>
        <v/>
      </c>
      <c r="N1685" s="27" t="str">
        <f t="shared" si="107"/>
        <v/>
      </c>
    </row>
    <row r="1686" spans="11:14" ht="15" customHeight="1" x14ac:dyDescent="0.25">
      <c r="K1686" s="26" t="str">
        <f t="shared" si="104"/>
        <v/>
      </c>
      <c r="L1686" s="26" t="str">
        <f t="shared" si="105"/>
        <v/>
      </c>
      <c r="M1686" s="26" t="str">
        <f t="shared" si="106"/>
        <v/>
      </c>
      <c r="N1686" s="27" t="str">
        <f t="shared" si="107"/>
        <v/>
      </c>
    </row>
    <row r="1687" spans="11:14" ht="15" customHeight="1" x14ac:dyDescent="0.25">
      <c r="K1687" s="26" t="str">
        <f t="shared" si="104"/>
        <v/>
      </c>
      <c r="L1687" s="26" t="str">
        <f t="shared" si="105"/>
        <v/>
      </c>
      <c r="M1687" s="26" t="str">
        <f t="shared" si="106"/>
        <v/>
      </c>
      <c r="N1687" s="27" t="str">
        <f t="shared" si="107"/>
        <v/>
      </c>
    </row>
    <row r="1688" spans="11:14" ht="15" customHeight="1" x14ac:dyDescent="0.25">
      <c r="K1688" s="26" t="str">
        <f t="shared" si="104"/>
        <v/>
      </c>
      <c r="L1688" s="26" t="str">
        <f t="shared" si="105"/>
        <v/>
      </c>
      <c r="M1688" s="26" t="str">
        <f t="shared" si="106"/>
        <v/>
      </c>
      <c r="N1688" s="27" t="str">
        <f t="shared" si="107"/>
        <v/>
      </c>
    </row>
    <row r="1689" spans="11:14" ht="15" customHeight="1" x14ac:dyDescent="0.25">
      <c r="K1689" s="26" t="str">
        <f t="shared" si="104"/>
        <v/>
      </c>
      <c r="L1689" s="26" t="str">
        <f t="shared" si="105"/>
        <v/>
      </c>
      <c r="M1689" s="26" t="str">
        <f t="shared" si="106"/>
        <v/>
      </c>
      <c r="N1689" s="27" t="str">
        <f t="shared" si="107"/>
        <v/>
      </c>
    </row>
    <row r="1690" spans="11:14" ht="15" customHeight="1" x14ac:dyDescent="0.25">
      <c r="K1690" s="26" t="str">
        <f t="shared" si="104"/>
        <v/>
      </c>
      <c r="L1690" s="26" t="str">
        <f t="shared" si="105"/>
        <v/>
      </c>
      <c r="M1690" s="26" t="str">
        <f t="shared" si="106"/>
        <v/>
      </c>
      <c r="N1690" s="27" t="str">
        <f t="shared" si="107"/>
        <v/>
      </c>
    </row>
    <row r="1691" spans="11:14" ht="15" customHeight="1" x14ac:dyDescent="0.25">
      <c r="K1691" s="26" t="str">
        <f t="shared" si="104"/>
        <v/>
      </c>
      <c r="L1691" s="26" t="str">
        <f t="shared" si="105"/>
        <v/>
      </c>
      <c r="M1691" s="26" t="str">
        <f t="shared" si="106"/>
        <v/>
      </c>
      <c r="N1691" s="27" t="str">
        <f t="shared" si="107"/>
        <v/>
      </c>
    </row>
    <row r="1692" spans="11:14" ht="15" customHeight="1" x14ac:dyDescent="0.25">
      <c r="K1692" s="26" t="str">
        <f t="shared" si="104"/>
        <v/>
      </c>
      <c r="L1692" s="26" t="str">
        <f t="shared" si="105"/>
        <v/>
      </c>
      <c r="M1692" s="26" t="str">
        <f t="shared" si="106"/>
        <v/>
      </c>
      <c r="N1692" s="27" t="str">
        <f t="shared" si="107"/>
        <v/>
      </c>
    </row>
    <row r="1693" spans="11:14" ht="15" customHeight="1" x14ac:dyDescent="0.25">
      <c r="K1693" s="26" t="str">
        <f t="shared" si="104"/>
        <v/>
      </c>
      <c r="L1693" s="26" t="str">
        <f t="shared" si="105"/>
        <v/>
      </c>
      <c r="M1693" s="26" t="str">
        <f t="shared" si="106"/>
        <v/>
      </c>
      <c r="N1693" s="27" t="str">
        <f t="shared" si="107"/>
        <v/>
      </c>
    </row>
    <row r="1694" spans="11:14" ht="15" customHeight="1" x14ac:dyDescent="0.25">
      <c r="K1694" s="26" t="str">
        <f t="shared" si="104"/>
        <v/>
      </c>
      <c r="L1694" s="26" t="str">
        <f t="shared" si="105"/>
        <v/>
      </c>
      <c r="M1694" s="26" t="str">
        <f t="shared" si="106"/>
        <v/>
      </c>
      <c r="N1694" s="27" t="str">
        <f t="shared" si="107"/>
        <v/>
      </c>
    </row>
    <row r="1695" spans="11:14" ht="15" customHeight="1" x14ac:dyDescent="0.25">
      <c r="K1695" s="26" t="str">
        <f t="shared" si="104"/>
        <v/>
      </c>
      <c r="L1695" s="26" t="str">
        <f t="shared" si="105"/>
        <v/>
      </c>
      <c r="M1695" s="26" t="str">
        <f t="shared" si="106"/>
        <v/>
      </c>
      <c r="N1695" s="27" t="str">
        <f t="shared" si="107"/>
        <v/>
      </c>
    </row>
    <row r="1696" spans="11:14" ht="15" customHeight="1" x14ac:dyDescent="0.25">
      <c r="K1696" s="26" t="str">
        <f t="shared" si="104"/>
        <v/>
      </c>
      <c r="L1696" s="26" t="str">
        <f t="shared" si="105"/>
        <v/>
      </c>
      <c r="M1696" s="26" t="str">
        <f t="shared" si="106"/>
        <v/>
      </c>
      <c r="N1696" s="27" t="str">
        <f t="shared" si="107"/>
        <v/>
      </c>
    </row>
    <row r="1697" spans="11:14" ht="15" customHeight="1" x14ac:dyDescent="0.25">
      <c r="K1697" s="26" t="str">
        <f t="shared" si="104"/>
        <v/>
      </c>
      <c r="L1697" s="26" t="str">
        <f t="shared" si="105"/>
        <v/>
      </c>
      <c r="M1697" s="26" t="str">
        <f t="shared" si="106"/>
        <v/>
      </c>
      <c r="N1697" s="27" t="str">
        <f t="shared" si="107"/>
        <v/>
      </c>
    </row>
    <row r="1698" spans="11:14" ht="15" customHeight="1" x14ac:dyDescent="0.25">
      <c r="K1698" s="26" t="str">
        <f t="shared" si="104"/>
        <v/>
      </c>
      <c r="L1698" s="26" t="str">
        <f t="shared" si="105"/>
        <v/>
      </c>
      <c r="M1698" s="26" t="str">
        <f t="shared" si="106"/>
        <v/>
      </c>
      <c r="N1698" s="27" t="str">
        <f t="shared" si="107"/>
        <v/>
      </c>
    </row>
    <row r="1699" spans="11:14" ht="15" customHeight="1" x14ac:dyDescent="0.25">
      <c r="K1699" s="26" t="str">
        <f t="shared" si="104"/>
        <v/>
      </c>
      <c r="L1699" s="26" t="str">
        <f t="shared" si="105"/>
        <v/>
      </c>
      <c r="M1699" s="26" t="str">
        <f t="shared" si="106"/>
        <v/>
      </c>
      <c r="N1699" s="27" t="str">
        <f t="shared" si="107"/>
        <v/>
      </c>
    </row>
    <row r="1700" spans="11:14" ht="15" customHeight="1" x14ac:dyDescent="0.25">
      <c r="K1700" s="26" t="str">
        <f t="shared" si="104"/>
        <v/>
      </c>
      <c r="L1700" s="26" t="str">
        <f t="shared" si="105"/>
        <v/>
      </c>
      <c r="M1700" s="26" t="str">
        <f t="shared" si="106"/>
        <v/>
      </c>
      <c r="N1700" s="27" t="str">
        <f t="shared" si="107"/>
        <v/>
      </c>
    </row>
    <row r="1701" spans="11:14" ht="15" customHeight="1" x14ac:dyDescent="0.25">
      <c r="K1701" s="26" t="str">
        <f t="shared" si="104"/>
        <v/>
      </c>
      <c r="L1701" s="26" t="str">
        <f t="shared" si="105"/>
        <v/>
      </c>
      <c r="M1701" s="26" t="str">
        <f t="shared" si="106"/>
        <v/>
      </c>
      <c r="N1701" s="27" t="str">
        <f t="shared" si="107"/>
        <v/>
      </c>
    </row>
    <row r="1702" spans="11:14" ht="15" customHeight="1" x14ac:dyDescent="0.25">
      <c r="K1702" s="26" t="str">
        <f t="shared" si="104"/>
        <v/>
      </c>
      <c r="L1702" s="26" t="str">
        <f t="shared" si="105"/>
        <v/>
      </c>
      <c r="M1702" s="26" t="str">
        <f t="shared" si="106"/>
        <v/>
      </c>
      <c r="N1702" s="27" t="str">
        <f t="shared" si="107"/>
        <v/>
      </c>
    </row>
    <row r="1703" spans="11:14" ht="15" customHeight="1" x14ac:dyDescent="0.25">
      <c r="K1703" s="26" t="str">
        <f t="shared" si="104"/>
        <v/>
      </c>
      <c r="L1703" s="26" t="str">
        <f t="shared" si="105"/>
        <v/>
      </c>
      <c r="M1703" s="26" t="str">
        <f t="shared" si="106"/>
        <v/>
      </c>
      <c r="N1703" s="27" t="str">
        <f t="shared" si="107"/>
        <v/>
      </c>
    </row>
    <row r="1704" spans="11:14" ht="15" customHeight="1" x14ac:dyDescent="0.25">
      <c r="K1704" s="26" t="str">
        <f t="shared" si="104"/>
        <v/>
      </c>
      <c r="L1704" s="26" t="str">
        <f t="shared" si="105"/>
        <v/>
      </c>
      <c r="M1704" s="26" t="str">
        <f t="shared" si="106"/>
        <v/>
      </c>
      <c r="N1704" s="27" t="str">
        <f t="shared" si="107"/>
        <v/>
      </c>
    </row>
    <row r="1705" spans="11:14" ht="15" customHeight="1" x14ac:dyDescent="0.25">
      <c r="K1705" s="26" t="str">
        <f t="shared" si="104"/>
        <v/>
      </c>
      <c r="L1705" s="26" t="str">
        <f t="shared" si="105"/>
        <v/>
      </c>
      <c r="M1705" s="26" t="str">
        <f t="shared" si="106"/>
        <v/>
      </c>
      <c r="N1705" s="27" t="str">
        <f t="shared" si="107"/>
        <v/>
      </c>
    </row>
    <row r="1706" spans="11:14" ht="15" customHeight="1" x14ac:dyDescent="0.25">
      <c r="K1706" s="26" t="str">
        <f t="shared" si="104"/>
        <v/>
      </c>
      <c r="L1706" s="26" t="str">
        <f t="shared" si="105"/>
        <v/>
      </c>
      <c r="M1706" s="26" t="str">
        <f t="shared" si="106"/>
        <v/>
      </c>
      <c r="N1706" s="27" t="str">
        <f t="shared" si="107"/>
        <v/>
      </c>
    </row>
    <row r="1707" spans="11:14" ht="15" customHeight="1" x14ac:dyDescent="0.25">
      <c r="K1707" s="26" t="str">
        <f t="shared" si="104"/>
        <v/>
      </c>
      <c r="L1707" s="26" t="str">
        <f t="shared" si="105"/>
        <v/>
      </c>
      <c r="M1707" s="26" t="str">
        <f t="shared" si="106"/>
        <v/>
      </c>
      <c r="N1707" s="27" t="str">
        <f t="shared" si="107"/>
        <v/>
      </c>
    </row>
    <row r="1708" spans="11:14" ht="15" customHeight="1" x14ac:dyDescent="0.25">
      <c r="K1708" s="26" t="str">
        <f t="shared" si="104"/>
        <v/>
      </c>
      <c r="L1708" s="26" t="str">
        <f t="shared" si="105"/>
        <v/>
      </c>
      <c r="M1708" s="26" t="str">
        <f t="shared" si="106"/>
        <v/>
      </c>
      <c r="N1708" s="27" t="str">
        <f t="shared" si="107"/>
        <v/>
      </c>
    </row>
    <row r="1709" spans="11:14" ht="15" customHeight="1" x14ac:dyDescent="0.25">
      <c r="K1709" s="26" t="str">
        <f t="shared" si="104"/>
        <v/>
      </c>
      <c r="L1709" s="26" t="str">
        <f t="shared" si="105"/>
        <v/>
      </c>
      <c r="M1709" s="26" t="str">
        <f t="shared" si="106"/>
        <v/>
      </c>
      <c r="N1709" s="27" t="str">
        <f t="shared" si="107"/>
        <v/>
      </c>
    </row>
    <row r="1710" spans="11:14" ht="15" customHeight="1" x14ac:dyDescent="0.25">
      <c r="K1710" s="26" t="str">
        <f t="shared" si="104"/>
        <v/>
      </c>
      <c r="L1710" s="26" t="str">
        <f t="shared" si="105"/>
        <v/>
      </c>
      <c r="M1710" s="26" t="str">
        <f t="shared" si="106"/>
        <v/>
      </c>
      <c r="N1710" s="27" t="str">
        <f t="shared" si="107"/>
        <v/>
      </c>
    </row>
    <row r="1711" spans="11:14" ht="15" customHeight="1" x14ac:dyDescent="0.25">
      <c r="K1711" s="26" t="str">
        <f t="shared" si="104"/>
        <v/>
      </c>
      <c r="L1711" s="26" t="str">
        <f t="shared" si="105"/>
        <v/>
      </c>
      <c r="M1711" s="26" t="str">
        <f t="shared" si="106"/>
        <v/>
      </c>
      <c r="N1711" s="27" t="str">
        <f t="shared" si="107"/>
        <v/>
      </c>
    </row>
    <row r="1712" spans="11:14" ht="15" customHeight="1" x14ac:dyDescent="0.25">
      <c r="K1712" s="26" t="str">
        <f t="shared" si="104"/>
        <v/>
      </c>
      <c r="L1712" s="26" t="str">
        <f t="shared" si="105"/>
        <v/>
      </c>
      <c r="M1712" s="26" t="str">
        <f t="shared" si="106"/>
        <v/>
      </c>
      <c r="N1712" s="27" t="str">
        <f t="shared" si="107"/>
        <v/>
      </c>
    </row>
    <row r="1713" spans="11:14" ht="15" customHeight="1" x14ac:dyDescent="0.25">
      <c r="K1713" s="26" t="str">
        <f t="shared" si="104"/>
        <v/>
      </c>
      <c r="L1713" s="26" t="str">
        <f t="shared" si="105"/>
        <v/>
      </c>
      <c r="M1713" s="26" t="str">
        <f t="shared" si="106"/>
        <v/>
      </c>
      <c r="N1713" s="27" t="str">
        <f t="shared" si="107"/>
        <v/>
      </c>
    </row>
    <row r="1714" spans="11:14" ht="15" customHeight="1" x14ac:dyDescent="0.25">
      <c r="K1714" s="26" t="str">
        <f t="shared" si="104"/>
        <v/>
      </c>
      <c r="L1714" s="26" t="str">
        <f t="shared" si="105"/>
        <v/>
      </c>
      <c r="M1714" s="26" t="str">
        <f t="shared" si="106"/>
        <v/>
      </c>
      <c r="N1714" s="27" t="str">
        <f t="shared" si="107"/>
        <v/>
      </c>
    </row>
    <row r="1715" spans="11:14" ht="15" customHeight="1" x14ac:dyDescent="0.25">
      <c r="K1715" s="26" t="str">
        <f t="shared" si="104"/>
        <v/>
      </c>
      <c r="L1715" s="26" t="str">
        <f t="shared" si="105"/>
        <v/>
      </c>
      <c r="M1715" s="26" t="str">
        <f t="shared" si="106"/>
        <v/>
      </c>
      <c r="N1715" s="27" t="str">
        <f t="shared" si="107"/>
        <v/>
      </c>
    </row>
    <row r="1716" spans="11:14" ht="15" customHeight="1" x14ac:dyDescent="0.25">
      <c r="K1716" s="26" t="str">
        <f t="shared" si="104"/>
        <v/>
      </c>
      <c r="L1716" s="26" t="str">
        <f t="shared" si="105"/>
        <v/>
      </c>
      <c r="M1716" s="26" t="str">
        <f t="shared" si="106"/>
        <v/>
      </c>
      <c r="N1716" s="27" t="str">
        <f t="shared" si="107"/>
        <v/>
      </c>
    </row>
    <row r="1717" spans="11:14" ht="15" customHeight="1" x14ac:dyDescent="0.25">
      <c r="K1717" s="26" t="str">
        <f t="shared" si="104"/>
        <v/>
      </c>
      <c r="L1717" s="26" t="str">
        <f t="shared" si="105"/>
        <v/>
      </c>
      <c r="M1717" s="26" t="str">
        <f t="shared" si="106"/>
        <v/>
      </c>
      <c r="N1717" s="27" t="str">
        <f t="shared" si="107"/>
        <v/>
      </c>
    </row>
    <row r="1718" spans="11:14" ht="15" customHeight="1" x14ac:dyDescent="0.25">
      <c r="K1718" s="26" t="str">
        <f t="shared" si="104"/>
        <v/>
      </c>
      <c r="L1718" s="26" t="str">
        <f t="shared" si="105"/>
        <v/>
      </c>
      <c r="M1718" s="26" t="str">
        <f t="shared" si="106"/>
        <v/>
      </c>
      <c r="N1718" s="27" t="str">
        <f t="shared" si="107"/>
        <v/>
      </c>
    </row>
    <row r="1719" spans="11:14" ht="15" customHeight="1" x14ac:dyDescent="0.25">
      <c r="K1719" s="26" t="str">
        <f t="shared" si="104"/>
        <v/>
      </c>
      <c r="L1719" s="26" t="str">
        <f t="shared" si="105"/>
        <v/>
      </c>
      <c r="M1719" s="26" t="str">
        <f t="shared" si="106"/>
        <v/>
      </c>
      <c r="N1719" s="27" t="str">
        <f t="shared" si="107"/>
        <v/>
      </c>
    </row>
    <row r="1720" spans="11:14" ht="15" customHeight="1" x14ac:dyDescent="0.25">
      <c r="K1720" s="26" t="str">
        <f t="shared" si="104"/>
        <v/>
      </c>
      <c r="L1720" s="26" t="str">
        <f t="shared" si="105"/>
        <v/>
      </c>
      <c r="M1720" s="26" t="str">
        <f t="shared" si="106"/>
        <v/>
      </c>
      <c r="N1720" s="27" t="str">
        <f t="shared" si="107"/>
        <v/>
      </c>
    </row>
    <row r="1721" spans="11:14" ht="15" customHeight="1" x14ac:dyDescent="0.25">
      <c r="K1721" s="26" t="str">
        <f t="shared" si="104"/>
        <v/>
      </c>
      <c r="L1721" s="26" t="str">
        <f t="shared" si="105"/>
        <v/>
      </c>
      <c r="M1721" s="26" t="str">
        <f t="shared" si="106"/>
        <v/>
      </c>
      <c r="N1721" s="27" t="str">
        <f t="shared" si="107"/>
        <v/>
      </c>
    </row>
    <row r="1722" spans="11:14" ht="15" customHeight="1" x14ac:dyDescent="0.25">
      <c r="K1722" s="26" t="str">
        <f t="shared" si="104"/>
        <v/>
      </c>
      <c r="L1722" s="26" t="str">
        <f t="shared" si="105"/>
        <v/>
      </c>
      <c r="M1722" s="26" t="str">
        <f t="shared" si="106"/>
        <v/>
      </c>
      <c r="N1722" s="27" t="str">
        <f t="shared" si="107"/>
        <v/>
      </c>
    </row>
    <row r="1723" spans="11:14" ht="15" customHeight="1" x14ac:dyDescent="0.25">
      <c r="K1723" s="26" t="str">
        <f t="shared" si="104"/>
        <v/>
      </c>
      <c r="L1723" s="26" t="str">
        <f t="shared" si="105"/>
        <v/>
      </c>
      <c r="M1723" s="26" t="str">
        <f t="shared" si="106"/>
        <v/>
      </c>
      <c r="N1723" s="27" t="str">
        <f t="shared" si="107"/>
        <v/>
      </c>
    </row>
    <row r="1724" spans="11:14" ht="15" customHeight="1" x14ac:dyDescent="0.25">
      <c r="K1724" s="26" t="str">
        <f t="shared" si="104"/>
        <v/>
      </c>
      <c r="L1724" s="26" t="str">
        <f t="shared" si="105"/>
        <v/>
      </c>
      <c r="M1724" s="26" t="str">
        <f t="shared" si="106"/>
        <v/>
      </c>
      <c r="N1724" s="27" t="str">
        <f t="shared" si="107"/>
        <v/>
      </c>
    </row>
    <row r="1725" spans="11:14" ht="15" customHeight="1" x14ac:dyDescent="0.25">
      <c r="K1725" s="26" t="str">
        <f t="shared" si="104"/>
        <v/>
      </c>
      <c r="L1725" s="26" t="str">
        <f t="shared" si="105"/>
        <v/>
      </c>
      <c r="M1725" s="26" t="str">
        <f t="shared" si="106"/>
        <v/>
      </c>
      <c r="N1725" s="27" t="str">
        <f t="shared" si="107"/>
        <v/>
      </c>
    </row>
    <row r="1726" spans="11:14" ht="15" customHeight="1" x14ac:dyDescent="0.25">
      <c r="K1726" s="26" t="str">
        <f t="shared" si="104"/>
        <v/>
      </c>
      <c r="L1726" s="26" t="str">
        <f t="shared" si="105"/>
        <v/>
      </c>
      <c r="M1726" s="26" t="str">
        <f t="shared" si="106"/>
        <v/>
      </c>
      <c r="N1726" s="27" t="str">
        <f t="shared" si="107"/>
        <v/>
      </c>
    </row>
    <row r="1727" spans="11:14" ht="15" customHeight="1" x14ac:dyDescent="0.25">
      <c r="K1727" s="26" t="str">
        <f t="shared" si="104"/>
        <v/>
      </c>
      <c r="L1727" s="26" t="str">
        <f t="shared" si="105"/>
        <v/>
      </c>
      <c r="M1727" s="26" t="str">
        <f t="shared" si="106"/>
        <v/>
      </c>
      <c r="N1727" s="27" t="str">
        <f t="shared" si="107"/>
        <v/>
      </c>
    </row>
    <row r="1728" spans="11:14" ht="15" customHeight="1" x14ac:dyDescent="0.25">
      <c r="K1728" s="26" t="str">
        <f t="shared" si="104"/>
        <v/>
      </c>
      <c r="L1728" s="26" t="str">
        <f t="shared" si="105"/>
        <v/>
      </c>
      <c r="M1728" s="26" t="str">
        <f t="shared" si="106"/>
        <v/>
      </c>
      <c r="N1728" s="27" t="str">
        <f t="shared" si="107"/>
        <v/>
      </c>
    </row>
    <row r="1729" spans="11:14" ht="15" customHeight="1" x14ac:dyDescent="0.25">
      <c r="K1729" s="26" t="str">
        <f t="shared" si="104"/>
        <v/>
      </c>
      <c r="L1729" s="26" t="str">
        <f t="shared" si="105"/>
        <v/>
      </c>
      <c r="M1729" s="26" t="str">
        <f t="shared" si="106"/>
        <v/>
      </c>
      <c r="N1729" s="27" t="str">
        <f t="shared" si="107"/>
        <v/>
      </c>
    </row>
    <row r="1730" spans="11:14" ht="15" customHeight="1" x14ac:dyDescent="0.25">
      <c r="K1730" s="26" t="str">
        <f t="shared" si="104"/>
        <v/>
      </c>
      <c r="L1730" s="26" t="str">
        <f t="shared" si="105"/>
        <v/>
      </c>
      <c r="M1730" s="26" t="str">
        <f t="shared" si="106"/>
        <v/>
      </c>
      <c r="N1730" s="27" t="str">
        <f t="shared" si="107"/>
        <v/>
      </c>
    </row>
    <row r="1731" spans="11:14" ht="15" customHeight="1" x14ac:dyDescent="0.25">
      <c r="K1731" s="26" t="str">
        <f t="shared" si="104"/>
        <v/>
      </c>
      <c r="L1731" s="26" t="str">
        <f t="shared" si="105"/>
        <v/>
      </c>
      <c r="M1731" s="26" t="str">
        <f t="shared" si="106"/>
        <v/>
      </c>
      <c r="N1731" s="27" t="str">
        <f t="shared" si="107"/>
        <v/>
      </c>
    </row>
    <row r="1732" spans="11:14" ht="15" customHeight="1" x14ac:dyDescent="0.25">
      <c r="K1732" s="26" t="str">
        <f t="shared" si="104"/>
        <v/>
      </c>
      <c r="L1732" s="26" t="str">
        <f t="shared" si="105"/>
        <v/>
      </c>
      <c r="M1732" s="26" t="str">
        <f t="shared" si="106"/>
        <v/>
      </c>
      <c r="N1732" s="27" t="str">
        <f t="shared" si="107"/>
        <v/>
      </c>
    </row>
    <row r="1733" spans="11:14" ht="15" customHeight="1" x14ac:dyDescent="0.25">
      <c r="K1733" s="26" t="str">
        <f t="shared" ref="K1733:K1796" si="108">IF(H1733="","",(H1733-G1733)/G1733)</f>
        <v/>
      </c>
      <c r="L1733" s="26" t="str">
        <f t="shared" ref="L1733:L1796" si="109">IF(I1733="","",(I1733-G1733)/G1733)</f>
        <v/>
      </c>
      <c r="M1733" s="26" t="str">
        <f t="shared" ref="M1733:M1796" si="110">IF(J1733="","",(J1733-G1733)/G1733)</f>
        <v/>
      </c>
      <c r="N1733" s="27" t="str">
        <f t="shared" ref="N1733:N1796" si="111">IF(H1733="","",IF(D1733="HOLD",IF(ABS(K1733)&lt;0.03,"YES","NO"),IF(D1733="BUY",IF(K1733&gt;0,"YES","NO"),IF(D1733="SELL",IF(K1733&lt;0,"YES","NO"),""))))</f>
        <v/>
      </c>
    </row>
    <row r="1734" spans="11:14" ht="15" customHeight="1" x14ac:dyDescent="0.25">
      <c r="K1734" s="26" t="str">
        <f t="shared" si="108"/>
        <v/>
      </c>
      <c r="L1734" s="26" t="str">
        <f t="shared" si="109"/>
        <v/>
      </c>
      <c r="M1734" s="26" t="str">
        <f t="shared" si="110"/>
        <v/>
      </c>
      <c r="N1734" s="27" t="str">
        <f t="shared" si="111"/>
        <v/>
      </c>
    </row>
    <row r="1735" spans="11:14" ht="15" customHeight="1" x14ac:dyDescent="0.25">
      <c r="K1735" s="26" t="str">
        <f t="shared" si="108"/>
        <v/>
      </c>
      <c r="L1735" s="26" t="str">
        <f t="shared" si="109"/>
        <v/>
      </c>
      <c r="M1735" s="26" t="str">
        <f t="shared" si="110"/>
        <v/>
      </c>
      <c r="N1735" s="27" t="str">
        <f t="shared" si="111"/>
        <v/>
      </c>
    </row>
    <row r="1736" spans="11:14" ht="15" customHeight="1" x14ac:dyDescent="0.25">
      <c r="K1736" s="26" t="str">
        <f t="shared" si="108"/>
        <v/>
      </c>
      <c r="L1736" s="26" t="str">
        <f t="shared" si="109"/>
        <v/>
      </c>
      <c r="M1736" s="26" t="str">
        <f t="shared" si="110"/>
        <v/>
      </c>
      <c r="N1736" s="27" t="str">
        <f t="shared" si="111"/>
        <v/>
      </c>
    </row>
    <row r="1737" spans="11:14" ht="15" customHeight="1" x14ac:dyDescent="0.25">
      <c r="K1737" s="26" t="str">
        <f t="shared" si="108"/>
        <v/>
      </c>
      <c r="L1737" s="26" t="str">
        <f t="shared" si="109"/>
        <v/>
      </c>
      <c r="M1737" s="26" t="str">
        <f t="shared" si="110"/>
        <v/>
      </c>
      <c r="N1737" s="27" t="str">
        <f t="shared" si="111"/>
        <v/>
      </c>
    </row>
    <row r="1738" spans="11:14" ht="15" customHeight="1" x14ac:dyDescent="0.25">
      <c r="K1738" s="26" t="str">
        <f t="shared" si="108"/>
        <v/>
      </c>
      <c r="L1738" s="26" t="str">
        <f t="shared" si="109"/>
        <v/>
      </c>
      <c r="M1738" s="26" t="str">
        <f t="shared" si="110"/>
        <v/>
      </c>
      <c r="N1738" s="27" t="str">
        <f t="shared" si="111"/>
        <v/>
      </c>
    </row>
    <row r="1739" spans="11:14" ht="15" customHeight="1" x14ac:dyDescent="0.25">
      <c r="K1739" s="26" t="str">
        <f t="shared" si="108"/>
        <v/>
      </c>
      <c r="L1739" s="26" t="str">
        <f t="shared" si="109"/>
        <v/>
      </c>
      <c r="M1739" s="26" t="str">
        <f t="shared" si="110"/>
        <v/>
      </c>
      <c r="N1739" s="27" t="str">
        <f t="shared" si="111"/>
        <v/>
      </c>
    </row>
    <row r="1740" spans="11:14" ht="15" customHeight="1" x14ac:dyDescent="0.25">
      <c r="K1740" s="26" t="str">
        <f t="shared" si="108"/>
        <v/>
      </c>
      <c r="L1740" s="26" t="str">
        <f t="shared" si="109"/>
        <v/>
      </c>
      <c r="M1740" s="26" t="str">
        <f t="shared" si="110"/>
        <v/>
      </c>
      <c r="N1740" s="27" t="str">
        <f t="shared" si="111"/>
        <v/>
      </c>
    </row>
    <row r="1741" spans="11:14" ht="15" customHeight="1" x14ac:dyDescent="0.25">
      <c r="K1741" s="26" t="str">
        <f t="shared" si="108"/>
        <v/>
      </c>
      <c r="L1741" s="26" t="str">
        <f t="shared" si="109"/>
        <v/>
      </c>
      <c r="M1741" s="26" t="str">
        <f t="shared" si="110"/>
        <v/>
      </c>
      <c r="N1741" s="27" t="str">
        <f t="shared" si="111"/>
        <v/>
      </c>
    </row>
    <row r="1742" spans="11:14" ht="15" customHeight="1" x14ac:dyDescent="0.25">
      <c r="K1742" s="26" t="str">
        <f t="shared" si="108"/>
        <v/>
      </c>
      <c r="L1742" s="26" t="str">
        <f t="shared" si="109"/>
        <v/>
      </c>
      <c r="M1742" s="26" t="str">
        <f t="shared" si="110"/>
        <v/>
      </c>
      <c r="N1742" s="27" t="str">
        <f t="shared" si="111"/>
        <v/>
      </c>
    </row>
    <row r="1743" spans="11:14" ht="15" customHeight="1" x14ac:dyDescent="0.25">
      <c r="K1743" s="26" t="str">
        <f t="shared" si="108"/>
        <v/>
      </c>
      <c r="L1743" s="26" t="str">
        <f t="shared" si="109"/>
        <v/>
      </c>
      <c r="M1743" s="26" t="str">
        <f t="shared" si="110"/>
        <v/>
      </c>
      <c r="N1743" s="27" t="str">
        <f t="shared" si="111"/>
        <v/>
      </c>
    </row>
    <row r="1744" spans="11:14" ht="15" customHeight="1" x14ac:dyDescent="0.25">
      <c r="K1744" s="26" t="str">
        <f t="shared" si="108"/>
        <v/>
      </c>
      <c r="L1744" s="26" t="str">
        <f t="shared" si="109"/>
        <v/>
      </c>
      <c r="M1744" s="26" t="str">
        <f t="shared" si="110"/>
        <v/>
      </c>
      <c r="N1744" s="27" t="str">
        <f t="shared" si="111"/>
        <v/>
      </c>
    </row>
    <row r="1745" spans="11:14" ht="15" customHeight="1" x14ac:dyDescent="0.25">
      <c r="K1745" s="26" t="str">
        <f t="shared" si="108"/>
        <v/>
      </c>
      <c r="L1745" s="26" t="str">
        <f t="shared" si="109"/>
        <v/>
      </c>
      <c r="M1745" s="26" t="str">
        <f t="shared" si="110"/>
        <v/>
      </c>
      <c r="N1745" s="27" t="str">
        <f t="shared" si="111"/>
        <v/>
      </c>
    </row>
    <row r="1746" spans="11:14" ht="15" customHeight="1" x14ac:dyDescent="0.25">
      <c r="K1746" s="26" t="str">
        <f t="shared" si="108"/>
        <v/>
      </c>
      <c r="L1746" s="26" t="str">
        <f t="shared" si="109"/>
        <v/>
      </c>
      <c r="M1746" s="26" t="str">
        <f t="shared" si="110"/>
        <v/>
      </c>
      <c r="N1746" s="27" t="str">
        <f t="shared" si="111"/>
        <v/>
      </c>
    </row>
    <row r="1747" spans="11:14" ht="15" customHeight="1" x14ac:dyDescent="0.25">
      <c r="K1747" s="26" t="str">
        <f t="shared" si="108"/>
        <v/>
      </c>
      <c r="L1747" s="26" t="str">
        <f t="shared" si="109"/>
        <v/>
      </c>
      <c r="M1747" s="26" t="str">
        <f t="shared" si="110"/>
        <v/>
      </c>
      <c r="N1747" s="27" t="str">
        <f t="shared" si="111"/>
        <v/>
      </c>
    </row>
    <row r="1748" spans="11:14" ht="15" customHeight="1" x14ac:dyDescent="0.25">
      <c r="K1748" s="26" t="str">
        <f t="shared" si="108"/>
        <v/>
      </c>
      <c r="L1748" s="26" t="str">
        <f t="shared" si="109"/>
        <v/>
      </c>
      <c r="M1748" s="26" t="str">
        <f t="shared" si="110"/>
        <v/>
      </c>
      <c r="N1748" s="27" t="str">
        <f t="shared" si="111"/>
        <v/>
      </c>
    </row>
    <row r="1749" spans="11:14" ht="15" customHeight="1" x14ac:dyDescent="0.25">
      <c r="K1749" s="26" t="str">
        <f t="shared" si="108"/>
        <v/>
      </c>
      <c r="L1749" s="26" t="str">
        <f t="shared" si="109"/>
        <v/>
      </c>
      <c r="M1749" s="26" t="str">
        <f t="shared" si="110"/>
        <v/>
      </c>
      <c r="N1749" s="27" t="str">
        <f t="shared" si="111"/>
        <v/>
      </c>
    </row>
    <row r="1750" spans="11:14" ht="15" customHeight="1" x14ac:dyDescent="0.25">
      <c r="K1750" s="26" t="str">
        <f t="shared" si="108"/>
        <v/>
      </c>
      <c r="L1750" s="26" t="str">
        <f t="shared" si="109"/>
        <v/>
      </c>
      <c r="M1750" s="26" t="str">
        <f t="shared" si="110"/>
        <v/>
      </c>
      <c r="N1750" s="27" t="str">
        <f t="shared" si="111"/>
        <v/>
      </c>
    </row>
    <row r="1751" spans="11:14" ht="15" customHeight="1" x14ac:dyDescent="0.25">
      <c r="K1751" s="26" t="str">
        <f t="shared" si="108"/>
        <v/>
      </c>
      <c r="L1751" s="26" t="str">
        <f t="shared" si="109"/>
        <v/>
      </c>
      <c r="M1751" s="26" t="str">
        <f t="shared" si="110"/>
        <v/>
      </c>
      <c r="N1751" s="27" t="str">
        <f t="shared" si="111"/>
        <v/>
      </c>
    </row>
    <row r="1752" spans="11:14" ht="15" customHeight="1" x14ac:dyDescent="0.25">
      <c r="K1752" s="26" t="str">
        <f t="shared" si="108"/>
        <v/>
      </c>
      <c r="L1752" s="26" t="str">
        <f t="shared" si="109"/>
        <v/>
      </c>
      <c r="M1752" s="26" t="str">
        <f t="shared" si="110"/>
        <v/>
      </c>
      <c r="N1752" s="27" t="str">
        <f t="shared" si="111"/>
        <v/>
      </c>
    </row>
    <row r="1753" spans="11:14" ht="15" customHeight="1" x14ac:dyDescent="0.25">
      <c r="K1753" s="26" t="str">
        <f t="shared" si="108"/>
        <v/>
      </c>
      <c r="L1753" s="26" t="str">
        <f t="shared" si="109"/>
        <v/>
      </c>
      <c r="M1753" s="26" t="str">
        <f t="shared" si="110"/>
        <v/>
      </c>
      <c r="N1753" s="27" t="str">
        <f t="shared" si="111"/>
        <v/>
      </c>
    </row>
    <row r="1754" spans="11:14" ht="15" customHeight="1" x14ac:dyDescent="0.25">
      <c r="K1754" s="26" t="str">
        <f t="shared" si="108"/>
        <v/>
      </c>
      <c r="L1754" s="26" t="str">
        <f t="shared" si="109"/>
        <v/>
      </c>
      <c r="M1754" s="26" t="str">
        <f t="shared" si="110"/>
        <v/>
      </c>
      <c r="N1754" s="27" t="str">
        <f t="shared" si="111"/>
        <v/>
      </c>
    </row>
    <row r="1755" spans="11:14" ht="15" customHeight="1" x14ac:dyDescent="0.25">
      <c r="K1755" s="26" t="str">
        <f t="shared" si="108"/>
        <v/>
      </c>
      <c r="L1755" s="26" t="str">
        <f t="shared" si="109"/>
        <v/>
      </c>
      <c r="M1755" s="26" t="str">
        <f t="shared" si="110"/>
        <v/>
      </c>
      <c r="N1755" s="27" t="str">
        <f t="shared" si="111"/>
        <v/>
      </c>
    </row>
    <row r="1756" spans="11:14" ht="15" customHeight="1" x14ac:dyDescent="0.25">
      <c r="K1756" s="26" t="str">
        <f t="shared" si="108"/>
        <v/>
      </c>
      <c r="L1756" s="26" t="str">
        <f t="shared" si="109"/>
        <v/>
      </c>
      <c r="M1756" s="26" t="str">
        <f t="shared" si="110"/>
        <v/>
      </c>
      <c r="N1756" s="27" t="str">
        <f t="shared" si="111"/>
        <v/>
      </c>
    </row>
    <row r="1757" spans="11:14" ht="15" customHeight="1" x14ac:dyDescent="0.25">
      <c r="K1757" s="26" t="str">
        <f t="shared" si="108"/>
        <v/>
      </c>
      <c r="L1757" s="26" t="str">
        <f t="shared" si="109"/>
        <v/>
      </c>
      <c r="M1757" s="26" t="str">
        <f t="shared" si="110"/>
        <v/>
      </c>
      <c r="N1757" s="27" t="str">
        <f t="shared" si="111"/>
        <v/>
      </c>
    </row>
    <row r="1758" spans="11:14" ht="15" customHeight="1" x14ac:dyDescent="0.25">
      <c r="K1758" s="26" t="str">
        <f t="shared" si="108"/>
        <v/>
      </c>
      <c r="L1758" s="26" t="str">
        <f t="shared" si="109"/>
        <v/>
      </c>
      <c r="M1758" s="26" t="str">
        <f t="shared" si="110"/>
        <v/>
      </c>
      <c r="N1758" s="27" t="str">
        <f t="shared" si="111"/>
        <v/>
      </c>
    </row>
    <row r="1759" spans="11:14" ht="15" customHeight="1" x14ac:dyDescent="0.25">
      <c r="K1759" s="26" t="str">
        <f t="shared" si="108"/>
        <v/>
      </c>
      <c r="L1759" s="26" t="str">
        <f t="shared" si="109"/>
        <v/>
      </c>
      <c r="M1759" s="26" t="str">
        <f t="shared" si="110"/>
        <v/>
      </c>
      <c r="N1759" s="27" t="str">
        <f t="shared" si="111"/>
        <v/>
      </c>
    </row>
    <row r="1760" spans="11:14" ht="15" customHeight="1" x14ac:dyDescent="0.25">
      <c r="K1760" s="26" t="str">
        <f t="shared" si="108"/>
        <v/>
      </c>
      <c r="L1760" s="26" t="str">
        <f t="shared" si="109"/>
        <v/>
      </c>
      <c r="M1760" s="26" t="str">
        <f t="shared" si="110"/>
        <v/>
      </c>
      <c r="N1760" s="27" t="str">
        <f t="shared" si="111"/>
        <v/>
      </c>
    </row>
    <row r="1761" spans="11:14" ht="15" customHeight="1" x14ac:dyDescent="0.25">
      <c r="K1761" s="26" t="str">
        <f t="shared" si="108"/>
        <v/>
      </c>
      <c r="L1761" s="26" t="str">
        <f t="shared" si="109"/>
        <v/>
      </c>
      <c r="M1761" s="26" t="str">
        <f t="shared" si="110"/>
        <v/>
      </c>
      <c r="N1761" s="27" t="str">
        <f t="shared" si="111"/>
        <v/>
      </c>
    </row>
    <row r="1762" spans="11:14" ht="15" customHeight="1" x14ac:dyDescent="0.25">
      <c r="K1762" s="26" t="str">
        <f t="shared" si="108"/>
        <v/>
      </c>
      <c r="L1762" s="26" t="str">
        <f t="shared" si="109"/>
        <v/>
      </c>
      <c r="M1762" s="26" t="str">
        <f t="shared" si="110"/>
        <v/>
      </c>
      <c r="N1762" s="27" t="str">
        <f t="shared" si="111"/>
        <v/>
      </c>
    </row>
    <row r="1763" spans="11:14" ht="15" customHeight="1" x14ac:dyDescent="0.25">
      <c r="K1763" s="26" t="str">
        <f t="shared" si="108"/>
        <v/>
      </c>
      <c r="L1763" s="26" t="str">
        <f t="shared" si="109"/>
        <v/>
      </c>
      <c r="M1763" s="26" t="str">
        <f t="shared" si="110"/>
        <v/>
      </c>
      <c r="N1763" s="27" t="str">
        <f t="shared" si="111"/>
        <v/>
      </c>
    </row>
    <row r="1764" spans="11:14" ht="15" customHeight="1" x14ac:dyDescent="0.25">
      <c r="K1764" s="26" t="str">
        <f t="shared" si="108"/>
        <v/>
      </c>
      <c r="L1764" s="26" t="str">
        <f t="shared" si="109"/>
        <v/>
      </c>
      <c r="M1764" s="26" t="str">
        <f t="shared" si="110"/>
        <v/>
      </c>
      <c r="N1764" s="27" t="str">
        <f t="shared" si="111"/>
        <v/>
      </c>
    </row>
    <row r="1765" spans="11:14" ht="15" customHeight="1" x14ac:dyDescent="0.25">
      <c r="K1765" s="26" t="str">
        <f t="shared" si="108"/>
        <v/>
      </c>
      <c r="L1765" s="26" t="str">
        <f t="shared" si="109"/>
        <v/>
      </c>
      <c r="M1765" s="26" t="str">
        <f t="shared" si="110"/>
        <v/>
      </c>
      <c r="N1765" s="27" t="str">
        <f t="shared" si="111"/>
        <v/>
      </c>
    </row>
    <row r="1766" spans="11:14" ht="15" customHeight="1" x14ac:dyDescent="0.25">
      <c r="K1766" s="26" t="str">
        <f t="shared" si="108"/>
        <v/>
      </c>
      <c r="L1766" s="26" t="str">
        <f t="shared" si="109"/>
        <v/>
      </c>
      <c r="M1766" s="26" t="str">
        <f t="shared" si="110"/>
        <v/>
      </c>
      <c r="N1766" s="27" t="str">
        <f t="shared" si="111"/>
        <v/>
      </c>
    </row>
    <row r="1767" spans="11:14" ht="15" customHeight="1" x14ac:dyDescent="0.25">
      <c r="K1767" s="26" t="str">
        <f t="shared" si="108"/>
        <v/>
      </c>
      <c r="L1767" s="26" t="str">
        <f t="shared" si="109"/>
        <v/>
      </c>
      <c r="M1767" s="26" t="str">
        <f t="shared" si="110"/>
        <v/>
      </c>
      <c r="N1767" s="27" t="str">
        <f t="shared" si="111"/>
        <v/>
      </c>
    </row>
    <row r="1768" spans="11:14" ht="15" customHeight="1" x14ac:dyDescent="0.25">
      <c r="K1768" s="26" t="str">
        <f t="shared" si="108"/>
        <v/>
      </c>
      <c r="L1768" s="26" t="str">
        <f t="shared" si="109"/>
        <v/>
      </c>
      <c r="M1768" s="26" t="str">
        <f t="shared" si="110"/>
        <v/>
      </c>
      <c r="N1768" s="27" t="str">
        <f t="shared" si="111"/>
        <v/>
      </c>
    </row>
    <row r="1769" spans="11:14" ht="15" customHeight="1" x14ac:dyDescent="0.25">
      <c r="K1769" s="26" t="str">
        <f t="shared" si="108"/>
        <v/>
      </c>
      <c r="L1769" s="26" t="str">
        <f t="shared" si="109"/>
        <v/>
      </c>
      <c r="M1769" s="26" t="str">
        <f t="shared" si="110"/>
        <v/>
      </c>
      <c r="N1769" s="27" t="str">
        <f t="shared" si="111"/>
        <v/>
      </c>
    </row>
    <row r="1770" spans="11:14" ht="15" customHeight="1" x14ac:dyDescent="0.25">
      <c r="K1770" s="26" t="str">
        <f t="shared" si="108"/>
        <v/>
      </c>
      <c r="L1770" s="26" t="str">
        <f t="shared" si="109"/>
        <v/>
      </c>
      <c r="M1770" s="26" t="str">
        <f t="shared" si="110"/>
        <v/>
      </c>
      <c r="N1770" s="27" t="str">
        <f t="shared" si="111"/>
        <v/>
      </c>
    </row>
    <row r="1771" spans="11:14" ht="15" customHeight="1" x14ac:dyDescent="0.25">
      <c r="K1771" s="26" t="str">
        <f t="shared" si="108"/>
        <v/>
      </c>
      <c r="L1771" s="26" t="str">
        <f t="shared" si="109"/>
        <v/>
      </c>
      <c r="M1771" s="26" t="str">
        <f t="shared" si="110"/>
        <v/>
      </c>
      <c r="N1771" s="27" t="str">
        <f t="shared" si="111"/>
        <v/>
      </c>
    </row>
    <row r="1772" spans="11:14" ht="15" customHeight="1" x14ac:dyDescent="0.25">
      <c r="K1772" s="26" t="str">
        <f t="shared" si="108"/>
        <v/>
      </c>
      <c r="L1772" s="26" t="str">
        <f t="shared" si="109"/>
        <v/>
      </c>
      <c r="M1772" s="26" t="str">
        <f t="shared" si="110"/>
        <v/>
      </c>
      <c r="N1772" s="27" t="str">
        <f t="shared" si="111"/>
        <v/>
      </c>
    </row>
    <row r="1773" spans="11:14" ht="15" customHeight="1" x14ac:dyDescent="0.25">
      <c r="K1773" s="26" t="str">
        <f t="shared" si="108"/>
        <v/>
      </c>
      <c r="L1773" s="26" t="str">
        <f t="shared" si="109"/>
        <v/>
      </c>
      <c r="M1773" s="26" t="str">
        <f t="shared" si="110"/>
        <v/>
      </c>
      <c r="N1773" s="27" t="str">
        <f t="shared" si="111"/>
        <v/>
      </c>
    </row>
    <row r="1774" spans="11:14" ht="15" customHeight="1" x14ac:dyDescent="0.25">
      <c r="K1774" s="26" t="str">
        <f t="shared" si="108"/>
        <v/>
      </c>
      <c r="L1774" s="26" t="str">
        <f t="shared" si="109"/>
        <v/>
      </c>
      <c r="M1774" s="26" t="str">
        <f t="shared" si="110"/>
        <v/>
      </c>
      <c r="N1774" s="27" t="str">
        <f t="shared" si="111"/>
        <v/>
      </c>
    </row>
    <row r="1775" spans="11:14" ht="15" customHeight="1" x14ac:dyDescent="0.25">
      <c r="K1775" s="26" t="str">
        <f t="shared" si="108"/>
        <v/>
      </c>
      <c r="L1775" s="26" t="str">
        <f t="shared" si="109"/>
        <v/>
      </c>
      <c r="M1775" s="26" t="str">
        <f t="shared" si="110"/>
        <v/>
      </c>
      <c r="N1775" s="27" t="str">
        <f t="shared" si="111"/>
        <v/>
      </c>
    </row>
    <row r="1776" spans="11:14" ht="15" customHeight="1" x14ac:dyDescent="0.25">
      <c r="K1776" s="26" t="str">
        <f t="shared" si="108"/>
        <v/>
      </c>
      <c r="L1776" s="26" t="str">
        <f t="shared" si="109"/>
        <v/>
      </c>
      <c r="M1776" s="26" t="str">
        <f t="shared" si="110"/>
        <v/>
      </c>
      <c r="N1776" s="27" t="str">
        <f t="shared" si="111"/>
        <v/>
      </c>
    </row>
    <row r="1777" spans="11:14" ht="15" customHeight="1" x14ac:dyDescent="0.25">
      <c r="K1777" s="26" t="str">
        <f t="shared" si="108"/>
        <v/>
      </c>
      <c r="L1777" s="26" t="str">
        <f t="shared" si="109"/>
        <v/>
      </c>
      <c r="M1777" s="26" t="str">
        <f t="shared" si="110"/>
        <v/>
      </c>
      <c r="N1777" s="27" t="str">
        <f t="shared" si="111"/>
        <v/>
      </c>
    </row>
    <row r="1778" spans="11:14" ht="15" customHeight="1" x14ac:dyDescent="0.25">
      <c r="K1778" s="26" t="str">
        <f t="shared" si="108"/>
        <v/>
      </c>
      <c r="L1778" s="26" t="str">
        <f t="shared" si="109"/>
        <v/>
      </c>
      <c r="M1778" s="26" t="str">
        <f t="shared" si="110"/>
        <v/>
      </c>
      <c r="N1778" s="27" t="str">
        <f t="shared" si="111"/>
        <v/>
      </c>
    </row>
    <row r="1779" spans="11:14" ht="15" customHeight="1" x14ac:dyDescent="0.25">
      <c r="K1779" s="26" t="str">
        <f t="shared" si="108"/>
        <v/>
      </c>
      <c r="L1779" s="26" t="str">
        <f t="shared" si="109"/>
        <v/>
      </c>
      <c r="M1779" s="26" t="str">
        <f t="shared" si="110"/>
        <v/>
      </c>
      <c r="N1779" s="27" t="str">
        <f t="shared" si="111"/>
        <v/>
      </c>
    </row>
    <row r="1780" spans="11:14" ht="15" customHeight="1" x14ac:dyDescent="0.25">
      <c r="K1780" s="26" t="str">
        <f t="shared" si="108"/>
        <v/>
      </c>
      <c r="L1780" s="26" t="str">
        <f t="shared" si="109"/>
        <v/>
      </c>
      <c r="M1780" s="26" t="str">
        <f t="shared" si="110"/>
        <v/>
      </c>
      <c r="N1780" s="27" t="str">
        <f t="shared" si="111"/>
        <v/>
      </c>
    </row>
    <row r="1781" spans="11:14" ht="15" customHeight="1" x14ac:dyDescent="0.25">
      <c r="K1781" s="26" t="str">
        <f t="shared" si="108"/>
        <v/>
      </c>
      <c r="L1781" s="26" t="str">
        <f t="shared" si="109"/>
        <v/>
      </c>
      <c r="M1781" s="26" t="str">
        <f t="shared" si="110"/>
        <v/>
      </c>
      <c r="N1781" s="27" t="str">
        <f t="shared" si="111"/>
        <v/>
      </c>
    </row>
    <row r="1782" spans="11:14" ht="15" customHeight="1" x14ac:dyDescent="0.25">
      <c r="K1782" s="26" t="str">
        <f t="shared" si="108"/>
        <v/>
      </c>
      <c r="L1782" s="26" t="str">
        <f t="shared" si="109"/>
        <v/>
      </c>
      <c r="M1782" s="26" t="str">
        <f t="shared" si="110"/>
        <v/>
      </c>
      <c r="N1782" s="27" t="str">
        <f t="shared" si="111"/>
        <v/>
      </c>
    </row>
    <row r="1783" spans="11:14" ht="15" customHeight="1" x14ac:dyDescent="0.25">
      <c r="K1783" s="26" t="str">
        <f t="shared" si="108"/>
        <v/>
      </c>
      <c r="L1783" s="26" t="str">
        <f t="shared" si="109"/>
        <v/>
      </c>
      <c r="M1783" s="26" t="str">
        <f t="shared" si="110"/>
        <v/>
      </c>
      <c r="N1783" s="27" t="str">
        <f t="shared" si="111"/>
        <v/>
      </c>
    </row>
    <row r="1784" spans="11:14" ht="15" customHeight="1" x14ac:dyDescent="0.25">
      <c r="K1784" s="26" t="str">
        <f t="shared" si="108"/>
        <v/>
      </c>
      <c r="L1784" s="26" t="str">
        <f t="shared" si="109"/>
        <v/>
      </c>
      <c r="M1784" s="26" t="str">
        <f t="shared" si="110"/>
        <v/>
      </c>
      <c r="N1784" s="27" t="str">
        <f t="shared" si="111"/>
        <v/>
      </c>
    </row>
    <row r="1785" spans="11:14" ht="15" customHeight="1" x14ac:dyDescent="0.25">
      <c r="K1785" s="26" t="str">
        <f t="shared" si="108"/>
        <v/>
      </c>
      <c r="L1785" s="26" t="str">
        <f t="shared" si="109"/>
        <v/>
      </c>
      <c r="M1785" s="26" t="str">
        <f t="shared" si="110"/>
        <v/>
      </c>
      <c r="N1785" s="27" t="str">
        <f t="shared" si="111"/>
        <v/>
      </c>
    </row>
    <row r="1786" spans="11:14" ht="15" customHeight="1" x14ac:dyDescent="0.25">
      <c r="K1786" s="26" t="str">
        <f t="shared" si="108"/>
        <v/>
      </c>
      <c r="L1786" s="26" t="str">
        <f t="shared" si="109"/>
        <v/>
      </c>
      <c r="M1786" s="26" t="str">
        <f t="shared" si="110"/>
        <v/>
      </c>
      <c r="N1786" s="27" t="str">
        <f t="shared" si="111"/>
        <v/>
      </c>
    </row>
    <row r="1787" spans="11:14" ht="15" customHeight="1" x14ac:dyDescent="0.25">
      <c r="K1787" s="26" t="str">
        <f t="shared" si="108"/>
        <v/>
      </c>
      <c r="L1787" s="26" t="str">
        <f t="shared" si="109"/>
        <v/>
      </c>
      <c r="M1787" s="26" t="str">
        <f t="shared" si="110"/>
        <v/>
      </c>
      <c r="N1787" s="27" t="str">
        <f t="shared" si="111"/>
        <v/>
      </c>
    </row>
    <row r="1788" spans="11:14" ht="15" customHeight="1" x14ac:dyDescent="0.25">
      <c r="K1788" s="26" t="str">
        <f t="shared" si="108"/>
        <v/>
      </c>
      <c r="L1788" s="26" t="str">
        <f t="shared" si="109"/>
        <v/>
      </c>
      <c r="M1788" s="26" t="str">
        <f t="shared" si="110"/>
        <v/>
      </c>
      <c r="N1788" s="27" t="str">
        <f t="shared" si="111"/>
        <v/>
      </c>
    </row>
    <row r="1789" spans="11:14" ht="15" customHeight="1" x14ac:dyDescent="0.25">
      <c r="K1789" s="26" t="str">
        <f t="shared" si="108"/>
        <v/>
      </c>
      <c r="L1789" s="26" t="str">
        <f t="shared" si="109"/>
        <v/>
      </c>
      <c r="M1789" s="26" t="str">
        <f t="shared" si="110"/>
        <v/>
      </c>
      <c r="N1789" s="27" t="str">
        <f t="shared" si="111"/>
        <v/>
      </c>
    </row>
    <row r="1790" spans="11:14" ht="15" customHeight="1" x14ac:dyDescent="0.25">
      <c r="K1790" s="26" t="str">
        <f t="shared" si="108"/>
        <v/>
      </c>
      <c r="L1790" s="26" t="str">
        <f t="shared" si="109"/>
        <v/>
      </c>
      <c r="M1790" s="26" t="str">
        <f t="shared" si="110"/>
        <v/>
      </c>
      <c r="N1790" s="27" t="str">
        <f t="shared" si="111"/>
        <v/>
      </c>
    </row>
    <row r="1791" spans="11:14" ht="15" customHeight="1" x14ac:dyDescent="0.25">
      <c r="K1791" s="26" t="str">
        <f t="shared" si="108"/>
        <v/>
      </c>
      <c r="L1791" s="26" t="str">
        <f t="shared" si="109"/>
        <v/>
      </c>
      <c r="M1791" s="26" t="str">
        <f t="shared" si="110"/>
        <v/>
      </c>
      <c r="N1791" s="27" t="str">
        <f t="shared" si="111"/>
        <v/>
      </c>
    </row>
    <row r="1792" spans="11:14" ht="15" customHeight="1" x14ac:dyDescent="0.25">
      <c r="K1792" s="26" t="str">
        <f t="shared" si="108"/>
        <v/>
      </c>
      <c r="L1792" s="26" t="str">
        <f t="shared" si="109"/>
        <v/>
      </c>
      <c r="M1792" s="26" t="str">
        <f t="shared" si="110"/>
        <v/>
      </c>
      <c r="N1792" s="27" t="str">
        <f t="shared" si="111"/>
        <v/>
      </c>
    </row>
    <row r="1793" spans="11:14" ht="15" customHeight="1" x14ac:dyDescent="0.25">
      <c r="K1793" s="26" t="str">
        <f t="shared" si="108"/>
        <v/>
      </c>
      <c r="L1793" s="26" t="str">
        <f t="shared" si="109"/>
        <v/>
      </c>
      <c r="M1793" s="26" t="str">
        <f t="shared" si="110"/>
        <v/>
      </c>
      <c r="N1793" s="27" t="str">
        <f t="shared" si="111"/>
        <v/>
      </c>
    </row>
    <row r="1794" spans="11:14" ht="15" customHeight="1" x14ac:dyDescent="0.25">
      <c r="K1794" s="26" t="str">
        <f t="shared" si="108"/>
        <v/>
      </c>
      <c r="L1794" s="26" t="str">
        <f t="shared" si="109"/>
        <v/>
      </c>
      <c r="M1794" s="26" t="str">
        <f t="shared" si="110"/>
        <v/>
      </c>
      <c r="N1794" s="27" t="str">
        <f t="shared" si="111"/>
        <v/>
      </c>
    </row>
    <row r="1795" spans="11:14" ht="15" customHeight="1" x14ac:dyDescent="0.25">
      <c r="K1795" s="26" t="str">
        <f t="shared" si="108"/>
        <v/>
      </c>
      <c r="L1795" s="26" t="str">
        <f t="shared" si="109"/>
        <v/>
      </c>
      <c r="M1795" s="26" t="str">
        <f t="shared" si="110"/>
        <v/>
      </c>
      <c r="N1795" s="27" t="str">
        <f t="shared" si="111"/>
        <v/>
      </c>
    </row>
    <row r="1796" spans="11:14" ht="15" customHeight="1" x14ac:dyDescent="0.25">
      <c r="K1796" s="26" t="str">
        <f t="shared" si="108"/>
        <v/>
      </c>
      <c r="L1796" s="26" t="str">
        <f t="shared" si="109"/>
        <v/>
      </c>
      <c r="M1796" s="26" t="str">
        <f t="shared" si="110"/>
        <v/>
      </c>
      <c r="N1796" s="27" t="str">
        <f t="shared" si="111"/>
        <v/>
      </c>
    </row>
    <row r="1797" spans="11:14" ht="15" customHeight="1" x14ac:dyDescent="0.25">
      <c r="K1797" s="26" t="str">
        <f t="shared" ref="K1797:K1860" si="112">IF(H1797="","",(H1797-G1797)/G1797)</f>
        <v/>
      </c>
      <c r="L1797" s="26" t="str">
        <f t="shared" ref="L1797:L1860" si="113">IF(I1797="","",(I1797-G1797)/G1797)</f>
        <v/>
      </c>
      <c r="M1797" s="26" t="str">
        <f t="shared" ref="M1797:M1860" si="114">IF(J1797="","",(J1797-G1797)/G1797)</f>
        <v/>
      </c>
      <c r="N1797" s="27" t="str">
        <f t="shared" ref="N1797:N1860" si="115">IF(H1797="","",IF(D1797="HOLD",IF(ABS(K1797)&lt;0.03,"YES","NO"),IF(D1797="BUY",IF(K1797&gt;0,"YES","NO"),IF(D1797="SELL",IF(K1797&lt;0,"YES","NO"),""))))</f>
        <v/>
      </c>
    </row>
    <row r="1798" spans="11:14" ht="15" customHeight="1" x14ac:dyDescent="0.25">
      <c r="K1798" s="26" t="str">
        <f t="shared" si="112"/>
        <v/>
      </c>
      <c r="L1798" s="26" t="str">
        <f t="shared" si="113"/>
        <v/>
      </c>
      <c r="M1798" s="26" t="str">
        <f t="shared" si="114"/>
        <v/>
      </c>
      <c r="N1798" s="27" t="str">
        <f t="shared" si="115"/>
        <v/>
      </c>
    </row>
    <row r="1799" spans="11:14" ht="15" customHeight="1" x14ac:dyDescent="0.25">
      <c r="K1799" s="26" t="str">
        <f t="shared" si="112"/>
        <v/>
      </c>
      <c r="L1799" s="26" t="str">
        <f t="shared" si="113"/>
        <v/>
      </c>
      <c r="M1799" s="26" t="str">
        <f t="shared" si="114"/>
        <v/>
      </c>
      <c r="N1799" s="27" t="str">
        <f t="shared" si="115"/>
        <v/>
      </c>
    </row>
    <row r="1800" spans="11:14" ht="15" customHeight="1" x14ac:dyDescent="0.25">
      <c r="K1800" s="26" t="str">
        <f t="shared" si="112"/>
        <v/>
      </c>
      <c r="L1800" s="26" t="str">
        <f t="shared" si="113"/>
        <v/>
      </c>
      <c r="M1800" s="26" t="str">
        <f t="shared" si="114"/>
        <v/>
      </c>
      <c r="N1800" s="27" t="str">
        <f t="shared" si="115"/>
        <v/>
      </c>
    </row>
    <row r="1801" spans="11:14" ht="15" customHeight="1" x14ac:dyDescent="0.25">
      <c r="K1801" s="26" t="str">
        <f t="shared" si="112"/>
        <v/>
      </c>
      <c r="L1801" s="26" t="str">
        <f t="shared" si="113"/>
        <v/>
      </c>
      <c r="M1801" s="26" t="str">
        <f t="shared" si="114"/>
        <v/>
      </c>
      <c r="N1801" s="27" t="str">
        <f t="shared" si="115"/>
        <v/>
      </c>
    </row>
    <row r="1802" spans="11:14" ht="15" customHeight="1" x14ac:dyDescent="0.25">
      <c r="K1802" s="26" t="str">
        <f t="shared" si="112"/>
        <v/>
      </c>
      <c r="L1802" s="26" t="str">
        <f t="shared" si="113"/>
        <v/>
      </c>
      <c r="M1802" s="26" t="str">
        <f t="shared" si="114"/>
        <v/>
      </c>
      <c r="N1802" s="27" t="str">
        <f t="shared" si="115"/>
        <v/>
      </c>
    </row>
    <row r="1803" spans="11:14" ht="15" customHeight="1" x14ac:dyDescent="0.25">
      <c r="K1803" s="26" t="str">
        <f t="shared" si="112"/>
        <v/>
      </c>
      <c r="L1803" s="26" t="str">
        <f t="shared" si="113"/>
        <v/>
      </c>
      <c r="M1803" s="26" t="str">
        <f t="shared" si="114"/>
        <v/>
      </c>
      <c r="N1803" s="27" t="str">
        <f t="shared" si="115"/>
        <v/>
      </c>
    </row>
    <row r="1804" spans="11:14" ht="15" customHeight="1" x14ac:dyDescent="0.25">
      <c r="K1804" s="26" t="str">
        <f t="shared" si="112"/>
        <v/>
      </c>
      <c r="L1804" s="26" t="str">
        <f t="shared" si="113"/>
        <v/>
      </c>
      <c r="M1804" s="26" t="str">
        <f t="shared" si="114"/>
        <v/>
      </c>
      <c r="N1804" s="27" t="str">
        <f t="shared" si="115"/>
        <v/>
      </c>
    </row>
    <row r="1805" spans="11:14" ht="15" customHeight="1" x14ac:dyDescent="0.25">
      <c r="K1805" s="26" t="str">
        <f t="shared" si="112"/>
        <v/>
      </c>
      <c r="L1805" s="26" t="str">
        <f t="shared" si="113"/>
        <v/>
      </c>
      <c r="M1805" s="26" t="str">
        <f t="shared" si="114"/>
        <v/>
      </c>
      <c r="N1805" s="27" t="str">
        <f t="shared" si="115"/>
        <v/>
      </c>
    </row>
    <row r="1806" spans="11:14" ht="15" customHeight="1" x14ac:dyDescent="0.25">
      <c r="K1806" s="26" t="str">
        <f t="shared" si="112"/>
        <v/>
      </c>
      <c r="L1806" s="26" t="str">
        <f t="shared" si="113"/>
        <v/>
      </c>
      <c r="M1806" s="26" t="str">
        <f t="shared" si="114"/>
        <v/>
      </c>
      <c r="N1806" s="27" t="str">
        <f t="shared" si="115"/>
        <v/>
      </c>
    </row>
    <row r="1807" spans="11:14" ht="15" customHeight="1" x14ac:dyDescent="0.25">
      <c r="K1807" s="26" t="str">
        <f t="shared" si="112"/>
        <v/>
      </c>
      <c r="L1807" s="26" t="str">
        <f t="shared" si="113"/>
        <v/>
      </c>
      <c r="M1807" s="26" t="str">
        <f t="shared" si="114"/>
        <v/>
      </c>
      <c r="N1807" s="27" t="str">
        <f t="shared" si="115"/>
        <v/>
      </c>
    </row>
    <row r="1808" spans="11:14" ht="15" customHeight="1" x14ac:dyDescent="0.25">
      <c r="K1808" s="26" t="str">
        <f t="shared" si="112"/>
        <v/>
      </c>
      <c r="L1808" s="26" t="str">
        <f t="shared" si="113"/>
        <v/>
      </c>
      <c r="M1808" s="26" t="str">
        <f t="shared" si="114"/>
        <v/>
      </c>
      <c r="N1808" s="27" t="str">
        <f t="shared" si="115"/>
        <v/>
      </c>
    </row>
    <row r="1809" spans="11:14" ht="15" customHeight="1" x14ac:dyDescent="0.25">
      <c r="K1809" s="26" t="str">
        <f t="shared" si="112"/>
        <v/>
      </c>
      <c r="L1809" s="26" t="str">
        <f t="shared" si="113"/>
        <v/>
      </c>
      <c r="M1809" s="26" t="str">
        <f t="shared" si="114"/>
        <v/>
      </c>
      <c r="N1809" s="27" t="str">
        <f t="shared" si="115"/>
        <v/>
      </c>
    </row>
    <row r="1810" spans="11:14" ht="15" customHeight="1" x14ac:dyDescent="0.25">
      <c r="K1810" s="26" t="str">
        <f t="shared" si="112"/>
        <v/>
      </c>
      <c r="L1810" s="26" t="str">
        <f t="shared" si="113"/>
        <v/>
      </c>
      <c r="M1810" s="26" t="str">
        <f t="shared" si="114"/>
        <v/>
      </c>
      <c r="N1810" s="27" t="str">
        <f t="shared" si="115"/>
        <v/>
      </c>
    </row>
    <row r="1811" spans="11:14" ht="15" customHeight="1" x14ac:dyDescent="0.25">
      <c r="K1811" s="26" t="str">
        <f t="shared" si="112"/>
        <v/>
      </c>
      <c r="L1811" s="26" t="str">
        <f t="shared" si="113"/>
        <v/>
      </c>
      <c r="M1811" s="26" t="str">
        <f t="shared" si="114"/>
        <v/>
      </c>
      <c r="N1811" s="27" t="str">
        <f t="shared" si="115"/>
        <v/>
      </c>
    </row>
    <row r="1812" spans="11:14" ht="15" customHeight="1" x14ac:dyDescent="0.25">
      <c r="K1812" s="26" t="str">
        <f t="shared" si="112"/>
        <v/>
      </c>
      <c r="L1812" s="26" t="str">
        <f t="shared" si="113"/>
        <v/>
      </c>
      <c r="M1812" s="26" t="str">
        <f t="shared" si="114"/>
        <v/>
      </c>
      <c r="N1812" s="27" t="str">
        <f t="shared" si="115"/>
        <v/>
      </c>
    </row>
    <row r="1813" spans="11:14" ht="15" customHeight="1" x14ac:dyDescent="0.25">
      <c r="K1813" s="26" t="str">
        <f t="shared" si="112"/>
        <v/>
      </c>
      <c r="L1813" s="26" t="str">
        <f t="shared" si="113"/>
        <v/>
      </c>
      <c r="M1813" s="26" t="str">
        <f t="shared" si="114"/>
        <v/>
      </c>
      <c r="N1813" s="27" t="str">
        <f t="shared" si="115"/>
        <v/>
      </c>
    </row>
    <row r="1814" spans="11:14" ht="15" customHeight="1" x14ac:dyDescent="0.25">
      <c r="K1814" s="26" t="str">
        <f t="shared" si="112"/>
        <v/>
      </c>
      <c r="L1814" s="26" t="str">
        <f t="shared" si="113"/>
        <v/>
      </c>
      <c r="M1814" s="26" t="str">
        <f t="shared" si="114"/>
        <v/>
      </c>
      <c r="N1814" s="27" t="str">
        <f t="shared" si="115"/>
        <v/>
      </c>
    </row>
    <row r="1815" spans="11:14" ht="15" customHeight="1" x14ac:dyDescent="0.25">
      <c r="K1815" s="26" t="str">
        <f t="shared" si="112"/>
        <v/>
      </c>
      <c r="L1815" s="26" t="str">
        <f t="shared" si="113"/>
        <v/>
      </c>
      <c r="M1815" s="26" t="str">
        <f t="shared" si="114"/>
        <v/>
      </c>
      <c r="N1815" s="27" t="str">
        <f t="shared" si="115"/>
        <v/>
      </c>
    </row>
    <row r="1816" spans="11:14" ht="15" customHeight="1" x14ac:dyDescent="0.25">
      <c r="K1816" s="26" t="str">
        <f t="shared" si="112"/>
        <v/>
      </c>
      <c r="L1816" s="26" t="str">
        <f t="shared" si="113"/>
        <v/>
      </c>
      <c r="M1816" s="26" t="str">
        <f t="shared" si="114"/>
        <v/>
      </c>
      <c r="N1816" s="27" t="str">
        <f t="shared" si="115"/>
        <v/>
      </c>
    </row>
    <row r="1817" spans="11:14" ht="15" customHeight="1" x14ac:dyDescent="0.25">
      <c r="K1817" s="26" t="str">
        <f t="shared" si="112"/>
        <v/>
      </c>
      <c r="L1817" s="26" t="str">
        <f t="shared" si="113"/>
        <v/>
      </c>
      <c r="M1817" s="26" t="str">
        <f t="shared" si="114"/>
        <v/>
      </c>
      <c r="N1817" s="27" t="str">
        <f t="shared" si="115"/>
        <v/>
      </c>
    </row>
    <row r="1818" spans="11:14" ht="15" customHeight="1" x14ac:dyDescent="0.25">
      <c r="K1818" s="26" t="str">
        <f t="shared" si="112"/>
        <v/>
      </c>
      <c r="L1818" s="26" t="str">
        <f t="shared" si="113"/>
        <v/>
      </c>
      <c r="M1818" s="26" t="str">
        <f t="shared" si="114"/>
        <v/>
      </c>
      <c r="N1818" s="27" t="str">
        <f t="shared" si="115"/>
        <v/>
      </c>
    </row>
    <row r="1819" spans="11:14" ht="15" customHeight="1" x14ac:dyDescent="0.25">
      <c r="K1819" s="26" t="str">
        <f t="shared" si="112"/>
        <v/>
      </c>
      <c r="L1819" s="26" t="str">
        <f t="shared" si="113"/>
        <v/>
      </c>
      <c r="M1819" s="26" t="str">
        <f t="shared" si="114"/>
        <v/>
      </c>
      <c r="N1819" s="27" t="str">
        <f t="shared" si="115"/>
        <v/>
      </c>
    </row>
    <row r="1820" spans="11:14" ht="15" customHeight="1" x14ac:dyDescent="0.25">
      <c r="K1820" s="26" t="str">
        <f t="shared" si="112"/>
        <v/>
      </c>
      <c r="L1820" s="26" t="str">
        <f t="shared" si="113"/>
        <v/>
      </c>
      <c r="M1820" s="26" t="str">
        <f t="shared" si="114"/>
        <v/>
      </c>
      <c r="N1820" s="27" t="str">
        <f t="shared" si="115"/>
        <v/>
      </c>
    </row>
    <row r="1821" spans="11:14" ht="15" customHeight="1" x14ac:dyDescent="0.25">
      <c r="K1821" s="26" t="str">
        <f t="shared" si="112"/>
        <v/>
      </c>
      <c r="L1821" s="26" t="str">
        <f t="shared" si="113"/>
        <v/>
      </c>
      <c r="M1821" s="26" t="str">
        <f t="shared" si="114"/>
        <v/>
      </c>
      <c r="N1821" s="27" t="str">
        <f t="shared" si="115"/>
        <v/>
      </c>
    </row>
    <row r="1822" spans="11:14" ht="15" customHeight="1" x14ac:dyDescent="0.25">
      <c r="K1822" s="26" t="str">
        <f t="shared" si="112"/>
        <v/>
      </c>
      <c r="L1822" s="26" t="str">
        <f t="shared" si="113"/>
        <v/>
      </c>
      <c r="M1822" s="26" t="str">
        <f t="shared" si="114"/>
        <v/>
      </c>
      <c r="N1822" s="27" t="str">
        <f t="shared" si="115"/>
        <v/>
      </c>
    </row>
    <row r="1823" spans="11:14" ht="15" customHeight="1" x14ac:dyDescent="0.25">
      <c r="K1823" s="26" t="str">
        <f t="shared" si="112"/>
        <v/>
      </c>
      <c r="L1823" s="26" t="str">
        <f t="shared" si="113"/>
        <v/>
      </c>
      <c r="M1823" s="26" t="str">
        <f t="shared" si="114"/>
        <v/>
      </c>
      <c r="N1823" s="27" t="str">
        <f t="shared" si="115"/>
        <v/>
      </c>
    </row>
    <row r="1824" spans="11:14" ht="15" customHeight="1" x14ac:dyDescent="0.25">
      <c r="K1824" s="26" t="str">
        <f t="shared" si="112"/>
        <v/>
      </c>
      <c r="L1824" s="26" t="str">
        <f t="shared" si="113"/>
        <v/>
      </c>
      <c r="M1824" s="26" t="str">
        <f t="shared" si="114"/>
        <v/>
      </c>
      <c r="N1824" s="27" t="str">
        <f t="shared" si="115"/>
        <v/>
      </c>
    </row>
    <row r="1825" spans="11:14" ht="15" customHeight="1" x14ac:dyDescent="0.25">
      <c r="K1825" s="26" t="str">
        <f t="shared" si="112"/>
        <v/>
      </c>
      <c r="L1825" s="26" t="str">
        <f t="shared" si="113"/>
        <v/>
      </c>
      <c r="M1825" s="26" t="str">
        <f t="shared" si="114"/>
        <v/>
      </c>
      <c r="N1825" s="27" t="str">
        <f t="shared" si="115"/>
        <v/>
      </c>
    </row>
    <row r="1826" spans="11:14" ht="15" customHeight="1" x14ac:dyDescent="0.25">
      <c r="K1826" s="26" t="str">
        <f t="shared" si="112"/>
        <v/>
      </c>
      <c r="L1826" s="26" t="str">
        <f t="shared" si="113"/>
        <v/>
      </c>
      <c r="M1826" s="26" t="str">
        <f t="shared" si="114"/>
        <v/>
      </c>
      <c r="N1826" s="27" t="str">
        <f t="shared" si="115"/>
        <v/>
      </c>
    </row>
    <row r="1827" spans="11:14" ht="15" customHeight="1" x14ac:dyDescent="0.25">
      <c r="K1827" s="26" t="str">
        <f t="shared" si="112"/>
        <v/>
      </c>
      <c r="L1827" s="26" t="str">
        <f t="shared" si="113"/>
        <v/>
      </c>
      <c r="M1827" s="26" t="str">
        <f t="shared" si="114"/>
        <v/>
      </c>
      <c r="N1827" s="27" t="str">
        <f t="shared" si="115"/>
        <v/>
      </c>
    </row>
    <row r="1828" spans="11:14" ht="15" customHeight="1" x14ac:dyDescent="0.25">
      <c r="K1828" s="26" t="str">
        <f t="shared" si="112"/>
        <v/>
      </c>
      <c r="L1828" s="26" t="str">
        <f t="shared" si="113"/>
        <v/>
      </c>
      <c r="M1828" s="26" t="str">
        <f t="shared" si="114"/>
        <v/>
      </c>
      <c r="N1828" s="27" t="str">
        <f t="shared" si="115"/>
        <v/>
      </c>
    </row>
    <row r="1829" spans="11:14" ht="15" customHeight="1" x14ac:dyDescent="0.25">
      <c r="K1829" s="26" t="str">
        <f t="shared" si="112"/>
        <v/>
      </c>
      <c r="L1829" s="26" t="str">
        <f t="shared" si="113"/>
        <v/>
      </c>
      <c r="M1829" s="26" t="str">
        <f t="shared" si="114"/>
        <v/>
      </c>
      <c r="N1829" s="27" t="str">
        <f t="shared" si="115"/>
        <v/>
      </c>
    </row>
    <row r="1830" spans="11:14" ht="15" customHeight="1" x14ac:dyDescent="0.25">
      <c r="K1830" s="26" t="str">
        <f t="shared" si="112"/>
        <v/>
      </c>
      <c r="L1830" s="26" t="str">
        <f t="shared" si="113"/>
        <v/>
      </c>
      <c r="M1830" s="26" t="str">
        <f t="shared" si="114"/>
        <v/>
      </c>
      <c r="N1830" s="27" t="str">
        <f t="shared" si="115"/>
        <v/>
      </c>
    </row>
    <row r="1831" spans="11:14" ht="15" customHeight="1" x14ac:dyDescent="0.25">
      <c r="K1831" s="26" t="str">
        <f t="shared" si="112"/>
        <v/>
      </c>
      <c r="L1831" s="26" t="str">
        <f t="shared" si="113"/>
        <v/>
      </c>
      <c r="M1831" s="26" t="str">
        <f t="shared" si="114"/>
        <v/>
      </c>
      <c r="N1831" s="27" t="str">
        <f t="shared" si="115"/>
        <v/>
      </c>
    </row>
    <row r="1832" spans="11:14" ht="15" customHeight="1" x14ac:dyDescent="0.25">
      <c r="K1832" s="26" t="str">
        <f t="shared" si="112"/>
        <v/>
      </c>
      <c r="L1832" s="26" t="str">
        <f t="shared" si="113"/>
        <v/>
      </c>
      <c r="M1832" s="26" t="str">
        <f t="shared" si="114"/>
        <v/>
      </c>
      <c r="N1832" s="27" t="str">
        <f t="shared" si="115"/>
        <v/>
      </c>
    </row>
    <row r="1833" spans="11:14" ht="15" customHeight="1" x14ac:dyDescent="0.25">
      <c r="K1833" s="26" t="str">
        <f t="shared" si="112"/>
        <v/>
      </c>
      <c r="L1833" s="26" t="str">
        <f t="shared" si="113"/>
        <v/>
      </c>
      <c r="M1833" s="26" t="str">
        <f t="shared" si="114"/>
        <v/>
      </c>
      <c r="N1833" s="27" t="str">
        <f t="shared" si="115"/>
        <v/>
      </c>
    </row>
    <row r="1834" spans="11:14" ht="15" customHeight="1" x14ac:dyDescent="0.25">
      <c r="K1834" s="26" t="str">
        <f t="shared" si="112"/>
        <v/>
      </c>
      <c r="L1834" s="26" t="str">
        <f t="shared" si="113"/>
        <v/>
      </c>
      <c r="M1834" s="26" t="str">
        <f t="shared" si="114"/>
        <v/>
      </c>
      <c r="N1834" s="27" t="str">
        <f t="shared" si="115"/>
        <v/>
      </c>
    </row>
    <row r="1835" spans="11:14" ht="15" customHeight="1" x14ac:dyDescent="0.25">
      <c r="K1835" s="26" t="str">
        <f t="shared" si="112"/>
        <v/>
      </c>
      <c r="L1835" s="26" t="str">
        <f t="shared" si="113"/>
        <v/>
      </c>
      <c r="M1835" s="26" t="str">
        <f t="shared" si="114"/>
        <v/>
      </c>
      <c r="N1835" s="27" t="str">
        <f t="shared" si="115"/>
        <v/>
      </c>
    </row>
    <row r="1836" spans="11:14" ht="15" customHeight="1" x14ac:dyDescent="0.25">
      <c r="K1836" s="26" t="str">
        <f t="shared" si="112"/>
        <v/>
      </c>
      <c r="L1836" s="26" t="str">
        <f t="shared" si="113"/>
        <v/>
      </c>
      <c r="M1836" s="26" t="str">
        <f t="shared" si="114"/>
        <v/>
      </c>
      <c r="N1836" s="27" t="str">
        <f t="shared" si="115"/>
        <v/>
      </c>
    </row>
    <row r="1837" spans="11:14" ht="15" customHeight="1" x14ac:dyDescent="0.25">
      <c r="K1837" s="26" t="str">
        <f t="shared" si="112"/>
        <v/>
      </c>
      <c r="L1837" s="26" t="str">
        <f t="shared" si="113"/>
        <v/>
      </c>
      <c r="M1837" s="26" t="str">
        <f t="shared" si="114"/>
        <v/>
      </c>
      <c r="N1837" s="27" t="str">
        <f t="shared" si="115"/>
        <v/>
      </c>
    </row>
    <row r="1838" spans="11:14" ht="15" customHeight="1" x14ac:dyDescent="0.25">
      <c r="K1838" s="26" t="str">
        <f t="shared" si="112"/>
        <v/>
      </c>
      <c r="L1838" s="26" t="str">
        <f t="shared" si="113"/>
        <v/>
      </c>
      <c r="M1838" s="26" t="str">
        <f t="shared" si="114"/>
        <v/>
      </c>
      <c r="N1838" s="27" t="str">
        <f t="shared" si="115"/>
        <v/>
      </c>
    </row>
    <row r="1839" spans="11:14" ht="15" customHeight="1" x14ac:dyDescent="0.25">
      <c r="K1839" s="26" t="str">
        <f t="shared" si="112"/>
        <v/>
      </c>
      <c r="L1839" s="26" t="str">
        <f t="shared" si="113"/>
        <v/>
      </c>
      <c r="M1839" s="26" t="str">
        <f t="shared" si="114"/>
        <v/>
      </c>
      <c r="N1839" s="27" t="str">
        <f t="shared" si="115"/>
        <v/>
      </c>
    </row>
    <row r="1840" spans="11:14" ht="15" customHeight="1" x14ac:dyDescent="0.25">
      <c r="K1840" s="26" t="str">
        <f t="shared" si="112"/>
        <v/>
      </c>
      <c r="L1840" s="26" t="str">
        <f t="shared" si="113"/>
        <v/>
      </c>
      <c r="M1840" s="26" t="str">
        <f t="shared" si="114"/>
        <v/>
      </c>
      <c r="N1840" s="27" t="str">
        <f t="shared" si="115"/>
        <v/>
      </c>
    </row>
    <row r="1841" spans="11:14" ht="15" customHeight="1" x14ac:dyDescent="0.25">
      <c r="K1841" s="26" t="str">
        <f t="shared" si="112"/>
        <v/>
      </c>
      <c r="L1841" s="26" t="str">
        <f t="shared" si="113"/>
        <v/>
      </c>
      <c r="M1841" s="26" t="str">
        <f t="shared" si="114"/>
        <v/>
      </c>
      <c r="N1841" s="27" t="str">
        <f t="shared" si="115"/>
        <v/>
      </c>
    </row>
    <row r="1842" spans="11:14" ht="15" customHeight="1" x14ac:dyDescent="0.25">
      <c r="K1842" s="26" t="str">
        <f t="shared" si="112"/>
        <v/>
      </c>
      <c r="L1842" s="26" t="str">
        <f t="shared" si="113"/>
        <v/>
      </c>
      <c r="M1842" s="26" t="str">
        <f t="shared" si="114"/>
        <v/>
      </c>
      <c r="N1842" s="27" t="str">
        <f t="shared" si="115"/>
        <v/>
      </c>
    </row>
    <row r="1843" spans="11:14" ht="15" customHeight="1" x14ac:dyDescent="0.25">
      <c r="K1843" s="26" t="str">
        <f t="shared" si="112"/>
        <v/>
      </c>
      <c r="L1843" s="26" t="str">
        <f t="shared" si="113"/>
        <v/>
      </c>
      <c r="M1843" s="26" t="str">
        <f t="shared" si="114"/>
        <v/>
      </c>
      <c r="N1843" s="27" t="str">
        <f t="shared" si="115"/>
        <v/>
      </c>
    </row>
    <row r="1844" spans="11:14" ht="15" customHeight="1" x14ac:dyDescent="0.25">
      <c r="K1844" s="26" t="str">
        <f t="shared" si="112"/>
        <v/>
      </c>
      <c r="L1844" s="26" t="str">
        <f t="shared" si="113"/>
        <v/>
      </c>
      <c r="M1844" s="26" t="str">
        <f t="shared" si="114"/>
        <v/>
      </c>
      <c r="N1844" s="27" t="str">
        <f t="shared" si="115"/>
        <v/>
      </c>
    </row>
    <row r="1845" spans="11:14" ht="15" customHeight="1" x14ac:dyDescent="0.25">
      <c r="K1845" s="26" t="str">
        <f t="shared" si="112"/>
        <v/>
      </c>
      <c r="L1845" s="26" t="str">
        <f t="shared" si="113"/>
        <v/>
      </c>
      <c r="M1845" s="26" t="str">
        <f t="shared" si="114"/>
        <v/>
      </c>
      <c r="N1845" s="27" t="str">
        <f t="shared" si="115"/>
        <v/>
      </c>
    </row>
    <row r="1846" spans="11:14" ht="15" customHeight="1" x14ac:dyDescent="0.25">
      <c r="K1846" s="26" t="str">
        <f t="shared" si="112"/>
        <v/>
      </c>
      <c r="L1846" s="26" t="str">
        <f t="shared" si="113"/>
        <v/>
      </c>
      <c r="M1846" s="26" t="str">
        <f t="shared" si="114"/>
        <v/>
      </c>
      <c r="N1846" s="27" t="str">
        <f t="shared" si="115"/>
        <v/>
      </c>
    </row>
    <row r="1847" spans="11:14" ht="15" customHeight="1" x14ac:dyDescent="0.25">
      <c r="K1847" s="26" t="str">
        <f t="shared" si="112"/>
        <v/>
      </c>
      <c r="L1847" s="26" t="str">
        <f t="shared" si="113"/>
        <v/>
      </c>
      <c r="M1847" s="26" t="str">
        <f t="shared" si="114"/>
        <v/>
      </c>
      <c r="N1847" s="27" t="str">
        <f t="shared" si="115"/>
        <v/>
      </c>
    </row>
    <row r="1848" spans="11:14" ht="15" customHeight="1" x14ac:dyDescent="0.25">
      <c r="K1848" s="26" t="str">
        <f t="shared" si="112"/>
        <v/>
      </c>
      <c r="L1848" s="26" t="str">
        <f t="shared" si="113"/>
        <v/>
      </c>
      <c r="M1848" s="26" t="str">
        <f t="shared" si="114"/>
        <v/>
      </c>
      <c r="N1848" s="27" t="str">
        <f t="shared" si="115"/>
        <v/>
      </c>
    </row>
    <row r="1849" spans="11:14" ht="15" customHeight="1" x14ac:dyDescent="0.25">
      <c r="K1849" s="26" t="str">
        <f t="shared" si="112"/>
        <v/>
      </c>
      <c r="L1849" s="26" t="str">
        <f t="shared" si="113"/>
        <v/>
      </c>
      <c r="M1849" s="26" t="str">
        <f t="shared" si="114"/>
        <v/>
      </c>
      <c r="N1849" s="27" t="str">
        <f t="shared" si="115"/>
        <v/>
      </c>
    </row>
    <row r="1850" spans="11:14" ht="15" customHeight="1" x14ac:dyDescent="0.25">
      <c r="K1850" s="26" t="str">
        <f t="shared" si="112"/>
        <v/>
      </c>
      <c r="L1850" s="26" t="str">
        <f t="shared" si="113"/>
        <v/>
      </c>
      <c r="M1850" s="26" t="str">
        <f t="shared" si="114"/>
        <v/>
      </c>
      <c r="N1850" s="27" t="str">
        <f t="shared" si="115"/>
        <v/>
      </c>
    </row>
    <row r="1851" spans="11:14" ht="15" customHeight="1" x14ac:dyDescent="0.25">
      <c r="K1851" s="26" t="str">
        <f t="shared" si="112"/>
        <v/>
      </c>
      <c r="L1851" s="26" t="str">
        <f t="shared" si="113"/>
        <v/>
      </c>
      <c r="M1851" s="26" t="str">
        <f t="shared" si="114"/>
        <v/>
      </c>
      <c r="N1851" s="27" t="str">
        <f t="shared" si="115"/>
        <v/>
      </c>
    </row>
    <row r="1852" spans="11:14" ht="15" customHeight="1" x14ac:dyDescent="0.25">
      <c r="K1852" s="26" t="str">
        <f t="shared" si="112"/>
        <v/>
      </c>
      <c r="L1852" s="26" t="str">
        <f t="shared" si="113"/>
        <v/>
      </c>
      <c r="M1852" s="26" t="str">
        <f t="shared" si="114"/>
        <v/>
      </c>
      <c r="N1852" s="27" t="str">
        <f t="shared" si="115"/>
        <v/>
      </c>
    </row>
    <row r="1853" spans="11:14" ht="15" customHeight="1" x14ac:dyDescent="0.25">
      <c r="K1853" s="26" t="str">
        <f t="shared" si="112"/>
        <v/>
      </c>
      <c r="L1853" s="26" t="str">
        <f t="shared" si="113"/>
        <v/>
      </c>
      <c r="M1853" s="26" t="str">
        <f t="shared" si="114"/>
        <v/>
      </c>
      <c r="N1853" s="27" t="str">
        <f t="shared" si="115"/>
        <v/>
      </c>
    </row>
    <row r="1854" spans="11:14" ht="15" customHeight="1" x14ac:dyDescent="0.25">
      <c r="K1854" s="26" t="str">
        <f t="shared" si="112"/>
        <v/>
      </c>
      <c r="L1854" s="26" t="str">
        <f t="shared" si="113"/>
        <v/>
      </c>
      <c r="M1854" s="26" t="str">
        <f t="shared" si="114"/>
        <v/>
      </c>
      <c r="N1854" s="27" t="str">
        <f t="shared" si="115"/>
        <v/>
      </c>
    </row>
    <row r="1855" spans="11:14" ht="15" customHeight="1" x14ac:dyDescent="0.25">
      <c r="K1855" s="26" t="str">
        <f t="shared" si="112"/>
        <v/>
      </c>
      <c r="L1855" s="26" t="str">
        <f t="shared" si="113"/>
        <v/>
      </c>
      <c r="M1855" s="26" t="str">
        <f t="shared" si="114"/>
        <v/>
      </c>
      <c r="N1855" s="27" t="str">
        <f t="shared" si="115"/>
        <v/>
      </c>
    </row>
    <row r="1856" spans="11:14" ht="15" customHeight="1" x14ac:dyDescent="0.25">
      <c r="K1856" s="26" t="str">
        <f t="shared" si="112"/>
        <v/>
      </c>
      <c r="L1856" s="26" t="str">
        <f t="shared" si="113"/>
        <v/>
      </c>
      <c r="M1856" s="26" t="str">
        <f t="shared" si="114"/>
        <v/>
      </c>
      <c r="N1856" s="27" t="str">
        <f t="shared" si="115"/>
        <v/>
      </c>
    </row>
    <row r="1857" spans="11:14" ht="15" customHeight="1" x14ac:dyDescent="0.25">
      <c r="K1857" s="26" t="str">
        <f t="shared" si="112"/>
        <v/>
      </c>
      <c r="L1857" s="26" t="str">
        <f t="shared" si="113"/>
        <v/>
      </c>
      <c r="M1857" s="26" t="str">
        <f t="shared" si="114"/>
        <v/>
      </c>
      <c r="N1857" s="27" t="str">
        <f t="shared" si="115"/>
        <v/>
      </c>
    </row>
    <row r="1858" spans="11:14" ht="15" customHeight="1" x14ac:dyDescent="0.25">
      <c r="K1858" s="26" t="str">
        <f t="shared" si="112"/>
        <v/>
      </c>
      <c r="L1858" s="26" t="str">
        <f t="shared" si="113"/>
        <v/>
      </c>
      <c r="M1858" s="26" t="str">
        <f t="shared" si="114"/>
        <v/>
      </c>
      <c r="N1858" s="27" t="str">
        <f t="shared" si="115"/>
        <v/>
      </c>
    </row>
    <row r="1859" spans="11:14" ht="15" customHeight="1" x14ac:dyDescent="0.25">
      <c r="K1859" s="26" t="str">
        <f t="shared" si="112"/>
        <v/>
      </c>
      <c r="L1859" s="26" t="str">
        <f t="shared" si="113"/>
        <v/>
      </c>
      <c r="M1859" s="26" t="str">
        <f t="shared" si="114"/>
        <v/>
      </c>
      <c r="N1859" s="27" t="str">
        <f t="shared" si="115"/>
        <v/>
      </c>
    </row>
    <row r="1860" spans="11:14" ht="15" customHeight="1" x14ac:dyDescent="0.25">
      <c r="K1860" s="26" t="str">
        <f t="shared" si="112"/>
        <v/>
      </c>
      <c r="L1860" s="26" t="str">
        <f t="shared" si="113"/>
        <v/>
      </c>
      <c r="M1860" s="26" t="str">
        <f t="shared" si="114"/>
        <v/>
      </c>
      <c r="N1860" s="27" t="str">
        <f t="shared" si="115"/>
        <v/>
      </c>
    </row>
    <row r="1861" spans="11:14" ht="15" customHeight="1" x14ac:dyDescent="0.25">
      <c r="K1861" s="26" t="str">
        <f t="shared" ref="K1861:K1924" si="116">IF(H1861="","",(H1861-G1861)/G1861)</f>
        <v/>
      </c>
      <c r="L1861" s="26" t="str">
        <f t="shared" ref="L1861:L1924" si="117">IF(I1861="","",(I1861-G1861)/G1861)</f>
        <v/>
      </c>
      <c r="M1861" s="26" t="str">
        <f t="shared" ref="M1861:M1924" si="118">IF(J1861="","",(J1861-G1861)/G1861)</f>
        <v/>
      </c>
      <c r="N1861" s="27" t="str">
        <f t="shared" ref="N1861:N1924" si="119">IF(H1861="","",IF(D1861="HOLD",IF(ABS(K1861)&lt;0.03,"YES","NO"),IF(D1861="BUY",IF(K1861&gt;0,"YES","NO"),IF(D1861="SELL",IF(K1861&lt;0,"YES","NO"),""))))</f>
        <v/>
      </c>
    </row>
    <row r="1862" spans="11:14" ht="15" customHeight="1" x14ac:dyDescent="0.25">
      <c r="K1862" s="26" t="str">
        <f t="shared" si="116"/>
        <v/>
      </c>
      <c r="L1862" s="26" t="str">
        <f t="shared" si="117"/>
        <v/>
      </c>
      <c r="M1862" s="26" t="str">
        <f t="shared" si="118"/>
        <v/>
      </c>
      <c r="N1862" s="27" t="str">
        <f t="shared" si="119"/>
        <v/>
      </c>
    </row>
    <row r="1863" spans="11:14" ht="15" customHeight="1" x14ac:dyDescent="0.25">
      <c r="K1863" s="26" t="str">
        <f t="shared" si="116"/>
        <v/>
      </c>
      <c r="L1863" s="26" t="str">
        <f t="shared" si="117"/>
        <v/>
      </c>
      <c r="M1863" s="26" t="str">
        <f t="shared" si="118"/>
        <v/>
      </c>
      <c r="N1863" s="27" t="str">
        <f t="shared" si="119"/>
        <v/>
      </c>
    </row>
    <row r="1864" spans="11:14" ht="15" customHeight="1" x14ac:dyDescent="0.25">
      <c r="K1864" s="26" t="str">
        <f t="shared" si="116"/>
        <v/>
      </c>
      <c r="L1864" s="26" t="str">
        <f t="shared" si="117"/>
        <v/>
      </c>
      <c r="M1864" s="26" t="str">
        <f t="shared" si="118"/>
        <v/>
      </c>
      <c r="N1864" s="27" t="str">
        <f t="shared" si="119"/>
        <v/>
      </c>
    </row>
    <row r="1865" spans="11:14" ht="15" customHeight="1" x14ac:dyDescent="0.25">
      <c r="K1865" s="26" t="str">
        <f t="shared" si="116"/>
        <v/>
      </c>
      <c r="L1865" s="26" t="str">
        <f t="shared" si="117"/>
        <v/>
      </c>
      <c r="M1865" s="26" t="str">
        <f t="shared" si="118"/>
        <v/>
      </c>
      <c r="N1865" s="27" t="str">
        <f t="shared" si="119"/>
        <v/>
      </c>
    </row>
    <row r="1866" spans="11:14" ht="15" customHeight="1" x14ac:dyDescent="0.25">
      <c r="K1866" s="26" t="str">
        <f t="shared" si="116"/>
        <v/>
      </c>
      <c r="L1866" s="26" t="str">
        <f t="shared" si="117"/>
        <v/>
      </c>
      <c r="M1866" s="26" t="str">
        <f t="shared" si="118"/>
        <v/>
      </c>
      <c r="N1866" s="27" t="str">
        <f t="shared" si="119"/>
        <v/>
      </c>
    </row>
    <row r="1867" spans="11:14" ht="15" customHeight="1" x14ac:dyDescent="0.25">
      <c r="K1867" s="26" t="str">
        <f t="shared" si="116"/>
        <v/>
      </c>
      <c r="L1867" s="26" t="str">
        <f t="shared" si="117"/>
        <v/>
      </c>
      <c r="M1867" s="26" t="str">
        <f t="shared" si="118"/>
        <v/>
      </c>
      <c r="N1867" s="27" t="str">
        <f t="shared" si="119"/>
        <v/>
      </c>
    </row>
    <row r="1868" spans="11:14" ht="15" customHeight="1" x14ac:dyDescent="0.25">
      <c r="K1868" s="26" t="str">
        <f t="shared" si="116"/>
        <v/>
      </c>
      <c r="L1868" s="26" t="str">
        <f t="shared" si="117"/>
        <v/>
      </c>
      <c r="M1868" s="26" t="str">
        <f t="shared" si="118"/>
        <v/>
      </c>
      <c r="N1868" s="27" t="str">
        <f t="shared" si="119"/>
        <v/>
      </c>
    </row>
    <row r="1869" spans="11:14" ht="15" customHeight="1" x14ac:dyDescent="0.25">
      <c r="K1869" s="26" t="str">
        <f t="shared" si="116"/>
        <v/>
      </c>
      <c r="L1869" s="26" t="str">
        <f t="shared" si="117"/>
        <v/>
      </c>
      <c r="M1869" s="26" t="str">
        <f t="shared" si="118"/>
        <v/>
      </c>
      <c r="N1869" s="27" t="str">
        <f t="shared" si="119"/>
        <v/>
      </c>
    </row>
    <row r="1870" spans="11:14" ht="15" customHeight="1" x14ac:dyDescent="0.25">
      <c r="K1870" s="26" t="str">
        <f t="shared" si="116"/>
        <v/>
      </c>
      <c r="L1870" s="26" t="str">
        <f t="shared" si="117"/>
        <v/>
      </c>
      <c r="M1870" s="26" t="str">
        <f t="shared" si="118"/>
        <v/>
      </c>
      <c r="N1870" s="27" t="str">
        <f t="shared" si="119"/>
        <v/>
      </c>
    </row>
    <row r="1871" spans="11:14" ht="15" customHeight="1" x14ac:dyDescent="0.25">
      <c r="K1871" s="26" t="str">
        <f t="shared" si="116"/>
        <v/>
      </c>
      <c r="L1871" s="26" t="str">
        <f t="shared" si="117"/>
        <v/>
      </c>
      <c r="M1871" s="26" t="str">
        <f t="shared" si="118"/>
        <v/>
      </c>
      <c r="N1871" s="27" t="str">
        <f t="shared" si="119"/>
        <v/>
      </c>
    </row>
    <row r="1872" spans="11:14" ht="15" customHeight="1" x14ac:dyDescent="0.25">
      <c r="K1872" s="26" t="str">
        <f t="shared" si="116"/>
        <v/>
      </c>
      <c r="L1872" s="26" t="str">
        <f t="shared" si="117"/>
        <v/>
      </c>
      <c r="M1872" s="26" t="str">
        <f t="shared" si="118"/>
        <v/>
      </c>
      <c r="N1872" s="27" t="str">
        <f t="shared" si="119"/>
        <v/>
      </c>
    </row>
    <row r="1873" spans="11:14" ht="15" customHeight="1" x14ac:dyDescent="0.25">
      <c r="K1873" s="26" t="str">
        <f t="shared" si="116"/>
        <v/>
      </c>
      <c r="L1873" s="26" t="str">
        <f t="shared" si="117"/>
        <v/>
      </c>
      <c r="M1873" s="26" t="str">
        <f t="shared" si="118"/>
        <v/>
      </c>
      <c r="N1873" s="27" t="str">
        <f t="shared" si="119"/>
        <v/>
      </c>
    </row>
    <row r="1874" spans="11:14" ht="15" customHeight="1" x14ac:dyDescent="0.25">
      <c r="K1874" s="26" t="str">
        <f t="shared" si="116"/>
        <v/>
      </c>
      <c r="L1874" s="26" t="str">
        <f t="shared" si="117"/>
        <v/>
      </c>
      <c r="M1874" s="26" t="str">
        <f t="shared" si="118"/>
        <v/>
      </c>
      <c r="N1874" s="27" t="str">
        <f t="shared" si="119"/>
        <v/>
      </c>
    </row>
    <row r="1875" spans="11:14" ht="15" customHeight="1" x14ac:dyDescent="0.25">
      <c r="K1875" s="26" t="str">
        <f t="shared" si="116"/>
        <v/>
      </c>
      <c r="L1875" s="26" t="str">
        <f t="shared" si="117"/>
        <v/>
      </c>
      <c r="M1875" s="26" t="str">
        <f t="shared" si="118"/>
        <v/>
      </c>
      <c r="N1875" s="27" t="str">
        <f t="shared" si="119"/>
        <v/>
      </c>
    </row>
    <row r="1876" spans="11:14" ht="15" customHeight="1" x14ac:dyDescent="0.25">
      <c r="K1876" s="26" t="str">
        <f t="shared" si="116"/>
        <v/>
      </c>
      <c r="L1876" s="26" t="str">
        <f t="shared" si="117"/>
        <v/>
      </c>
      <c r="M1876" s="26" t="str">
        <f t="shared" si="118"/>
        <v/>
      </c>
      <c r="N1876" s="27" t="str">
        <f t="shared" si="119"/>
        <v/>
      </c>
    </row>
    <row r="1877" spans="11:14" ht="15" customHeight="1" x14ac:dyDescent="0.25">
      <c r="K1877" s="26" t="str">
        <f t="shared" si="116"/>
        <v/>
      </c>
      <c r="L1877" s="26" t="str">
        <f t="shared" si="117"/>
        <v/>
      </c>
      <c r="M1877" s="26" t="str">
        <f t="shared" si="118"/>
        <v/>
      </c>
      <c r="N1877" s="27" t="str">
        <f t="shared" si="119"/>
        <v/>
      </c>
    </row>
    <row r="1878" spans="11:14" ht="15" customHeight="1" x14ac:dyDescent="0.25">
      <c r="K1878" s="26" t="str">
        <f t="shared" si="116"/>
        <v/>
      </c>
      <c r="L1878" s="26" t="str">
        <f t="shared" si="117"/>
        <v/>
      </c>
      <c r="M1878" s="26" t="str">
        <f t="shared" si="118"/>
        <v/>
      </c>
      <c r="N1878" s="27" t="str">
        <f t="shared" si="119"/>
        <v/>
      </c>
    </row>
    <row r="1879" spans="11:14" ht="15" customHeight="1" x14ac:dyDescent="0.25">
      <c r="K1879" s="26" t="str">
        <f t="shared" si="116"/>
        <v/>
      </c>
      <c r="L1879" s="26" t="str">
        <f t="shared" si="117"/>
        <v/>
      </c>
      <c r="M1879" s="26" t="str">
        <f t="shared" si="118"/>
        <v/>
      </c>
      <c r="N1879" s="27" t="str">
        <f t="shared" si="119"/>
        <v/>
      </c>
    </row>
    <row r="1880" spans="11:14" ht="15" customHeight="1" x14ac:dyDescent="0.25">
      <c r="K1880" s="26" t="str">
        <f t="shared" si="116"/>
        <v/>
      </c>
      <c r="L1880" s="26" t="str">
        <f t="shared" si="117"/>
        <v/>
      </c>
      <c r="M1880" s="26" t="str">
        <f t="shared" si="118"/>
        <v/>
      </c>
      <c r="N1880" s="27" t="str">
        <f t="shared" si="119"/>
        <v/>
      </c>
    </row>
    <row r="1881" spans="11:14" ht="15" customHeight="1" x14ac:dyDescent="0.25">
      <c r="K1881" s="26" t="str">
        <f t="shared" si="116"/>
        <v/>
      </c>
      <c r="L1881" s="26" t="str">
        <f t="shared" si="117"/>
        <v/>
      </c>
      <c r="M1881" s="26" t="str">
        <f t="shared" si="118"/>
        <v/>
      </c>
      <c r="N1881" s="27" t="str">
        <f t="shared" si="119"/>
        <v/>
      </c>
    </row>
    <row r="1882" spans="11:14" ht="15" customHeight="1" x14ac:dyDescent="0.25">
      <c r="K1882" s="26" t="str">
        <f t="shared" si="116"/>
        <v/>
      </c>
      <c r="L1882" s="26" t="str">
        <f t="shared" si="117"/>
        <v/>
      </c>
      <c r="M1882" s="26" t="str">
        <f t="shared" si="118"/>
        <v/>
      </c>
      <c r="N1882" s="27" t="str">
        <f t="shared" si="119"/>
        <v/>
      </c>
    </row>
    <row r="1883" spans="11:14" ht="15" customHeight="1" x14ac:dyDescent="0.25">
      <c r="K1883" s="26" t="str">
        <f t="shared" si="116"/>
        <v/>
      </c>
      <c r="L1883" s="26" t="str">
        <f t="shared" si="117"/>
        <v/>
      </c>
      <c r="M1883" s="26" t="str">
        <f t="shared" si="118"/>
        <v/>
      </c>
      <c r="N1883" s="27" t="str">
        <f t="shared" si="119"/>
        <v/>
      </c>
    </row>
    <row r="1884" spans="11:14" ht="15" customHeight="1" x14ac:dyDescent="0.25">
      <c r="K1884" s="26" t="str">
        <f t="shared" si="116"/>
        <v/>
      </c>
      <c r="L1884" s="26" t="str">
        <f t="shared" si="117"/>
        <v/>
      </c>
      <c r="M1884" s="26" t="str">
        <f t="shared" si="118"/>
        <v/>
      </c>
      <c r="N1884" s="27" t="str">
        <f t="shared" si="119"/>
        <v/>
      </c>
    </row>
    <row r="1885" spans="11:14" ht="15" customHeight="1" x14ac:dyDescent="0.25">
      <c r="K1885" s="26" t="str">
        <f t="shared" si="116"/>
        <v/>
      </c>
      <c r="L1885" s="26" t="str">
        <f t="shared" si="117"/>
        <v/>
      </c>
      <c r="M1885" s="26" t="str">
        <f t="shared" si="118"/>
        <v/>
      </c>
      <c r="N1885" s="27" t="str">
        <f t="shared" si="119"/>
        <v/>
      </c>
    </row>
    <row r="1886" spans="11:14" ht="15" customHeight="1" x14ac:dyDescent="0.25">
      <c r="K1886" s="26" t="str">
        <f t="shared" si="116"/>
        <v/>
      </c>
      <c r="L1886" s="26" t="str">
        <f t="shared" si="117"/>
        <v/>
      </c>
      <c r="M1886" s="26" t="str">
        <f t="shared" si="118"/>
        <v/>
      </c>
      <c r="N1886" s="27" t="str">
        <f t="shared" si="119"/>
        <v/>
      </c>
    </row>
    <row r="1887" spans="11:14" ht="15" customHeight="1" x14ac:dyDescent="0.25">
      <c r="K1887" s="26" t="str">
        <f t="shared" si="116"/>
        <v/>
      </c>
      <c r="L1887" s="26" t="str">
        <f t="shared" si="117"/>
        <v/>
      </c>
      <c r="M1887" s="26" t="str">
        <f t="shared" si="118"/>
        <v/>
      </c>
      <c r="N1887" s="27" t="str">
        <f t="shared" si="119"/>
        <v/>
      </c>
    </row>
    <row r="1888" spans="11:14" ht="15" customHeight="1" x14ac:dyDescent="0.25">
      <c r="K1888" s="26" t="str">
        <f t="shared" si="116"/>
        <v/>
      </c>
      <c r="L1888" s="26" t="str">
        <f t="shared" si="117"/>
        <v/>
      </c>
      <c r="M1888" s="26" t="str">
        <f t="shared" si="118"/>
        <v/>
      </c>
      <c r="N1888" s="27" t="str">
        <f t="shared" si="119"/>
        <v/>
      </c>
    </row>
    <row r="1889" spans="11:14" ht="15" customHeight="1" x14ac:dyDescent="0.25">
      <c r="K1889" s="26" t="str">
        <f t="shared" si="116"/>
        <v/>
      </c>
      <c r="L1889" s="26" t="str">
        <f t="shared" si="117"/>
        <v/>
      </c>
      <c r="M1889" s="26" t="str">
        <f t="shared" si="118"/>
        <v/>
      </c>
      <c r="N1889" s="27" t="str">
        <f t="shared" si="119"/>
        <v/>
      </c>
    </row>
    <row r="1890" spans="11:14" ht="15" customHeight="1" x14ac:dyDescent="0.25">
      <c r="K1890" s="26" t="str">
        <f t="shared" si="116"/>
        <v/>
      </c>
      <c r="L1890" s="26" t="str">
        <f t="shared" si="117"/>
        <v/>
      </c>
      <c r="M1890" s="26" t="str">
        <f t="shared" si="118"/>
        <v/>
      </c>
      <c r="N1890" s="27" t="str">
        <f t="shared" si="119"/>
        <v/>
      </c>
    </row>
    <row r="1891" spans="11:14" ht="15" customHeight="1" x14ac:dyDescent="0.25">
      <c r="K1891" s="26" t="str">
        <f t="shared" si="116"/>
        <v/>
      </c>
      <c r="L1891" s="26" t="str">
        <f t="shared" si="117"/>
        <v/>
      </c>
      <c r="M1891" s="26" t="str">
        <f t="shared" si="118"/>
        <v/>
      </c>
      <c r="N1891" s="27" t="str">
        <f t="shared" si="119"/>
        <v/>
      </c>
    </row>
    <row r="1892" spans="11:14" ht="15" customHeight="1" x14ac:dyDescent="0.25">
      <c r="K1892" s="26" t="str">
        <f t="shared" si="116"/>
        <v/>
      </c>
      <c r="L1892" s="26" t="str">
        <f t="shared" si="117"/>
        <v/>
      </c>
      <c r="M1892" s="26" t="str">
        <f t="shared" si="118"/>
        <v/>
      </c>
      <c r="N1892" s="27" t="str">
        <f t="shared" si="119"/>
        <v/>
      </c>
    </row>
    <row r="1893" spans="11:14" ht="15" customHeight="1" x14ac:dyDescent="0.25">
      <c r="K1893" s="26" t="str">
        <f t="shared" si="116"/>
        <v/>
      </c>
      <c r="L1893" s="26" t="str">
        <f t="shared" si="117"/>
        <v/>
      </c>
      <c r="M1893" s="26" t="str">
        <f t="shared" si="118"/>
        <v/>
      </c>
      <c r="N1893" s="27" t="str">
        <f t="shared" si="119"/>
        <v/>
      </c>
    </row>
    <row r="1894" spans="11:14" ht="15" customHeight="1" x14ac:dyDescent="0.25">
      <c r="K1894" s="26" t="str">
        <f t="shared" si="116"/>
        <v/>
      </c>
      <c r="L1894" s="26" t="str">
        <f t="shared" si="117"/>
        <v/>
      </c>
      <c r="M1894" s="26" t="str">
        <f t="shared" si="118"/>
        <v/>
      </c>
      <c r="N1894" s="27" t="str">
        <f t="shared" si="119"/>
        <v/>
      </c>
    </row>
    <row r="1895" spans="11:14" ht="15" customHeight="1" x14ac:dyDescent="0.25">
      <c r="K1895" s="26" t="str">
        <f t="shared" si="116"/>
        <v/>
      </c>
      <c r="L1895" s="26" t="str">
        <f t="shared" si="117"/>
        <v/>
      </c>
      <c r="M1895" s="26" t="str">
        <f t="shared" si="118"/>
        <v/>
      </c>
      <c r="N1895" s="27" t="str">
        <f t="shared" si="119"/>
        <v/>
      </c>
    </row>
    <row r="1896" spans="11:14" ht="15" customHeight="1" x14ac:dyDescent="0.25">
      <c r="K1896" s="26" t="str">
        <f t="shared" si="116"/>
        <v/>
      </c>
      <c r="L1896" s="26" t="str">
        <f t="shared" si="117"/>
        <v/>
      </c>
      <c r="M1896" s="26" t="str">
        <f t="shared" si="118"/>
        <v/>
      </c>
      <c r="N1896" s="27" t="str">
        <f t="shared" si="119"/>
        <v/>
      </c>
    </row>
    <row r="1897" spans="11:14" ht="15" customHeight="1" x14ac:dyDescent="0.25">
      <c r="K1897" s="26" t="str">
        <f t="shared" si="116"/>
        <v/>
      </c>
      <c r="L1897" s="26" t="str">
        <f t="shared" si="117"/>
        <v/>
      </c>
      <c r="M1897" s="26" t="str">
        <f t="shared" si="118"/>
        <v/>
      </c>
      <c r="N1897" s="27" t="str">
        <f t="shared" si="119"/>
        <v/>
      </c>
    </row>
    <row r="1898" spans="11:14" ht="15" customHeight="1" x14ac:dyDescent="0.25">
      <c r="K1898" s="26" t="str">
        <f t="shared" si="116"/>
        <v/>
      </c>
      <c r="L1898" s="26" t="str">
        <f t="shared" si="117"/>
        <v/>
      </c>
      <c r="M1898" s="26" t="str">
        <f t="shared" si="118"/>
        <v/>
      </c>
      <c r="N1898" s="27" t="str">
        <f t="shared" si="119"/>
        <v/>
      </c>
    </row>
    <row r="1899" spans="11:14" ht="15" customHeight="1" x14ac:dyDescent="0.25">
      <c r="K1899" s="26" t="str">
        <f t="shared" si="116"/>
        <v/>
      </c>
      <c r="L1899" s="26" t="str">
        <f t="shared" si="117"/>
        <v/>
      </c>
      <c r="M1899" s="26" t="str">
        <f t="shared" si="118"/>
        <v/>
      </c>
      <c r="N1899" s="27" t="str">
        <f t="shared" si="119"/>
        <v/>
      </c>
    </row>
    <row r="1900" spans="11:14" ht="15" customHeight="1" x14ac:dyDescent="0.25">
      <c r="K1900" s="26" t="str">
        <f t="shared" si="116"/>
        <v/>
      </c>
      <c r="L1900" s="26" t="str">
        <f t="shared" si="117"/>
        <v/>
      </c>
      <c r="M1900" s="26" t="str">
        <f t="shared" si="118"/>
        <v/>
      </c>
      <c r="N1900" s="27" t="str">
        <f t="shared" si="119"/>
        <v/>
      </c>
    </row>
    <row r="1901" spans="11:14" ht="15" customHeight="1" x14ac:dyDescent="0.25">
      <c r="K1901" s="26" t="str">
        <f t="shared" si="116"/>
        <v/>
      </c>
      <c r="L1901" s="26" t="str">
        <f t="shared" si="117"/>
        <v/>
      </c>
      <c r="M1901" s="26" t="str">
        <f t="shared" si="118"/>
        <v/>
      </c>
      <c r="N1901" s="27" t="str">
        <f t="shared" si="119"/>
        <v/>
      </c>
    </row>
    <row r="1902" spans="11:14" ht="15" customHeight="1" x14ac:dyDescent="0.25">
      <c r="K1902" s="26" t="str">
        <f t="shared" si="116"/>
        <v/>
      </c>
      <c r="L1902" s="26" t="str">
        <f t="shared" si="117"/>
        <v/>
      </c>
      <c r="M1902" s="26" t="str">
        <f t="shared" si="118"/>
        <v/>
      </c>
      <c r="N1902" s="27" t="str">
        <f t="shared" si="119"/>
        <v/>
      </c>
    </row>
    <row r="1903" spans="11:14" ht="15" customHeight="1" x14ac:dyDescent="0.25">
      <c r="K1903" s="26" t="str">
        <f t="shared" si="116"/>
        <v/>
      </c>
      <c r="L1903" s="26" t="str">
        <f t="shared" si="117"/>
        <v/>
      </c>
      <c r="M1903" s="26" t="str">
        <f t="shared" si="118"/>
        <v/>
      </c>
      <c r="N1903" s="27" t="str">
        <f t="shared" si="119"/>
        <v/>
      </c>
    </row>
    <row r="1904" spans="11:14" ht="15" customHeight="1" x14ac:dyDescent="0.25">
      <c r="K1904" s="26" t="str">
        <f t="shared" si="116"/>
        <v/>
      </c>
      <c r="L1904" s="26" t="str">
        <f t="shared" si="117"/>
        <v/>
      </c>
      <c r="M1904" s="26" t="str">
        <f t="shared" si="118"/>
        <v/>
      </c>
      <c r="N1904" s="27" t="str">
        <f t="shared" si="119"/>
        <v/>
      </c>
    </row>
    <row r="1905" spans="11:14" ht="15" customHeight="1" x14ac:dyDescent="0.25">
      <c r="K1905" s="26" t="str">
        <f t="shared" si="116"/>
        <v/>
      </c>
      <c r="L1905" s="26" t="str">
        <f t="shared" si="117"/>
        <v/>
      </c>
      <c r="M1905" s="26" t="str">
        <f t="shared" si="118"/>
        <v/>
      </c>
      <c r="N1905" s="27" t="str">
        <f t="shared" si="119"/>
        <v/>
      </c>
    </row>
    <row r="1906" spans="11:14" ht="15" customHeight="1" x14ac:dyDescent="0.25">
      <c r="K1906" s="26" t="str">
        <f t="shared" si="116"/>
        <v/>
      </c>
      <c r="L1906" s="26" t="str">
        <f t="shared" si="117"/>
        <v/>
      </c>
      <c r="M1906" s="26" t="str">
        <f t="shared" si="118"/>
        <v/>
      </c>
      <c r="N1906" s="27" t="str">
        <f t="shared" si="119"/>
        <v/>
      </c>
    </row>
    <row r="1907" spans="11:14" ht="15" customHeight="1" x14ac:dyDescent="0.25">
      <c r="K1907" s="26" t="str">
        <f t="shared" si="116"/>
        <v/>
      </c>
      <c r="L1907" s="26" t="str">
        <f t="shared" si="117"/>
        <v/>
      </c>
      <c r="M1907" s="26" t="str">
        <f t="shared" si="118"/>
        <v/>
      </c>
      <c r="N1907" s="27" t="str">
        <f t="shared" si="119"/>
        <v/>
      </c>
    </row>
    <row r="1908" spans="11:14" ht="15" customHeight="1" x14ac:dyDescent="0.25">
      <c r="K1908" s="26" t="str">
        <f t="shared" si="116"/>
        <v/>
      </c>
      <c r="L1908" s="26" t="str">
        <f t="shared" si="117"/>
        <v/>
      </c>
      <c r="M1908" s="26" t="str">
        <f t="shared" si="118"/>
        <v/>
      </c>
      <c r="N1908" s="27" t="str">
        <f t="shared" si="119"/>
        <v/>
      </c>
    </row>
    <row r="1909" spans="11:14" ht="15" customHeight="1" x14ac:dyDescent="0.25">
      <c r="K1909" s="26" t="str">
        <f t="shared" si="116"/>
        <v/>
      </c>
      <c r="L1909" s="26" t="str">
        <f t="shared" si="117"/>
        <v/>
      </c>
      <c r="M1909" s="26" t="str">
        <f t="shared" si="118"/>
        <v/>
      </c>
      <c r="N1909" s="27" t="str">
        <f t="shared" si="119"/>
        <v/>
      </c>
    </row>
    <row r="1910" spans="11:14" ht="15" customHeight="1" x14ac:dyDescent="0.25">
      <c r="K1910" s="26" t="str">
        <f t="shared" si="116"/>
        <v/>
      </c>
      <c r="L1910" s="26" t="str">
        <f t="shared" si="117"/>
        <v/>
      </c>
      <c r="M1910" s="26" t="str">
        <f t="shared" si="118"/>
        <v/>
      </c>
      <c r="N1910" s="27" t="str">
        <f t="shared" si="119"/>
        <v/>
      </c>
    </row>
    <row r="1911" spans="11:14" ht="15" customHeight="1" x14ac:dyDescent="0.25">
      <c r="K1911" s="26" t="str">
        <f t="shared" si="116"/>
        <v/>
      </c>
      <c r="L1911" s="26" t="str">
        <f t="shared" si="117"/>
        <v/>
      </c>
      <c r="M1911" s="26" t="str">
        <f t="shared" si="118"/>
        <v/>
      </c>
      <c r="N1911" s="27" t="str">
        <f t="shared" si="119"/>
        <v/>
      </c>
    </row>
    <row r="1912" spans="11:14" ht="15" customHeight="1" x14ac:dyDescent="0.25">
      <c r="K1912" s="26" t="str">
        <f t="shared" si="116"/>
        <v/>
      </c>
      <c r="L1912" s="26" t="str">
        <f t="shared" si="117"/>
        <v/>
      </c>
      <c r="M1912" s="26" t="str">
        <f t="shared" si="118"/>
        <v/>
      </c>
      <c r="N1912" s="27" t="str">
        <f t="shared" si="119"/>
        <v/>
      </c>
    </row>
    <row r="1913" spans="11:14" ht="15" customHeight="1" x14ac:dyDescent="0.25">
      <c r="K1913" s="26" t="str">
        <f t="shared" si="116"/>
        <v/>
      </c>
      <c r="L1913" s="26" t="str">
        <f t="shared" si="117"/>
        <v/>
      </c>
      <c r="M1913" s="26" t="str">
        <f t="shared" si="118"/>
        <v/>
      </c>
      <c r="N1913" s="27" t="str">
        <f t="shared" si="119"/>
        <v/>
      </c>
    </row>
    <row r="1914" spans="11:14" ht="15" customHeight="1" x14ac:dyDescent="0.25">
      <c r="K1914" s="26" t="str">
        <f t="shared" si="116"/>
        <v/>
      </c>
      <c r="L1914" s="26" t="str">
        <f t="shared" si="117"/>
        <v/>
      </c>
      <c r="M1914" s="26" t="str">
        <f t="shared" si="118"/>
        <v/>
      </c>
      <c r="N1914" s="27" t="str">
        <f t="shared" si="119"/>
        <v/>
      </c>
    </row>
    <row r="1915" spans="11:14" ht="15" customHeight="1" x14ac:dyDescent="0.25">
      <c r="K1915" s="26" t="str">
        <f t="shared" si="116"/>
        <v/>
      </c>
      <c r="L1915" s="26" t="str">
        <f t="shared" si="117"/>
        <v/>
      </c>
      <c r="M1915" s="26" t="str">
        <f t="shared" si="118"/>
        <v/>
      </c>
      <c r="N1915" s="27" t="str">
        <f t="shared" si="119"/>
        <v/>
      </c>
    </row>
    <row r="1916" spans="11:14" ht="15" customHeight="1" x14ac:dyDescent="0.25">
      <c r="K1916" s="26" t="str">
        <f t="shared" si="116"/>
        <v/>
      </c>
      <c r="L1916" s="26" t="str">
        <f t="shared" si="117"/>
        <v/>
      </c>
      <c r="M1916" s="26" t="str">
        <f t="shared" si="118"/>
        <v/>
      </c>
      <c r="N1916" s="27" t="str">
        <f t="shared" si="119"/>
        <v/>
      </c>
    </row>
    <row r="1917" spans="11:14" ht="15" customHeight="1" x14ac:dyDescent="0.25">
      <c r="K1917" s="26" t="str">
        <f t="shared" si="116"/>
        <v/>
      </c>
      <c r="L1917" s="26" t="str">
        <f t="shared" si="117"/>
        <v/>
      </c>
      <c r="M1917" s="26" t="str">
        <f t="shared" si="118"/>
        <v/>
      </c>
      <c r="N1917" s="27" t="str">
        <f t="shared" si="119"/>
        <v/>
      </c>
    </row>
    <row r="1918" spans="11:14" ht="15" customHeight="1" x14ac:dyDescent="0.25">
      <c r="K1918" s="26" t="str">
        <f t="shared" si="116"/>
        <v/>
      </c>
      <c r="L1918" s="26" t="str">
        <f t="shared" si="117"/>
        <v/>
      </c>
      <c r="M1918" s="26" t="str">
        <f t="shared" si="118"/>
        <v/>
      </c>
      <c r="N1918" s="27" t="str">
        <f t="shared" si="119"/>
        <v/>
      </c>
    </row>
    <row r="1919" spans="11:14" ht="15" customHeight="1" x14ac:dyDescent="0.25">
      <c r="K1919" s="26" t="str">
        <f t="shared" si="116"/>
        <v/>
      </c>
      <c r="L1919" s="26" t="str">
        <f t="shared" si="117"/>
        <v/>
      </c>
      <c r="M1919" s="26" t="str">
        <f t="shared" si="118"/>
        <v/>
      </c>
      <c r="N1919" s="27" t="str">
        <f t="shared" si="119"/>
        <v/>
      </c>
    </row>
    <row r="1920" spans="11:14" ht="15" customHeight="1" x14ac:dyDescent="0.25">
      <c r="K1920" s="26" t="str">
        <f t="shared" si="116"/>
        <v/>
      </c>
      <c r="L1920" s="26" t="str">
        <f t="shared" si="117"/>
        <v/>
      </c>
      <c r="M1920" s="26" t="str">
        <f t="shared" si="118"/>
        <v/>
      </c>
      <c r="N1920" s="27" t="str">
        <f t="shared" si="119"/>
        <v/>
      </c>
    </row>
    <row r="1921" spans="11:14" ht="15" customHeight="1" x14ac:dyDescent="0.25">
      <c r="K1921" s="26" t="str">
        <f t="shared" si="116"/>
        <v/>
      </c>
      <c r="L1921" s="26" t="str">
        <f t="shared" si="117"/>
        <v/>
      </c>
      <c r="M1921" s="26" t="str">
        <f t="shared" si="118"/>
        <v/>
      </c>
      <c r="N1921" s="27" t="str">
        <f t="shared" si="119"/>
        <v/>
      </c>
    </row>
    <row r="1922" spans="11:14" ht="15" customHeight="1" x14ac:dyDescent="0.25">
      <c r="K1922" s="26" t="str">
        <f t="shared" si="116"/>
        <v/>
      </c>
      <c r="L1922" s="26" t="str">
        <f t="shared" si="117"/>
        <v/>
      </c>
      <c r="M1922" s="26" t="str">
        <f t="shared" si="118"/>
        <v/>
      </c>
      <c r="N1922" s="27" t="str">
        <f t="shared" si="119"/>
        <v/>
      </c>
    </row>
    <row r="1923" spans="11:14" ht="15" customHeight="1" x14ac:dyDescent="0.25">
      <c r="K1923" s="26" t="str">
        <f t="shared" si="116"/>
        <v/>
      </c>
      <c r="L1923" s="26" t="str">
        <f t="shared" si="117"/>
        <v/>
      </c>
      <c r="M1923" s="26" t="str">
        <f t="shared" si="118"/>
        <v/>
      </c>
      <c r="N1923" s="27" t="str">
        <f t="shared" si="119"/>
        <v/>
      </c>
    </row>
    <row r="1924" spans="11:14" ht="15" customHeight="1" x14ac:dyDescent="0.25">
      <c r="K1924" s="26" t="str">
        <f t="shared" si="116"/>
        <v/>
      </c>
      <c r="L1924" s="26" t="str">
        <f t="shared" si="117"/>
        <v/>
      </c>
      <c r="M1924" s="26" t="str">
        <f t="shared" si="118"/>
        <v/>
      </c>
      <c r="N1924" s="27" t="str">
        <f t="shared" si="119"/>
        <v/>
      </c>
    </row>
    <row r="1925" spans="11:14" ht="15" customHeight="1" x14ac:dyDescent="0.25">
      <c r="K1925" s="26" t="str">
        <f t="shared" ref="K1925:K1988" si="120">IF(H1925="","",(H1925-G1925)/G1925)</f>
        <v/>
      </c>
      <c r="L1925" s="26" t="str">
        <f t="shared" ref="L1925:L1988" si="121">IF(I1925="","",(I1925-G1925)/G1925)</f>
        <v/>
      </c>
      <c r="M1925" s="26" t="str">
        <f t="shared" ref="M1925:M1988" si="122">IF(J1925="","",(J1925-G1925)/G1925)</f>
        <v/>
      </c>
      <c r="N1925" s="27" t="str">
        <f t="shared" ref="N1925:N1988" si="123">IF(H1925="","",IF(D1925="HOLD",IF(ABS(K1925)&lt;0.03,"YES","NO"),IF(D1925="BUY",IF(K1925&gt;0,"YES","NO"),IF(D1925="SELL",IF(K1925&lt;0,"YES","NO"),""))))</f>
        <v/>
      </c>
    </row>
    <row r="1926" spans="11:14" ht="15" customHeight="1" x14ac:dyDescent="0.25">
      <c r="K1926" s="26" t="str">
        <f t="shared" si="120"/>
        <v/>
      </c>
      <c r="L1926" s="26" t="str">
        <f t="shared" si="121"/>
        <v/>
      </c>
      <c r="M1926" s="26" t="str">
        <f t="shared" si="122"/>
        <v/>
      </c>
      <c r="N1926" s="27" t="str">
        <f t="shared" si="123"/>
        <v/>
      </c>
    </row>
    <row r="1927" spans="11:14" ht="15" customHeight="1" x14ac:dyDescent="0.25">
      <c r="K1927" s="26" t="str">
        <f t="shared" si="120"/>
        <v/>
      </c>
      <c r="L1927" s="26" t="str">
        <f t="shared" si="121"/>
        <v/>
      </c>
      <c r="M1927" s="26" t="str">
        <f t="shared" si="122"/>
        <v/>
      </c>
      <c r="N1927" s="27" t="str">
        <f t="shared" si="123"/>
        <v/>
      </c>
    </row>
    <row r="1928" spans="11:14" ht="15" customHeight="1" x14ac:dyDescent="0.25">
      <c r="K1928" s="26" t="str">
        <f t="shared" si="120"/>
        <v/>
      </c>
      <c r="L1928" s="26" t="str">
        <f t="shared" si="121"/>
        <v/>
      </c>
      <c r="M1928" s="26" t="str">
        <f t="shared" si="122"/>
        <v/>
      </c>
      <c r="N1928" s="27" t="str">
        <f t="shared" si="123"/>
        <v/>
      </c>
    </row>
    <row r="1929" spans="11:14" ht="15" customHeight="1" x14ac:dyDescent="0.25">
      <c r="K1929" s="26" t="str">
        <f t="shared" si="120"/>
        <v/>
      </c>
      <c r="L1929" s="26" t="str">
        <f t="shared" si="121"/>
        <v/>
      </c>
      <c r="M1929" s="26" t="str">
        <f t="shared" si="122"/>
        <v/>
      </c>
      <c r="N1929" s="27" t="str">
        <f t="shared" si="123"/>
        <v/>
      </c>
    </row>
    <row r="1930" spans="11:14" ht="15" customHeight="1" x14ac:dyDescent="0.25">
      <c r="K1930" s="26" t="str">
        <f t="shared" si="120"/>
        <v/>
      </c>
      <c r="L1930" s="26" t="str">
        <f t="shared" si="121"/>
        <v/>
      </c>
      <c r="M1930" s="26" t="str">
        <f t="shared" si="122"/>
        <v/>
      </c>
      <c r="N1930" s="27" t="str">
        <f t="shared" si="123"/>
        <v/>
      </c>
    </row>
    <row r="1931" spans="11:14" ht="15" customHeight="1" x14ac:dyDescent="0.25">
      <c r="K1931" s="26" t="str">
        <f t="shared" si="120"/>
        <v/>
      </c>
      <c r="L1931" s="26" t="str">
        <f t="shared" si="121"/>
        <v/>
      </c>
      <c r="M1931" s="26" t="str">
        <f t="shared" si="122"/>
        <v/>
      </c>
      <c r="N1931" s="27" t="str">
        <f t="shared" si="123"/>
        <v/>
      </c>
    </row>
    <row r="1932" spans="11:14" ht="15" customHeight="1" x14ac:dyDescent="0.25">
      <c r="K1932" s="26" t="str">
        <f t="shared" si="120"/>
        <v/>
      </c>
      <c r="L1932" s="26" t="str">
        <f t="shared" si="121"/>
        <v/>
      </c>
      <c r="M1932" s="26" t="str">
        <f t="shared" si="122"/>
        <v/>
      </c>
      <c r="N1932" s="27" t="str">
        <f t="shared" si="123"/>
        <v/>
      </c>
    </row>
    <row r="1933" spans="11:14" ht="15" customHeight="1" x14ac:dyDescent="0.25">
      <c r="K1933" s="26" t="str">
        <f t="shared" si="120"/>
        <v/>
      </c>
      <c r="L1933" s="26" t="str">
        <f t="shared" si="121"/>
        <v/>
      </c>
      <c r="M1933" s="26" t="str">
        <f t="shared" si="122"/>
        <v/>
      </c>
      <c r="N1933" s="27" t="str">
        <f t="shared" si="123"/>
        <v/>
      </c>
    </row>
    <row r="1934" spans="11:14" ht="15" customHeight="1" x14ac:dyDescent="0.25">
      <c r="K1934" s="26" t="str">
        <f t="shared" si="120"/>
        <v/>
      </c>
      <c r="L1934" s="26" t="str">
        <f t="shared" si="121"/>
        <v/>
      </c>
      <c r="M1934" s="26" t="str">
        <f t="shared" si="122"/>
        <v/>
      </c>
      <c r="N1934" s="27" t="str">
        <f t="shared" si="123"/>
        <v/>
      </c>
    </row>
    <row r="1935" spans="11:14" ht="15" customHeight="1" x14ac:dyDescent="0.25">
      <c r="K1935" s="26" t="str">
        <f t="shared" si="120"/>
        <v/>
      </c>
      <c r="L1935" s="26" t="str">
        <f t="shared" si="121"/>
        <v/>
      </c>
      <c r="M1935" s="26" t="str">
        <f t="shared" si="122"/>
        <v/>
      </c>
      <c r="N1935" s="27" t="str">
        <f t="shared" si="123"/>
        <v/>
      </c>
    </row>
    <row r="1936" spans="11:14" ht="15" customHeight="1" x14ac:dyDescent="0.25">
      <c r="K1936" s="26" t="str">
        <f t="shared" si="120"/>
        <v/>
      </c>
      <c r="L1936" s="26" t="str">
        <f t="shared" si="121"/>
        <v/>
      </c>
      <c r="M1936" s="26" t="str">
        <f t="shared" si="122"/>
        <v/>
      </c>
      <c r="N1936" s="27" t="str">
        <f t="shared" si="123"/>
        <v/>
      </c>
    </row>
    <row r="1937" spans="11:14" ht="15" customHeight="1" x14ac:dyDescent="0.25">
      <c r="K1937" s="26" t="str">
        <f t="shared" si="120"/>
        <v/>
      </c>
      <c r="L1937" s="26" t="str">
        <f t="shared" si="121"/>
        <v/>
      </c>
      <c r="M1937" s="26" t="str">
        <f t="shared" si="122"/>
        <v/>
      </c>
      <c r="N1937" s="27" t="str">
        <f t="shared" si="123"/>
        <v/>
      </c>
    </row>
    <row r="1938" spans="11:14" ht="15" customHeight="1" x14ac:dyDescent="0.25">
      <c r="K1938" s="26" t="str">
        <f t="shared" si="120"/>
        <v/>
      </c>
      <c r="L1938" s="26" t="str">
        <f t="shared" si="121"/>
        <v/>
      </c>
      <c r="M1938" s="26" t="str">
        <f t="shared" si="122"/>
        <v/>
      </c>
      <c r="N1938" s="27" t="str">
        <f t="shared" si="123"/>
        <v/>
      </c>
    </row>
    <row r="1939" spans="11:14" ht="15" customHeight="1" x14ac:dyDescent="0.25">
      <c r="K1939" s="26" t="str">
        <f t="shared" si="120"/>
        <v/>
      </c>
      <c r="L1939" s="26" t="str">
        <f t="shared" si="121"/>
        <v/>
      </c>
      <c r="M1939" s="26" t="str">
        <f t="shared" si="122"/>
        <v/>
      </c>
      <c r="N1939" s="27" t="str">
        <f t="shared" si="123"/>
        <v/>
      </c>
    </row>
    <row r="1940" spans="11:14" ht="15" customHeight="1" x14ac:dyDescent="0.25">
      <c r="K1940" s="26" t="str">
        <f t="shared" si="120"/>
        <v/>
      </c>
      <c r="L1940" s="26" t="str">
        <f t="shared" si="121"/>
        <v/>
      </c>
      <c r="M1940" s="26" t="str">
        <f t="shared" si="122"/>
        <v/>
      </c>
      <c r="N1940" s="27" t="str">
        <f t="shared" si="123"/>
        <v/>
      </c>
    </row>
    <row r="1941" spans="11:14" ht="15" customHeight="1" x14ac:dyDescent="0.25">
      <c r="K1941" s="26" t="str">
        <f t="shared" si="120"/>
        <v/>
      </c>
      <c r="L1941" s="26" t="str">
        <f t="shared" si="121"/>
        <v/>
      </c>
      <c r="M1941" s="26" t="str">
        <f t="shared" si="122"/>
        <v/>
      </c>
      <c r="N1941" s="27" t="str">
        <f t="shared" si="123"/>
        <v/>
      </c>
    </row>
    <row r="1942" spans="11:14" ht="15" customHeight="1" x14ac:dyDescent="0.25">
      <c r="K1942" s="26" t="str">
        <f t="shared" si="120"/>
        <v/>
      </c>
      <c r="L1942" s="26" t="str">
        <f t="shared" si="121"/>
        <v/>
      </c>
      <c r="M1942" s="26" t="str">
        <f t="shared" si="122"/>
        <v/>
      </c>
      <c r="N1942" s="27" t="str">
        <f t="shared" si="123"/>
        <v/>
      </c>
    </row>
    <row r="1943" spans="11:14" ht="15" customHeight="1" x14ac:dyDescent="0.25">
      <c r="K1943" s="26" t="str">
        <f t="shared" si="120"/>
        <v/>
      </c>
      <c r="L1943" s="26" t="str">
        <f t="shared" si="121"/>
        <v/>
      </c>
      <c r="M1943" s="26" t="str">
        <f t="shared" si="122"/>
        <v/>
      </c>
      <c r="N1943" s="27" t="str">
        <f t="shared" si="123"/>
        <v/>
      </c>
    </row>
    <row r="1944" spans="11:14" ht="15" customHeight="1" x14ac:dyDescent="0.25">
      <c r="K1944" s="26" t="str">
        <f t="shared" si="120"/>
        <v/>
      </c>
      <c r="L1944" s="26" t="str">
        <f t="shared" si="121"/>
        <v/>
      </c>
      <c r="M1944" s="26" t="str">
        <f t="shared" si="122"/>
        <v/>
      </c>
      <c r="N1944" s="27" t="str">
        <f t="shared" si="123"/>
        <v/>
      </c>
    </row>
    <row r="1945" spans="11:14" ht="15" customHeight="1" x14ac:dyDescent="0.25">
      <c r="K1945" s="26" t="str">
        <f t="shared" si="120"/>
        <v/>
      </c>
      <c r="L1945" s="26" t="str">
        <f t="shared" si="121"/>
        <v/>
      </c>
      <c r="M1945" s="26" t="str">
        <f t="shared" si="122"/>
        <v/>
      </c>
      <c r="N1945" s="27" t="str">
        <f t="shared" si="123"/>
        <v/>
      </c>
    </row>
    <row r="1946" spans="11:14" ht="15" customHeight="1" x14ac:dyDescent="0.25">
      <c r="K1946" s="26" t="str">
        <f t="shared" si="120"/>
        <v/>
      </c>
      <c r="L1946" s="26" t="str">
        <f t="shared" si="121"/>
        <v/>
      </c>
      <c r="M1946" s="26" t="str">
        <f t="shared" si="122"/>
        <v/>
      </c>
      <c r="N1946" s="27" t="str">
        <f t="shared" si="123"/>
        <v/>
      </c>
    </row>
    <row r="1947" spans="11:14" ht="15" customHeight="1" x14ac:dyDescent="0.25">
      <c r="K1947" s="26" t="str">
        <f t="shared" si="120"/>
        <v/>
      </c>
      <c r="L1947" s="26" t="str">
        <f t="shared" si="121"/>
        <v/>
      </c>
      <c r="M1947" s="26" t="str">
        <f t="shared" si="122"/>
        <v/>
      </c>
      <c r="N1947" s="27" t="str">
        <f t="shared" si="123"/>
        <v/>
      </c>
    </row>
    <row r="1948" spans="11:14" ht="15" customHeight="1" x14ac:dyDescent="0.25">
      <c r="K1948" s="26" t="str">
        <f t="shared" si="120"/>
        <v/>
      </c>
      <c r="L1948" s="26" t="str">
        <f t="shared" si="121"/>
        <v/>
      </c>
      <c r="M1948" s="26" t="str">
        <f t="shared" si="122"/>
        <v/>
      </c>
      <c r="N1948" s="27" t="str">
        <f t="shared" si="123"/>
        <v/>
      </c>
    </row>
    <row r="1949" spans="11:14" ht="15" customHeight="1" x14ac:dyDescent="0.25">
      <c r="K1949" s="26" t="str">
        <f t="shared" si="120"/>
        <v/>
      </c>
      <c r="L1949" s="26" t="str">
        <f t="shared" si="121"/>
        <v/>
      </c>
      <c r="M1949" s="26" t="str">
        <f t="shared" si="122"/>
        <v/>
      </c>
      <c r="N1949" s="27" t="str">
        <f t="shared" si="123"/>
        <v/>
      </c>
    </row>
    <row r="1950" spans="11:14" ht="15" customHeight="1" x14ac:dyDescent="0.25">
      <c r="K1950" s="26" t="str">
        <f t="shared" si="120"/>
        <v/>
      </c>
      <c r="L1950" s="26" t="str">
        <f t="shared" si="121"/>
        <v/>
      </c>
      <c r="M1950" s="26" t="str">
        <f t="shared" si="122"/>
        <v/>
      </c>
      <c r="N1950" s="27" t="str">
        <f t="shared" si="123"/>
        <v/>
      </c>
    </row>
    <row r="1951" spans="11:14" ht="15" customHeight="1" x14ac:dyDescent="0.25">
      <c r="K1951" s="26" t="str">
        <f t="shared" si="120"/>
        <v/>
      </c>
      <c r="L1951" s="26" t="str">
        <f t="shared" si="121"/>
        <v/>
      </c>
      <c r="M1951" s="26" t="str">
        <f t="shared" si="122"/>
        <v/>
      </c>
      <c r="N1951" s="27" t="str">
        <f t="shared" si="123"/>
        <v/>
      </c>
    </row>
    <row r="1952" spans="11:14" ht="15" customHeight="1" x14ac:dyDescent="0.25">
      <c r="K1952" s="26" t="str">
        <f t="shared" si="120"/>
        <v/>
      </c>
      <c r="L1952" s="26" t="str">
        <f t="shared" si="121"/>
        <v/>
      </c>
      <c r="M1952" s="26" t="str">
        <f t="shared" si="122"/>
        <v/>
      </c>
      <c r="N1952" s="27" t="str">
        <f t="shared" si="123"/>
        <v/>
      </c>
    </row>
    <row r="1953" spans="11:14" ht="15" customHeight="1" x14ac:dyDescent="0.25">
      <c r="K1953" s="26" t="str">
        <f t="shared" si="120"/>
        <v/>
      </c>
      <c r="L1953" s="26" t="str">
        <f t="shared" si="121"/>
        <v/>
      </c>
      <c r="M1953" s="26" t="str">
        <f t="shared" si="122"/>
        <v/>
      </c>
      <c r="N1953" s="27" t="str">
        <f t="shared" si="123"/>
        <v/>
      </c>
    </row>
    <row r="1954" spans="11:14" ht="15" customHeight="1" x14ac:dyDescent="0.25">
      <c r="K1954" s="26" t="str">
        <f t="shared" si="120"/>
        <v/>
      </c>
      <c r="L1954" s="26" t="str">
        <f t="shared" si="121"/>
        <v/>
      </c>
      <c r="M1954" s="26" t="str">
        <f t="shared" si="122"/>
        <v/>
      </c>
      <c r="N1954" s="27" t="str">
        <f t="shared" si="123"/>
        <v/>
      </c>
    </row>
    <row r="1955" spans="11:14" ht="15" customHeight="1" x14ac:dyDescent="0.25">
      <c r="K1955" s="26" t="str">
        <f t="shared" si="120"/>
        <v/>
      </c>
      <c r="L1955" s="26" t="str">
        <f t="shared" si="121"/>
        <v/>
      </c>
      <c r="M1955" s="26" t="str">
        <f t="shared" si="122"/>
        <v/>
      </c>
      <c r="N1955" s="27" t="str">
        <f t="shared" si="123"/>
        <v/>
      </c>
    </row>
    <row r="1956" spans="11:14" ht="15" customHeight="1" x14ac:dyDescent="0.25">
      <c r="K1956" s="26" t="str">
        <f t="shared" si="120"/>
        <v/>
      </c>
      <c r="L1956" s="26" t="str">
        <f t="shared" si="121"/>
        <v/>
      </c>
      <c r="M1956" s="26" t="str">
        <f t="shared" si="122"/>
        <v/>
      </c>
      <c r="N1956" s="27" t="str">
        <f t="shared" si="123"/>
        <v/>
      </c>
    </row>
    <row r="1957" spans="11:14" ht="15" customHeight="1" x14ac:dyDescent="0.25">
      <c r="K1957" s="26" t="str">
        <f t="shared" si="120"/>
        <v/>
      </c>
      <c r="L1957" s="26" t="str">
        <f t="shared" si="121"/>
        <v/>
      </c>
      <c r="M1957" s="26" t="str">
        <f t="shared" si="122"/>
        <v/>
      </c>
      <c r="N1957" s="27" t="str">
        <f t="shared" si="123"/>
        <v/>
      </c>
    </row>
    <row r="1958" spans="11:14" ht="15" customHeight="1" x14ac:dyDescent="0.25">
      <c r="K1958" s="26" t="str">
        <f t="shared" si="120"/>
        <v/>
      </c>
      <c r="L1958" s="26" t="str">
        <f t="shared" si="121"/>
        <v/>
      </c>
      <c r="M1958" s="26" t="str">
        <f t="shared" si="122"/>
        <v/>
      </c>
      <c r="N1958" s="27" t="str">
        <f t="shared" si="123"/>
        <v/>
      </c>
    </row>
    <row r="1959" spans="11:14" ht="15" customHeight="1" x14ac:dyDescent="0.25">
      <c r="K1959" s="26" t="str">
        <f t="shared" si="120"/>
        <v/>
      </c>
      <c r="L1959" s="26" t="str">
        <f t="shared" si="121"/>
        <v/>
      </c>
      <c r="M1959" s="26" t="str">
        <f t="shared" si="122"/>
        <v/>
      </c>
      <c r="N1959" s="27" t="str">
        <f t="shared" si="123"/>
        <v/>
      </c>
    </row>
    <row r="1960" spans="11:14" ht="15" customHeight="1" x14ac:dyDescent="0.25">
      <c r="K1960" s="26" t="str">
        <f t="shared" si="120"/>
        <v/>
      </c>
      <c r="L1960" s="26" t="str">
        <f t="shared" si="121"/>
        <v/>
      </c>
      <c r="M1960" s="26" t="str">
        <f t="shared" si="122"/>
        <v/>
      </c>
      <c r="N1960" s="27" t="str">
        <f t="shared" si="123"/>
        <v/>
      </c>
    </row>
    <row r="1961" spans="11:14" ht="15" customHeight="1" x14ac:dyDescent="0.25">
      <c r="K1961" s="26" t="str">
        <f t="shared" si="120"/>
        <v/>
      </c>
      <c r="L1961" s="26" t="str">
        <f t="shared" si="121"/>
        <v/>
      </c>
      <c r="M1961" s="26" t="str">
        <f t="shared" si="122"/>
        <v/>
      </c>
      <c r="N1961" s="27" t="str">
        <f t="shared" si="123"/>
        <v/>
      </c>
    </row>
    <row r="1962" spans="11:14" ht="15" customHeight="1" x14ac:dyDescent="0.25">
      <c r="K1962" s="26" t="str">
        <f t="shared" si="120"/>
        <v/>
      </c>
      <c r="L1962" s="26" t="str">
        <f t="shared" si="121"/>
        <v/>
      </c>
      <c r="M1962" s="26" t="str">
        <f t="shared" si="122"/>
        <v/>
      </c>
      <c r="N1962" s="27" t="str">
        <f t="shared" si="123"/>
        <v/>
      </c>
    </row>
    <row r="1963" spans="11:14" ht="15" customHeight="1" x14ac:dyDescent="0.25">
      <c r="K1963" s="26" t="str">
        <f t="shared" si="120"/>
        <v/>
      </c>
      <c r="L1963" s="26" t="str">
        <f t="shared" si="121"/>
        <v/>
      </c>
      <c r="M1963" s="26" t="str">
        <f t="shared" si="122"/>
        <v/>
      </c>
      <c r="N1963" s="27" t="str">
        <f t="shared" si="123"/>
        <v/>
      </c>
    </row>
    <row r="1964" spans="11:14" ht="15" customHeight="1" x14ac:dyDescent="0.25">
      <c r="K1964" s="26" t="str">
        <f t="shared" si="120"/>
        <v/>
      </c>
      <c r="L1964" s="26" t="str">
        <f t="shared" si="121"/>
        <v/>
      </c>
      <c r="M1964" s="26" t="str">
        <f t="shared" si="122"/>
        <v/>
      </c>
      <c r="N1964" s="27" t="str">
        <f t="shared" si="123"/>
        <v/>
      </c>
    </row>
    <row r="1965" spans="11:14" ht="15" customHeight="1" x14ac:dyDescent="0.25">
      <c r="K1965" s="26" t="str">
        <f t="shared" si="120"/>
        <v/>
      </c>
      <c r="L1965" s="26" t="str">
        <f t="shared" si="121"/>
        <v/>
      </c>
      <c r="M1965" s="26" t="str">
        <f t="shared" si="122"/>
        <v/>
      </c>
      <c r="N1965" s="27" t="str">
        <f t="shared" si="123"/>
        <v/>
      </c>
    </row>
    <row r="1966" spans="11:14" ht="15" customHeight="1" x14ac:dyDescent="0.25">
      <c r="K1966" s="26" t="str">
        <f t="shared" si="120"/>
        <v/>
      </c>
      <c r="L1966" s="26" t="str">
        <f t="shared" si="121"/>
        <v/>
      </c>
      <c r="M1966" s="26" t="str">
        <f t="shared" si="122"/>
        <v/>
      </c>
      <c r="N1966" s="27" t="str">
        <f t="shared" si="123"/>
        <v/>
      </c>
    </row>
    <row r="1967" spans="11:14" ht="15" customHeight="1" x14ac:dyDescent="0.25">
      <c r="K1967" s="26" t="str">
        <f t="shared" si="120"/>
        <v/>
      </c>
      <c r="L1967" s="26" t="str">
        <f t="shared" si="121"/>
        <v/>
      </c>
      <c r="M1967" s="26" t="str">
        <f t="shared" si="122"/>
        <v/>
      </c>
      <c r="N1967" s="27" t="str">
        <f t="shared" si="123"/>
        <v/>
      </c>
    </row>
    <row r="1968" spans="11:14" ht="15" customHeight="1" x14ac:dyDescent="0.25">
      <c r="K1968" s="26" t="str">
        <f t="shared" si="120"/>
        <v/>
      </c>
      <c r="L1968" s="26" t="str">
        <f t="shared" si="121"/>
        <v/>
      </c>
      <c r="M1968" s="26" t="str">
        <f t="shared" si="122"/>
        <v/>
      </c>
      <c r="N1968" s="27" t="str">
        <f t="shared" si="123"/>
        <v/>
      </c>
    </row>
    <row r="1969" spans="11:14" ht="15" customHeight="1" x14ac:dyDescent="0.25">
      <c r="K1969" s="26" t="str">
        <f t="shared" si="120"/>
        <v/>
      </c>
      <c r="L1969" s="26" t="str">
        <f t="shared" si="121"/>
        <v/>
      </c>
      <c r="M1969" s="26" t="str">
        <f t="shared" si="122"/>
        <v/>
      </c>
      <c r="N1969" s="27" t="str">
        <f t="shared" si="123"/>
        <v/>
      </c>
    </row>
    <row r="1970" spans="11:14" ht="15" customHeight="1" x14ac:dyDescent="0.25">
      <c r="K1970" s="26" t="str">
        <f t="shared" si="120"/>
        <v/>
      </c>
      <c r="L1970" s="26" t="str">
        <f t="shared" si="121"/>
        <v/>
      </c>
      <c r="M1970" s="26" t="str">
        <f t="shared" si="122"/>
        <v/>
      </c>
      <c r="N1970" s="27" t="str">
        <f t="shared" si="123"/>
        <v/>
      </c>
    </row>
    <row r="1971" spans="11:14" ht="15" customHeight="1" x14ac:dyDescent="0.25">
      <c r="K1971" s="26" t="str">
        <f t="shared" si="120"/>
        <v/>
      </c>
      <c r="L1971" s="26" t="str">
        <f t="shared" si="121"/>
        <v/>
      </c>
      <c r="M1971" s="26" t="str">
        <f t="shared" si="122"/>
        <v/>
      </c>
      <c r="N1971" s="27" t="str">
        <f t="shared" si="123"/>
        <v/>
      </c>
    </row>
    <row r="1972" spans="11:14" ht="15" customHeight="1" x14ac:dyDescent="0.25">
      <c r="K1972" s="26" t="str">
        <f t="shared" si="120"/>
        <v/>
      </c>
      <c r="L1972" s="26" t="str">
        <f t="shared" si="121"/>
        <v/>
      </c>
      <c r="M1972" s="26" t="str">
        <f t="shared" si="122"/>
        <v/>
      </c>
      <c r="N1972" s="27" t="str">
        <f t="shared" si="123"/>
        <v/>
      </c>
    </row>
    <row r="1973" spans="11:14" ht="15" customHeight="1" x14ac:dyDescent="0.25">
      <c r="K1973" s="26" t="str">
        <f t="shared" si="120"/>
        <v/>
      </c>
      <c r="L1973" s="26" t="str">
        <f t="shared" si="121"/>
        <v/>
      </c>
      <c r="M1973" s="26" t="str">
        <f t="shared" si="122"/>
        <v/>
      </c>
      <c r="N1973" s="27" t="str">
        <f t="shared" si="123"/>
        <v/>
      </c>
    </row>
    <row r="1974" spans="11:14" ht="15" customHeight="1" x14ac:dyDescent="0.25">
      <c r="K1974" s="26" t="str">
        <f t="shared" si="120"/>
        <v/>
      </c>
      <c r="L1974" s="26" t="str">
        <f t="shared" si="121"/>
        <v/>
      </c>
      <c r="M1974" s="26" t="str">
        <f t="shared" si="122"/>
        <v/>
      </c>
      <c r="N1974" s="27" t="str">
        <f t="shared" si="123"/>
        <v/>
      </c>
    </row>
    <row r="1975" spans="11:14" ht="15" customHeight="1" x14ac:dyDescent="0.25">
      <c r="K1975" s="26" t="str">
        <f t="shared" si="120"/>
        <v/>
      </c>
      <c r="L1975" s="26" t="str">
        <f t="shared" si="121"/>
        <v/>
      </c>
      <c r="M1975" s="26" t="str">
        <f t="shared" si="122"/>
        <v/>
      </c>
      <c r="N1975" s="27" t="str">
        <f t="shared" si="123"/>
        <v/>
      </c>
    </row>
    <row r="1976" spans="11:14" ht="15" customHeight="1" x14ac:dyDescent="0.25">
      <c r="K1976" s="26" t="str">
        <f t="shared" si="120"/>
        <v/>
      </c>
      <c r="L1976" s="26" t="str">
        <f t="shared" si="121"/>
        <v/>
      </c>
      <c r="M1976" s="26" t="str">
        <f t="shared" si="122"/>
        <v/>
      </c>
      <c r="N1976" s="27" t="str">
        <f t="shared" si="123"/>
        <v/>
      </c>
    </row>
    <row r="1977" spans="11:14" ht="15" customHeight="1" x14ac:dyDescent="0.25">
      <c r="K1977" s="26" t="str">
        <f t="shared" si="120"/>
        <v/>
      </c>
      <c r="L1977" s="26" t="str">
        <f t="shared" si="121"/>
        <v/>
      </c>
      <c r="M1977" s="26" t="str">
        <f t="shared" si="122"/>
        <v/>
      </c>
      <c r="N1977" s="27" t="str">
        <f t="shared" si="123"/>
        <v/>
      </c>
    </row>
    <row r="1978" spans="11:14" ht="15" customHeight="1" x14ac:dyDescent="0.25">
      <c r="K1978" s="26" t="str">
        <f t="shared" si="120"/>
        <v/>
      </c>
      <c r="L1978" s="26" t="str">
        <f t="shared" si="121"/>
        <v/>
      </c>
      <c r="M1978" s="26" t="str">
        <f t="shared" si="122"/>
        <v/>
      </c>
      <c r="N1978" s="27" t="str">
        <f t="shared" si="123"/>
        <v/>
      </c>
    </row>
    <row r="1979" spans="11:14" ht="15" customHeight="1" x14ac:dyDescent="0.25">
      <c r="K1979" s="26" t="str">
        <f t="shared" si="120"/>
        <v/>
      </c>
      <c r="L1979" s="26" t="str">
        <f t="shared" si="121"/>
        <v/>
      </c>
      <c r="M1979" s="26" t="str">
        <f t="shared" si="122"/>
        <v/>
      </c>
      <c r="N1979" s="27" t="str">
        <f t="shared" si="123"/>
        <v/>
      </c>
    </row>
    <row r="1980" spans="11:14" ht="15" customHeight="1" x14ac:dyDescent="0.25">
      <c r="K1980" s="26" t="str">
        <f t="shared" si="120"/>
        <v/>
      </c>
      <c r="L1980" s="26" t="str">
        <f t="shared" si="121"/>
        <v/>
      </c>
      <c r="M1980" s="26" t="str">
        <f t="shared" si="122"/>
        <v/>
      </c>
      <c r="N1980" s="27" t="str">
        <f t="shared" si="123"/>
        <v/>
      </c>
    </row>
    <row r="1981" spans="11:14" ht="15" customHeight="1" x14ac:dyDescent="0.25">
      <c r="K1981" s="26" t="str">
        <f t="shared" si="120"/>
        <v/>
      </c>
      <c r="L1981" s="26" t="str">
        <f t="shared" si="121"/>
        <v/>
      </c>
      <c r="M1981" s="26" t="str">
        <f t="shared" si="122"/>
        <v/>
      </c>
      <c r="N1981" s="27" t="str">
        <f t="shared" si="123"/>
        <v/>
      </c>
    </row>
    <row r="1982" spans="11:14" ht="15" customHeight="1" x14ac:dyDescent="0.25">
      <c r="K1982" s="26" t="str">
        <f t="shared" si="120"/>
        <v/>
      </c>
      <c r="L1982" s="26" t="str">
        <f t="shared" si="121"/>
        <v/>
      </c>
      <c r="M1982" s="26" t="str">
        <f t="shared" si="122"/>
        <v/>
      </c>
      <c r="N1982" s="27" t="str">
        <f t="shared" si="123"/>
        <v/>
      </c>
    </row>
    <row r="1983" spans="11:14" ht="15" customHeight="1" x14ac:dyDescent="0.25">
      <c r="K1983" s="26" t="str">
        <f t="shared" si="120"/>
        <v/>
      </c>
      <c r="L1983" s="26" t="str">
        <f t="shared" si="121"/>
        <v/>
      </c>
      <c r="M1983" s="26" t="str">
        <f t="shared" si="122"/>
        <v/>
      </c>
      <c r="N1983" s="27" t="str">
        <f t="shared" si="123"/>
        <v/>
      </c>
    </row>
    <row r="1984" spans="11:14" ht="15" customHeight="1" x14ac:dyDescent="0.25">
      <c r="K1984" s="26" t="str">
        <f t="shared" si="120"/>
        <v/>
      </c>
      <c r="L1984" s="26" t="str">
        <f t="shared" si="121"/>
        <v/>
      </c>
      <c r="M1984" s="26" t="str">
        <f t="shared" si="122"/>
        <v/>
      </c>
      <c r="N1984" s="27" t="str">
        <f t="shared" si="123"/>
        <v/>
      </c>
    </row>
    <row r="1985" spans="11:14" ht="15" customHeight="1" x14ac:dyDescent="0.25">
      <c r="K1985" s="26" t="str">
        <f t="shared" si="120"/>
        <v/>
      </c>
      <c r="L1985" s="26" t="str">
        <f t="shared" si="121"/>
        <v/>
      </c>
      <c r="M1985" s="26" t="str">
        <f t="shared" si="122"/>
        <v/>
      </c>
      <c r="N1985" s="27" t="str">
        <f t="shared" si="123"/>
        <v/>
      </c>
    </row>
    <row r="1986" spans="11:14" ht="15" customHeight="1" x14ac:dyDescent="0.25">
      <c r="K1986" s="26" t="str">
        <f t="shared" si="120"/>
        <v/>
      </c>
      <c r="L1986" s="26" t="str">
        <f t="shared" si="121"/>
        <v/>
      </c>
      <c r="M1986" s="26" t="str">
        <f t="shared" si="122"/>
        <v/>
      </c>
      <c r="N1986" s="27" t="str">
        <f t="shared" si="123"/>
        <v/>
      </c>
    </row>
    <row r="1987" spans="11:14" ht="15" customHeight="1" x14ac:dyDescent="0.25">
      <c r="K1987" s="26" t="str">
        <f t="shared" si="120"/>
        <v/>
      </c>
      <c r="L1987" s="26" t="str">
        <f t="shared" si="121"/>
        <v/>
      </c>
      <c r="M1987" s="26" t="str">
        <f t="shared" si="122"/>
        <v/>
      </c>
      <c r="N1987" s="27" t="str">
        <f t="shared" si="123"/>
        <v/>
      </c>
    </row>
    <row r="1988" spans="11:14" ht="15" customHeight="1" x14ac:dyDescent="0.25">
      <c r="K1988" s="26" t="str">
        <f t="shared" si="120"/>
        <v/>
      </c>
      <c r="L1988" s="26" t="str">
        <f t="shared" si="121"/>
        <v/>
      </c>
      <c r="M1988" s="26" t="str">
        <f t="shared" si="122"/>
        <v/>
      </c>
      <c r="N1988" s="27" t="str">
        <f t="shared" si="123"/>
        <v/>
      </c>
    </row>
    <row r="1989" spans="11:14" ht="15" customHeight="1" x14ac:dyDescent="0.25">
      <c r="K1989" s="26" t="str">
        <f t="shared" ref="K1989:K2000" si="124">IF(H1989="","",(H1989-G1989)/G1989)</f>
        <v/>
      </c>
      <c r="L1989" s="26" t="str">
        <f t="shared" ref="L1989:L2000" si="125">IF(I1989="","",(I1989-G1989)/G1989)</f>
        <v/>
      </c>
      <c r="M1989" s="26" t="str">
        <f t="shared" ref="M1989:M2000" si="126">IF(J1989="","",(J1989-G1989)/G1989)</f>
        <v/>
      </c>
      <c r="N1989" s="27" t="str">
        <f t="shared" ref="N1989:N2000" si="127">IF(H1989="","",IF(D1989="HOLD",IF(ABS(K1989)&lt;0.03,"YES","NO"),IF(D1989="BUY",IF(K1989&gt;0,"YES","NO"),IF(D1989="SELL",IF(K1989&lt;0,"YES","NO"),""))))</f>
        <v/>
      </c>
    </row>
    <row r="1990" spans="11:14" ht="15" customHeight="1" x14ac:dyDescent="0.25">
      <c r="K1990" s="26" t="str">
        <f t="shared" si="124"/>
        <v/>
      </c>
      <c r="L1990" s="26" t="str">
        <f t="shared" si="125"/>
        <v/>
      </c>
      <c r="M1990" s="26" t="str">
        <f t="shared" si="126"/>
        <v/>
      </c>
      <c r="N1990" s="27" t="str">
        <f t="shared" si="127"/>
        <v/>
      </c>
    </row>
    <row r="1991" spans="11:14" ht="15" customHeight="1" x14ac:dyDescent="0.25">
      <c r="K1991" s="26" t="str">
        <f t="shared" si="124"/>
        <v/>
      </c>
      <c r="L1991" s="26" t="str">
        <f t="shared" si="125"/>
        <v/>
      </c>
      <c r="M1991" s="26" t="str">
        <f t="shared" si="126"/>
        <v/>
      </c>
      <c r="N1991" s="27" t="str">
        <f t="shared" si="127"/>
        <v/>
      </c>
    </row>
    <row r="1992" spans="11:14" ht="15" customHeight="1" x14ac:dyDescent="0.25">
      <c r="K1992" s="26" t="str">
        <f t="shared" si="124"/>
        <v/>
      </c>
      <c r="L1992" s="26" t="str">
        <f t="shared" si="125"/>
        <v/>
      </c>
      <c r="M1992" s="26" t="str">
        <f t="shared" si="126"/>
        <v/>
      </c>
      <c r="N1992" s="27" t="str">
        <f t="shared" si="127"/>
        <v/>
      </c>
    </row>
    <row r="1993" spans="11:14" ht="15" customHeight="1" x14ac:dyDescent="0.25">
      <c r="K1993" s="26" t="str">
        <f t="shared" si="124"/>
        <v/>
      </c>
      <c r="L1993" s="26" t="str">
        <f t="shared" si="125"/>
        <v/>
      </c>
      <c r="M1993" s="26" t="str">
        <f t="shared" si="126"/>
        <v/>
      </c>
      <c r="N1993" s="27" t="str">
        <f t="shared" si="127"/>
        <v/>
      </c>
    </row>
    <row r="1994" spans="11:14" ht="15" customHeight="1" x14ac:dyDescent="0.25">
      <c r="K1994" s="26" t="str">
        <f t="shared" si="124"/>
        <v/>
      </c>
      <c r="L1994" s="26" t="str">
        <f t="shared" si="125"/>
        <v/>
      </c>
      <c r="M1994" s="26" t="str">
        <f t="shared" si="126"/>
        <v/>
      </c>
      <c r="N1994" s="27" t="str">
        <f t="shared" si="127"/>
        <v/>
      </c>
    </row>
    <row r="1995" spans="11:14" ht="15" customHeight="1" x14ac:dyDescent="0.25">
      <c r="K1995" s="26" t="str">
        <f t="shared" si="124"/>
        <v/>
      </c>
      <c r="L1995" s="26" t="str">
        <f t="shared" si="125"/>
        <v/>
      </c>
      <c r="M1995" s="26" t="str">
        <f t="shared" si="126"/>
        <v/>
      </c>
      <c r="N1995" s="27" t="str">
        <f t="shared" si="127"/>
        <v/>
      </c>
    </row>
    <row r="1996" spans="11:14" ht="15" customHeight="1" x14ac:dyDescent="0.25">
      <c r="K1996" s="26" t="str">
        <f t="shared" si="124"/>
        <v/>
      </c>
      <c r="L1996" s="26" t="str">
        <f t="shared" si="125"/>
        <v/>
      </c>
      <c r="M1996" s="26" t="str">
        <f t="shared" si="126"/>
        <v/>
      </c>
      <c r="N1996" s="27" t="str">
        <f t="shared" si="127"/>
        <v/>
      </c>
    </row>
    <row r="1997" spans="11:14" ht="15" customHeight="1" x14ac:dyDescent="0.25">
      <c r="K1997" s="26" t="str">
        <f t="shared" si="124"/>
        <v/>
      </c>
      <c r="L1997" s="26" t="str">
        <f t="shared" si="125"/>
        <v/>
      </c>
      <c r="M1997" s="26" t="str">
        <f t="shared" si="126"/>
        <v/>
      </c>
      <c r="N1997" s="27" t="str">
        <f t="shared" si="127"/>
        <v/>
      </c>
    </row>
    <row r="1998" spans="11:14" ht="15" customHeight="1" x14ac:dyDescent="0.25">
      <c r="K1998" s="26" t="str">
        <f t="shared" si="124"/>
        <v/>
      </c>
      <c r="L1998" s="26" t="str">
        <f t="shared" si="125"/>
        <v/>
      </c>
      <c r="M1998" s="26" t="str">
        <f t="shared" si="126"/>
        <v/>
      </c>
      <c r="N1998" s="27" t="str">
        <f t="shared" si="127"/>
        <v/>
      </c>
    </row>
    <row r="1999" spans="11:14" ht="15" customHeight="1" x14ac:dyDescent="0.25">
      <c r="K1999" s="26" t="str">
        <f t="shared" si="124"/>
        <v/>
      </c>
      <c r="L1999" s="26" t="str">
        <f t="shared" si="125"/>
        <v/>
      </c>
      <c r="M1999" s="26" t="str">
        <f t="shared" si="126"/>
        <v/>
      </c>
      <c r="N1999" s="27" t="str">
        <f t="shared" si="127"/>
        <v/>
      </c>
    </row>
    <row r="2000" spans="11:14" ht="15" customHeight="1" x14ac:dyDescent="0.25">
      <c r="K2000" s="26" t="str">
        <f t="shared" si="124"/>
        <v/>
      </c>
      <c r="L2000" s="26" t="str">
        <f t="shared" si="125"/>
        <v/>
      </c>
      <c r="M2000" s="26" t="str">
        <f t="shared" si="126"/>
        <v/>
      </c>
      <c r="N2000" s="27" t="str">
        <f t="shared" si="127"/>
        <v/>
      </c>
    </row>
    <row r="2001" spans="11:14" ht="15" customHeight="1" x14ac:dyDescent="0.25">
      <c r="K2001" s="26"/>
      <c r="L2001" s="26"/>
      <c r="M2001" s="26"/>
      <c r="N2001" s="27"/>
    </row>
    <row r="2002" spans="11:14" ht="15" customHeight="1" x14ac:dyDescent="0.25">
      <c r="K2002" s="26"/>
      <c r="L2002" s="26"/>
      <c r="M2002" s="26"/>
      <c r="N2002" s="27"/>
    </row>
    <row r="2003" spans="11:14" ht="15" customHeight="1" x14ac:dyDescent="0.25">
      <c r="K2003" s="26"/>
      <c r="L2003" s="26"/>
      <c r="M2003" s="26"/>
      <c r="N2003" s="27"/>
    </row>
    <row r="2004" spans="11:14" ht="15" customHeight="1" x14ac:dyDescent="0.25">
      <c r="K2004" s="26"/>
      <c r="L2004" s="26"/>
      <c r="M2004" s="26"/>
      <c r="N2004" s="27"/>
    </row>
    <row r="2005" spans="11:14" ht="15" customHeight="1" x14ac:dyDescent="0.25">
      <c r="K2005" s="26"/>
      <c r="L2005" s="26"/>
      <c r="M2005" s="26"/>
      <c r="N2005" s="27"/>
    </row>
    <row r="2006" spans="11:14" ht="15" customHeight="1" x14ac:dyDescent="0.25">
      <c r="K2006" s="26"/>
      <c r="L2006" s="26"/>
      <c r="M2006" s="26"/>
      <c r="N2006" s="27"/>
    </row>
    <row r="2007" spans="11:14" ht="15" customHeight="1" x14ac:dyDescent="0.25">
      <c r="K2007" s="26"/>
      <c r="L2007" s="26"/>
      <c r="M2007" s="26"/>
      <c r="N2007" s="27"/>
    </row>
    <row r="2008" spans="11:14" ht="15" customHeight="1" x14ac:dyDescent="0.25">
      <c r="K2008" s="26"/>
      <c r="L2008" s="26"/>
      <c r="M2008" s="26"/>
      <c r="N2008" s="27"/>
    </row>
    <row r="2009" spans="11:14" ht="15" customHeight="1" x14ac:dyDescent="0.25">
      <c r="K2009" s="26"/>
      <c r="L2009" s="26"/>
      <c r="M2009" s="26"/>
      <c r="N2009" s="27"/>
    </row>
    <row r="2010" spans="11:14" ht="15" customHeight="1" x14ac:dyDescent="0.25">
      <c r="K2010" s="26"/>
      <c r="L2010" s="26"/>
      <c r="M2010" s="26"/>
      <c r="N2010" s="27"/>
    </row>
    <row r="2011" spans="11:14" ht="15" customHeight="1" x14ac:dyDescent="0.25">
      <c r="K2011" s="26"/>
      <c r="L2011" s="26"/>
      <c r="M2011" s="26"/>
      <c r="N2011" s="27"/>
    </row>
    <row r="2012" spans="11:14" ht="15" customHeight="1" x14ac:dyDescent="0.25">
      <c r="K2012" s="26"/>
      <c r="L2012" s="26"/>
      <c r="M2012" s="26"/>
      <c r="N2012" s="27"/>
    </row>
    <row r="2013" spans="11:14" ht="15" customHeight="1" x14ac:dyDescent="0.25">
      <c r="K2013" s="26"/>
      <c r="L2013" s="26"/>
      <c r="M2013" s="26"/>
      <c r="N2013" s="27"/>
    </row>
    <row r="2014" spans="11:14" ht="15" customHeight="1" x14ac:dyDescent="0.25">
      <c r="K2014" s="26"/>
      <c r="L2014" s="26"/>
      <c r="M2014" s="26"/>
      <c r="N2014" s="27"/>
    </row>
    <row r="2015" spans="11:14" ht="15" customHeight="1" x14ac:dyDescent="0.25">
      <c r="K2015" s="26"/>
      <c r="L2015" s="26"/>
      <c r="M2015" s="26"/>
      <c r="N2015" s="27"/>
    </row>
    <row r="2016" spans="11:14" ht="15" customHeight="1" x14ac:dyDescent="0.25">
      <c r="K2016" s="26"/>
      <c r="L2016" s="26"/>
      <c r="M2016" s="26"/>
      <c r="N2016" s="27"/>
    </row>
    <row r="2017" spans="11:14" ht="15" customHeight="1" x14ac:dyDescent="0.25">
      <c r="K2017" s="26"/>
      <c r="L2017" s="26"/>
      <c r="M2017" s="26"/>
      <c r="N2017" s="27"/>
    </row>
    <row r="2018" spans="11:14" ht="15" customHeight="1" x14ac:dyDescent="0.25">
      <c r="K2018" s="26"/>
      <c r="L2018" s="26"/>
      <c r="M2018" s="26"/>
      <c r="N2018" s="27"/>
    </row>
    <row r="2019" spans="11:14" ht="15" customHeight="1" x14ac:dyDescent="0.25">
      <c r="K2019" s="26"/>
      <c r="L2019" s="26"/>
      <c r="M2019" s="26"/>
      <c r="N2019" s="27"/>
    </row>
    <row r="2020" spans="11:14" ht="15" customHeight="1" x14ac:dyDescent="0.25">
      <c r="K2020" s="26"/>
      <c r="L2020" s="26"/>
      <c r="M2020" s="26"/>
      <c r="N2020" s="27"/>
    </row>
    <row r="2021" spans="11:14" ht="15" customHeight="1" x14ac:dyDescent="0.25">
      <c r="K2021" s="26"/>
      <c r="L2021" s="26"/>
      <c r="M2021" s="26"/>
      <c r="N2021" s="27"/>
    </row>
    <row r="2022" spans="11:14" ht="15" customHeight="1" x14ac:dyDescent="0.25">
      <c r="K2022" s="26"/>
      <c r="L2022" s="26"/>
      <c r="M2022" s="26"/>
      <c r="N2022" s="27"/>
    </row>
    <row r="2023" spans="11:14" ht="15" customHeight="1" x14ac:dyDescent="0.25">
      <c r="K2023" s="26"/>
      <c r="L2023" s="26"/>
      <c r="M2023" s="26"/>
      <c r="N2023" s="27"/>
    </row>
    <row r="2024" spans="11:14" ht="15" customHeight="1" x14ac:dyDescent="0.25">
      <c r="K2024" s="26"/>
      <c r="L2024" s="26"/>
      <c r="M2024" s="26"/>
      <c r="N2024" s="27"/>
    </row>
    <row r="2025" spans="11:14" ht="15" customHeight="1" x14ac:dyDescent="0.25">
      <c r="K2025" s="26"/>
      <c r="L2025" s="26"/>
      <c r="M2025" s="26"/>
      <c r="N2025" s="27"/>
    </row>
    <row r="2026" spans="11:14" ht="15" customHeight="1" x14ac:dyDescent="0.25">
      <c r="K2026" s="26"/>
      <c r="L2026" s="26"/>
      <c r="M2026" s="26"/>
      <c r="N2026" s="27"/>
    </row>
    <row r="2027" spans="11:14" ht="15" customHeight="1" x14ac:dyDescent="0.25">
      <c r="K2027" s="26"/>
      <c r="L2027" s="26"/>
      <c r="M2027" s="26"/>
      <c r="N2027" s="27"/>
    </row>
    <row r="2028" spans="11:14" ht="15" customHeight="1" x14ac:dyDescent="0.25">
      <c r="K2028" s="26"/>
      <c r="L2028" s="26"/>
      <c r="M2028" s="26"/>
      <c r="N2028" s="27"/>
    </row>
    <row r="2029" spans="11:14" ht="15" customHeight="1" x14ac:dyDescent="0.25">
      <c r="K2029" s="26"/>
      <c r="L2029" s="26"/>
      <c r="M2029" s="26"/>
      <c r="N2029" s="27"/>
    </row>
    <row r="2030" spans="11:14" ht="15" customHeight="1" x14ac:dyDescent="0.25">
      <c r="K2030" s="26"/>
      <c r="L2030" s="26"/>
      <c r="M2030" s="26"/>
      <c r="N2030" s="27"/>
    </row>
    <row r="2031" spans="11:14" ht="15" customHeight="1" x14ac:dyDescent="0.25">
      <c r="K2031" s="26"/>
      <c r="L2031" s="26"/>
      <c r="M2031" s="26"/>
      <c r="N2031" s="27"/>
    </row>
    <row r="2032" spans="11:14" ht="15" customHeight="1" x14ac:dyDescent="0.25">
      <c r="K2032" s="26"/>
      <c r="L2032" s="26"/>
      <c r="M2032" s="26"/>
      <c r="N2032" s="27"/>
    </row>
    <row r="2033" spans="11:14" ht="15" customHeight="1" x14ac:dyDescent="0.25">
      <c r="K2033" s="26"/>
      <c r="L2033" s="26"/>
      <c r="M2033" s="26"/>
      <c r="N2033" s="27"/>
    </row>
    <row r="2034" spans="11:14" ht="15" customHeight="1" x14ac:dyDescent="0.25">
      <c r="K2034" s="26"/>
      <c r="L2034" s="26"/>
      <c r="M2034" s="26"/>
      <c r="N2034" s="27"/>
    </row>
    <row r="2035" spans="11:14" ht="15" customHeight="1" x14ac:dyDescent="0.25">
      <c r="K2035" s="26"/>
      <c r="L2035" s="26"/>
      <c r="M2035" s="26"/>
      <c r="N2035" s="27"/>
    </row>
    <row r="2036" spans="11:14" ht="15" customHeight="1" x14ac:dyDescent="0.25">
      <c r="K2036" s="26"/>
      <c r="L2036" s="26"/>
      <c r="M2036" s="26"/>
      <c r="N2036" s="27"/>
    </row>
    <row r="2037" spans="11:14" ht="15" customHeight="1" x14ac:dyDescent="0.25">
      <c r="K2037" s="26"/>
      <c r="L2037" s="26"/>
      <c r="M2037" s="26"/>
      <c r="N2037" s="27"/>
    </row>
    <row r="2038" spans="11:14" ht="15" customHeight="1" x14ac:dyDescent="0.25">
      <c r="K2038" s="26"/>
      <c r="L2038" s="26"/>
      <c r="M2038" s="26"/>
      <c r="N2038" s="27"/>
    </row>
    <row r="2039" spans="11:14" ht="15" customHeight="1" x14ac:dyDescent="0.25">
      <c r="K2039" s="26"/>
      <c r="L2039" s="26"/>
      <c r="M2039" s="26"/>
      <c r="N2039" s="27"/>
    </row>
    <row r="2040" spans="11:14" ht="15" customHeight="1" x14ac:dyDescent="0.25">
      <c r="K2040" s="26"/>
      <c r="L2040" s="26"/>
      <c r="M2040" s="26"/>
      <c r="N2040" s="27"/>
    </row>
    <row r="2041" spans="11:14" ht="15" customHeight="1" x14ac:dyDescent="0.25">
      <c r="K2041" s="26"/>
      <c r="L2041" s="26"/>
      <c r="M2041" s="26"/>
      <c r="N2041" s="27"/>
    </row>
    <row r="2042" spans="11:14" ht="15" customHeight="1" x14ac:dyDescent="0.25">
      <c r="K2042" s="26"/>
      <c r="L2042" s="26"/>
      <c r="M2042" s="26"/>
      <c r="N2042" s="27"/>
    </row>
    <row r="2043" spans="11:14" ht="15" customHeight="1" x14ac:dyDescent="0.25">
      <c r="K2043" s="26"/>
      <c r="L2043" s="26"/>
      <c r="M2043" s="26"/>
      <c r="N2043" s="27"/>
    </row>
    <row r="2044" spans="11:14" ht="15" customHeight="1" x14ac:dyDescent="0.25">
      <c r="K2044" s="26"/>
      <c r="L2044" s="26"/>
      <c r="M2044" s="26"/>
      <c r="N2044" s="27"/>
    </row>
    <row r="2045" spans="11:14" ht="15" customHeight="1" x14ac:dyDescent="0.25">
      <c r="K2045" s="26"/>
      <c r="L2045" s="26"/>
      <c r="M2045" s="26"/>
      <c r="N2045" s="27"/>
    </row>
    <row r="2046" spans="11:14" ht="15" customHeight="1" x14ac:dyDescent="0.25">
      <c r="K2046" s="26"/>
      <c r="L2046" s="26"/>
      <c r="M2046" s="26"/>
      <c r="N2046" s="27"/>
    </row>
    <row r="2047" spans="11:14" ht="15" customHeight="1" x14ac:dyDescent="0.25">
      <c r="K2047" s="26"/>
      <c r="L2047" s="26"/>
      <c r="M2047" s="26"/>
      <c r="N2047" s="27"/>
    </row>
    <row r="2048" spans="11:14" ht="15" customHeight="1" x14ac:dyDescent="0.25">
      <c r="K2048" s="26"/>
      <c r="L2048" s="26"/>
      <c r="M2048" s="26"/>
      <c r="N2048" s="27"/>
    </row>
    <row r="2049" spans="11:14" ht="15" customHeight="1" x14ac:dyDescent="0.25">
      <c r="K2049" s="26"/>
      <c r="L2049" s="26"/>
      <c r="M2049" s="26"/>
      <c r="N2049" s="27"/>
    </row>
    <row r="2050" spans="11:14" ht="15" customHeight="1" x14ac:dyDescent="0.25">
      <c r="K2050" s="26"/>
      <c r="L2050" s="26"/>
      <c r="M2050" s="26"/>
      <c r="N2050" s="27"/>
    </row>
    <row r="2051" spans="11:14" ht="15" customHeight="1" x14ac:dyDescent="0.25">
      <c r="K2051" s="26"/>
      <c r="L2051" s="26"/>
      <c r="M2051" s="26"/>
      <c r="N2051" s="27"/>
    </row>
    <row r="2052" spans="11:14" ht="15" customHeight="1" x14ac:dyDescent="0.25">
      <c r="K2052" s="26"/>
      <c r="L2052" s="26"/>
      <c r="M2052" s="26"/>
      <c r="N2052" s="27"/>
    </row>
    <row r="2053" spans="11:14" ht="15" customHeight="1" x14ac:dyDescent="0.25">
      <c r="K2053" s="26"/>
      <c r="L2053" s="26"/>
      <c r="M2053" s="26"/>
      <c r="N2053" s="27"/>
    </row>
    <row r="2054" spans="11:14" ht="15" customHeight="1" x14ac:dyDescent="0.25">
      <c r="K2054" s="26"/>
      <c r="L2054" s="26"/>
      <c r="M2054" s="26"/>
      <c r="N2054" s="27"/>
    </row>
    <row r="2055" spans="11:14" ht="15" customHeight="1" x14ac:dyDescent="0.25">
      <c r="K2055" s="26"/>
      <c r="L2055" s="26"/>
      <c r="M2055" s="26"/>
      <c r="N2055" s="27"/>
    </row>
    <row r="2056" spans="11:14" ht="15" customHeight="1" x14ac:dyDescent="0.25">
      <c r="K2056" s="26"/>
      <c r="L2056" s="26"/>
      <c r="M2056" s="26"/>
      <c r="N2056" s="27"/>
    </row>
    <row r="2057" spans="11:14" ht="15" customHeight="1" x14ac:dyDescent="0.25">
      <c r="K2057" s="26"/>
      <c r="L2057" s="26"/>
      <c r="M2057" s="26"/>
      <c r="N2057" s="27"/>
    </row>
    <row r="2058" spans="11:14" ht="15" customHeight="1" x14ac:dyDescent="0.25">
      <c r="K2058" s="26"/>
      <c r="L2058" s="26"/>
      <c r="M2058" s="26"/>
      <c r="N2058" s="27"/>
    </row>
    <row r="2059" spans="11:14" ht="15" customHeight="1" x14ac:dyDescent="0.25">
      <c r="K2059" s="26"/>
      <c r="L2059" s="26"/>
      <c r="M2059" s="26"/>
      <c r="N2059" s="27"/>
    </row>
    <row r="2060" spans="11:14" ht="15" customHeight="1" x14ac:dyDescent="0.25">
      <c r="K2060" s="26"/>
      <c r="L2060" s="26"/>
      <c r="M2060" s="26"/>
      <c r="N2060" s="27"/>
    </row>
    <row r="2061" spans="11:14" ht="15" customHeight="1" x14ac:dyDescent="0.25">
      <c r="K2061" s="26"/>
      <c r="L2061" s="26"/>
      <c r="M2061" s="26"/>
      <c r="N2061" s="27"/>
    </row>
    <row r="2062" spans="11:14" ht="15" customHeight="1" x14ac:dyDescent="0.25">
      <c r="K2062" s="26"/>
      <c r="L2062" s="26"/>
      <c r="M2062" s="26"/>
      <c r="N2062" s="27"/>
    </row>
    <row r="2063" spans="11:14" ht="15" customHeight="1" x14ac:dyDescent="0.25">
      <c r="K2063" s="26"/>
      <c r="L2063" s="26"/>
      <c r="M2063" s="26"/>
      <c r="N2063" s="27"/>
    </row>
    <row r="2064" spans="11:14" ht="15" customHeight="1" x14ac:dyDescent="0.25">
      <c r="K2064" s="26"/>
      <c r="L2064" s="26"/>
      <c r="M2064" s="26"/>
      <c r="N2064" s="27"/>
    </row>
    <row r="2065" spans="11:14" ht="15" customHeight="1" x14ac:dyDescent="0.25">
      <c r="K2065" s="26"/>
      <c r="L2065" s="26"/>
      <c r="M2065" s="26"/>
      <c r="N2065" s="27"/>
    </row>
    <row r="2066" spans="11:14" ht="15" customHeight="1" x14ac:dyDescent="0.25">
      <c r="K2066" s="26"/>
      <c r="L2066" s="26"/>
      <c r="M2066" s="26"/>
      <c r="N2066" s="27"/>
    </row>
    <row r="2067" spans="11:14" ht="15" customHeight="1" x14ac:dyDescent="0.25">
      <c r="K2067" s="26"/>
      <c r="L2067" s="26"/>
      <c r="M2067" s="26"/>
      <c r="N2067" s="27"/>
    </row>
    <row r="2068" spans="11:14" ht="15" customHeight="1" x14ac:dyDescent="0.25">
      <c r="K2068" s="26"/>
      <c r="L2068" s="26"/>
      <c r="M2068" s="26"/>
      <c r="N2068" s="27"/>
    </row>
    <row r="2069" spans="11:14" ht="15" customHeight="1" x14ac:dyDescent="0.25">
      <c r="K2069" s="26"/>
      <c r="L2069" s="26"/>
      <c r="M2069" s="26"/>
      <c r="N2069" s="27"/>
    </row>
    <row r="2070" spans="11:14" ht="15" customHeight="1" x14ac:dyDescent="0.25">
      <c r="K2070" s="26"/>
      <c r="L2070" s="26"/>
      <c r="M2070" s="26"/>
      <c r="N2070" s="27"/>
    </row>
    <row r="2071" spans="11:14" ht="15" customHeight="1" x14ac:dyDescent="0.25">
      <c r="K2071" s="26"/>
      <c r="L2071" s="26"/>
      <c r="M2071" s="26"/>
      <c r="N2071" s="27"/>
    </row>
    <row r="2072" spans="11:14" ht="15" customHeight="1" x14ac:dyDescent="0.25">
      <c r="K2072" s="26"/>
      <c r="L2072" s="26"/>
      <c r="M2072" s="26"/>
      <c r="N2072" s="27"/>
    </row>
    <row r="2073" spans="11:14" ht="15" customHeight="1" x14ac:dyDescent="0.25">
      <c r="K2073" s="26"/>
      <c r="L2073" s="26"/>
      <c r="M2073" s="26"/>
      <c r="N2073" s="27"/>
    </row>
    <row r="2074" spans="11:14" ht="15" customHeight="1" x14ac:dyDescent="0.25">
      <c r="K2074" s="26"/>
      <c r="L2074" s="26"/>
      <c r="M2074" s="26"/>
      <c r="N2074" s="27"/>
    </row>
    <row r="2075" spans="11:14" ht="15" customHeight="1" x14ac:dyDescent="0.25">
      <c r="K2075" s="26"/>
      <c r="L2075" s="26"/>
      <c r="M2075" s="26"/>
      <c r="N2075" s="27"/>
    </row>
    <row r="2076" spans="11:14" ht="15" customHeight="1" x14ac:dyDescent="0.25">
      <c r="K2076" s="26"/>
      <c r="L2076" s="26"/>
      <c r="M2076" s="26"/>
      <c r="N2076" s="27"/>
    </row>
    <row r="2077" spans="11:14" ht="15" customHeight="1" x14ac:dyDescent="0.25">
      <c r="K2077" s="26"/>
      <c r="L2077" s="26"/>
      <c r="M2077" s="26"/>
      <c r="N2077" s="27"/>
    </row>
    <row r="2078" spans="11:14" ht="15" customHeight="1" x14ac:dyDescent="0.25">
      <c r="K2078" s="26"/>
      <c r="L2078" s="26"/>
      <c r="M2078" s="26"/>
      <c r="N2078" s="27"/>
    </row>
    <row r="2079" spans="11:14" ht="15" customHeight="1" x14ac:dyDescent="0.25">
      <c r="K2079" s="26"/>
      <c r="L2079" s="26"/>
      <c r="M2079" s="26"/>
      <c r="N2079" s="27"/>
    </row>
    <row r="2080" spans="11:14" ht="15" customHeight="1" x14ac:dyDescent="0.25">
      <c r="K2080" s="26"/>
      <c r="L2080" s="26"/>
      <c r="M2080" s="26"/>
      <c r="N2080" s="27"/>
    </row>
    <row r="2081" spans="11:14" ht="15" customHeight="1" x14ac:dyDescent="0.25">
      <c r="K2081" s="26"/>
      <c r="L2081" s="26"/>
      <c r="M2081" s="26"/>
      <c r="N2081" s="27"/>
    </row>
    <row r="2082" spans="11:14" ht="15" customHeight="1" x14ac:dyDescent="0.25">
      <c r="K2082" s="26"/>
      <c r="L2082" s="26"/>
      <c r="M2082" s="26"/>
      <c r="N2082" s="27"/>
    </row>
    <row r="2083" spans="11:14" ht="15" customHeight="1" x14ac:dyDescent="0.25">
      <c r="K2083" s="26"/>
      <c r="L2083" s="26"/>
      <c r="M2083" s="26"/>
      <c r="N2083" s="27"/>
    </row>
    <row r="2084" spans="11:14" ht="15" customHeight="1" x14ac:dyDescent="0.25">
      <c r="K2084" s="26"/>
      <c r="L2084" s="26"/>
      <c r="M2084" s="26"/>
      <c r="N2084" s="27"/>
    </row>
    <row r="2085" spans="11:14" ht="15" customHeight="1" x14ac:dyDescent="0.25">
      <c r="K2085" s="26"/>
      <c r="L2085" s="26"/>
      <c r="M2085" s="26"/>
      <c r="N2085" s="27"/>
    </row>
    <row r="2086" spans="11:14" ht="15" customHeight="1" x14ac:dyDescent="0.25">
      <c r="K2086" s="26"/>
      <c r="L2086" s="26"/>
      <c r="M2086" s="26"/>
      <c r="N2086" s="27"/>
    </row>
    <row r="2087" spans="11:14" ht="15" customHeight="1" x14ac:dyDescent="0.25">
      <c r="K2087" s="26"/>
      <c r="L2087" s="26"/>
      <c r="M2087" s="26"/>
      <c r="N2087" s="27"/>
    </row>
    <row r="2088" spans="11:14" ht="15" customHeight="1" x14ac:dyDescent="0.25">
      <c r="K2088" s="26"/>
      <c r="L2088" s="26"/>
      <c r="M2088" s="26"/>
      <c r="N2088" s="27"/>
    </row>
    <row r="2089" spans="11:14" ht="15" customHeight="1" x14ac:dyDescent="0.25">
      <c r="K2089" s="26"/>
      <c r="L2089" s="26"/>
      <c r="M2089" s="26"/>
      <c r="N2089" s="27"/>
    </row>
    <row r="2090" spans="11:14" ht="15" customHeight="1" x14ac:dyDescent="0.25">
      <c r="K2090" s="26"/>
      <c r="L2090" s="26"/>
      <c r="M2090" s="26"/>
      <c r="N2090" s="27"/>
    </row>
    <row r="2091" spans="11:14" ht="15" customHeight="1" x14ac:dyDescent="0.25">
      <c r="K2091" s="26"/>
      <c r="L2091" s="26"/>
      <c r="M2091" s="26"/>
      <c r="N2091" s="27"/>
    </row>
    <row r="2092" spans="11:14" ht="15" customHeight="1" x14ac:dyDescent="0.25">
      <c r="K2092" s="26"/>
      <c r="L2092" s="26"/>
      <c r="M2092" s="26"/>
      <c r="N2092" s="27"/>
    </row>
    <row r="2093" spans="11:14" ht="15" customHeight="1" x14ac:dyDescent="0.25">
      <c r="K2093" s="26"/>
      <c r="L2093" s="26"/>
      <c r="M2093" s="26"/>
      <c r="N2093" s="27"/>
    </row>
    <row r="2094" spans="11:14" ht="15" customHeight="1" x14ac:dyDescent="0.25">
      <c r="K2094" s="26"/>
      <c r="L2094" s="26"/>
      <c r="M2094" s="26"/>
      <c r="N2094" s="27"/>
    </row>
    <row r="2095" spans="11:14" ht="15" customHeight="1" x14ac:dyDescent="0.25">
      <c r="K2095" s="26"/>
      <c r="L2095" s="26"/>
      <c r="M2095" s="26"/>
      <c r="N2095" s="27"/>
    </row>
    <row r="2096" spans="11:14" ht="15" customHeight="1" x14ac:dyDescent="0.25">
      <c r="K2096" s="26"/>
      <c r="L2096" s="26"/>
      <c r="M2096" s="26"/>
      <c r="N2096" s="27"/>
    </row>
    <row r="2097" spans="11:14" ht="15" customHeight="1" x14ac:dyDescent="0.25">
      <c r="K2097" s="26"/>
      <c r="L2097" s="26"/>
      <c r="M2097" s="26"/>
      <c r="N2097" s="27"/>
    </row>
    <row r="2098" spans="11:14" ht="15" customHeight="1" x14ac:dyDescent="0.25">
      <c r="K2098" s="26"/>
      <c r="L2098" s="26"/>
      <c r="M2098" s="26"/>
      <c r="N2098" s="27"/>
    </row>
    <row r="2099" spans="11:14" ht="15" customHeight="1" x14ac:dyDescent="0.25">
      <c r="K2099" s="26"/>
      <c r="L2099" s="26"/>
      <c r="M2099" s="26"/>
      <c r="N2099" s="27"/>
    </row>
    <row r="2100" spans="11:14" ht="15" customHeight="1" x14ac:dyDescent="0.25">
      <c r="K2100" s="26"/>
      <c r="L2100" s="26"/>
      <c r="M2100" s="26"/>
      <c r="N2100" s="27"/>
    </row>
    <row r="2101" spans="11:14" ht="15" customHeight="1" x14ac:dyDescent="0.25">
      <c r="K2101" s="26"/>
      <c r="L2101" s="26"/>
      <c r="M2101" s="26"/>
      <c r="N2101" s="27"/>
    </row>
    <row r="2102" spans="11:14" ht="15" customHeight="1" x14ac:dyDescent="0.25">
      <c r="K2102" s="26"/>
      <c r="L2102" s="26"/>
      <c r="M2102" s="26"/>
      <c r="N2102" s="27"/>
    </row>
    <row r="2103" spans="11:14" ht="15" customHeight="1" x14ac:dyDescent="0.25">
      <c r="K2103" s="26"/>
      <c r="L2103" s="26"/>
      <c r="M2103" s="26"/>
      <c r="N2103" s="27"/>
    </row>
    <row r="2104" spans="11:14" ht="15" customHeight="1" x14ac:dyDescent="0.25">
      <c r="K2104" s="26"/>
      <c r="L2104" s="26"/>
      <c r="M2104" s="26"/>
      <c r="N2104" s="27"/>
    </row>
    <row r="2105" spans="11:14" ht="15" customHeight="1" x14ac:dyDescent="0.25">
      <c r="K2105" s="26"/>
      <c r="L2105" s="26"/>
      <c r="M2105" s="26"/>
      <c r="N2105" s="27"/>
    </row>
    <row r="2106" spans="11:14" ht="15" customHeight="1" x14ac:dyDescent="0.25">
      <c r="K2106" s="26"/>
      <c r="L2106" s="26"/>
      <c r="M2106" s="26"/>
      <c r="N2106" s="27"/>
    </row>
    <row r="2107" spans="11:14" ht="15" customHeight="1" x14ac:dyDescent="0.25">
      <c r="K2107" s="26"/>
      <c r="L2107" s="26"/>
      <c r="M2107" s="26"/>
      <c r="N2107" s="27"/>
    </row>
    <row r="2108" spans="11:14" ht="15" customHeight="1" x14ac:dyDescent="0.25">
      <c r="K2108" s="26"/>
      <c r="L2108" s="26"/>
      <c r="M2108" s="26"/>
      <c r="N2108" s="27"/>
    </row>
    <row r="2109" spans="11:14" ht="15" customHeight="1" x14ac:dyDescent="0.25">
      <c r="K2109" s="26"/>
      <c r="L2109" s="26"/>
      <c r="M2109" s="26"/>
      <c r="N2109" s="27"/>
    </row>
    <row r="2110" spans="11:14" ht="15" customHeight="1" x14ac:dyDescent="0.25">
      <c r="K2110" s="26"/>
      <c r="L2110" s="26"/>
      <c r="M2110" s="26"/>
      <c r="N2110" s="27"/>
    </row>
    <row r="2111" spans="11:14" ht="15" customHeight="1" x14ac:dyDescent="0.25">
      <c r="K2111" s="26"/>
      <c r="L2111" s="26"/>
      <c r="M2111" s="26"/>
      <c r="N2111" s="27"/>
    </row>
    <row r="2112" spans="11:14" ht="15" customHeight="1" x14ac:dyDescent="0.25">
      <c r="K2112" s="26"/>
      <c r="L2112" s="26"/>
      <c r="M2112" s="26"/>
      <c r="N2112" s="27"/>
    </row>
    <row r="2113" spans="11:14" ht="15" customHeight="1" x14ac:dyDescent="0.25">
      <c r="K2113" s="26"/>
      <c r="L2113" s="26"/>
      <c r="M2113" s="26"/>
      <c r="N2113" s="27"/>
    </row>
    <row r="2114" spans="11:14" ht="15" customHeight="1" x14ac:dyDescent="0.25">
      <c r="K2114" s="26"/>
      <c r="L2114" s="26"/>
      <c r="M2114" s="26"/>
      <c r="N2114" s="27"/>
    </row>
    <row r="2115" spans="11:14" ht="15" customHeight="1" x14ac:dyDescent="0.25">
      <c r="K2115" s="26"/>
      <c r="L2115" s="26"/>
      <c r="M2115" s="26"/>
      <c r="N2115" s="27"/>
    </row>
    <row r="2116" spans="11:14" ht="15" customHeight="1" x14ac:dyDescent="0.25">
      <c r="K2116" s="26"/>
      <c r="L2116" s="26"/>
      <c r="M2116" s="26"/>
      <c r="N2116" s="27"/>
    </row>
    <row r="2117" spans="11:14" ht="15" customHeight="1" x14ac:dyDescent="0.25">
      <c r="K2117" s="26"/>
      <c r="L2117" s="26"/>
      <c r="M2117" s="26"/>
      <c r="N2117" s="27"/>
    </row>
    <row r="2118" spans="11:14" ht="15" customHeight="1" x14ac:dyDescent="0.25">
      <c r="K2118" s="26"/>
      <c r="L2118" s="26"/>
      <c r="M2118" s="26"/>
      <c r="N2118" s="27"/>
    </row>
    <row r="2119" spans="11:14" ht="15" customHeight="1" x14ac:dyDescent="0.25">
      <c r="K2119" s="26"/>
      <c r="L2119" s="26"/>
      <c r="M2119" s="26"/>
      <c r="N2119" s="27"/>
    </row>
    <row r="2120" spans="11:14" ht="15" customHeight="1" x14ac:dyDescent="0.25">
      <c r="K2120" s="26"/>
      <c r="L2120" s="26"/>
      <c r="M2120" s="26"/>
      <c r="N2120" s="27"/>
    </row>
    <row r="2121" spans="11:14" ht="15" customHeight="1" x14ac:dyDescent="0.25">
      <c r="K2121" s="26"/>
      <c r="L2121" s="26"/>
      <c r="M2121" s="26"/>
      <c r="N2121" s="27"/>
    </row>
    <row r="2122" spans="11:14" ht="15" customHeight="1" x14ac:dyDescent="0.25">
      <c r="K2122" s="26"/>
      <c r="L2122" s="26"/>
      <c r="M2122" s="26"/>
      <c r="N2122" s="27"/>
    </row>
    <row r="2123" spans="11:14" ht="15" customHeight="1" x14ac:dyDescent="0.25">
      <c r="K2123" s="26"/>
      <c r="L2123" s="26"/>
      <c r="M2123" s="26"/>
      <c r="N2123" s="27"/>
    </row>
    <row r="2124" spans="11:14" ht="15" customHeight="1" x14ac:dyDescent="0.25">
      <c r="K2124" s="26"/>
      <c r="L2124" s="26"/>
      <c r="M2124" s="26"/>
      <c r="N2124" s="27"/>
    </row>
    <row r="2125" spans="11:14" ht="15" customHeight="1" x14ac:dyDescent="0.25">
      <c r="K2125" s="26"/>
      <c r="L2125" s="26"/>
      <c r="M2125" s="26"/>
      <c r="N2125" s="27"/>
    </row>
    <row r="2126" spans="11:14" ht="15" customHeight="1" x14ac:dyDescent="0.25">
      <c r="K2126" s="26"/>
      <c r="L2126" s="26"/>
      <c r="M2126" s="26"/>
      <c r="N2126" s="27"/>
    </row>
    <row r="2127" spans="11:14" ht="15" customHeight="1" x14ac:dyDescent="0.25">
      <c r="K2127" s="26"/>
      <c r="L2127" s="26"/>
      <c r="M2127" s="26"/>
      <c r="N2127" s="27"/>
    </row>
    <row r="2128" spans="11:14" ht="15" customHeight="1" x14ac:dyDescent="0.25">
      <c r="K2128" s="26"/>
      <c r="L2128" s="26"/>
      <c r="M2128" s="26"/>
      <c r="N2128" s="27"/>
    </row>
    <row r="2129" spans="11:14" ht="15" customHeight="1" x14ac:dyDescent="0.25">
      <c r="K2129" s="26"/>
      <c r="L2129" s="26"/>
      <c r="M2129" s="26"/>
      <c r="N2129" s="27"/>
    </row>
    <row r="2130" spans="11:14" ht="15" customHeight="1" x14ac:dyDescent="0.25">
      <c r="K2130" s="26"/>
      <c r="L2130" s="26"/>
      <c r="M2130" s="26"/>
      <c r="N2130" s="27"/>
    </row>
    <row r="2131" spans="11:14" ht="15" customHeight="1" x14ac:dyDescent="0.25">
      <c r="K2131" s="26"/>
      <c r="L2131" s="26"/>
      <c r="M2131" s="26"/>
      <c r="N2131" s="27"/>
    </row>
    <row r="2132" spans="11:14" ht="15" customHeight="1" x14ac:dyDescent="0.25">
      <c r="K2132" s="26"/>
      <c r="L2132" s="26"/>
      <c r="M2132" s="26"/>
      <c r="N2132" s="27"/>
    </row>
    <row r="2133" spans="11:14" ht="15" customHeight="1" x14ac:dyDescent="0.25">
      <c r="K2133" s="26"/>
      <c r="L2133" s="26"/>
      <c r="M2133" s="26"/>
      <c r="N2133" s="27"/>
    </row>
    <row r="2134" spans="11:14" ht="15" customHeight="1" x14ac:dyDescent="0.25">
      <c r="K2134" s="26"/>
      <c r="L2134" s="26"/>
      <c r="M2134" s="26"/>
      <c r="N2134" s="27"/>
    </row>
    <row r="2135" spans="11:14" ht="15" customHeight="1" x14ac:dyDescent="0.25">
      <c r="K2135" s="26"/>
      <c r="L2135" s="26"/>
      <c r="M2135" s="26"/>
      <c r="N2135" s="27"/>
    </row>
    <row r="2136" spans="11:14" ht="15" customHeight="1" x14ac:dyDescent="0.25">
      <c r="K2136" s="26"/>
      <c r="L2136" s="26"/>
      <c r="M2136" s="26"/>
      <c r="N2136" s="27"/>
    </row>
    <row r="2137" spans="11:14" ht="15" customHeight="1" x14ac:dyDescent="0.25">
      <c r="K2137" s="26"/>
      <c r="L2137" s="26"/>
      <c r="M2137" s="26"/>
      <c r="N2137" s="27"/>
    </row>
    <row r="2138" spans="11:14" ht="15" customHeight="1" x14ac:dyDescent="0.25">
      <c r="K2138" s="26"/>
      <c r="L2138" s="26"/>
      <c r="M2138" s="26"/>
      <c r="N2138" s="27"/>
    </row>
    <row r="2139" spans="11:14" ht="15" customHeight="1" x14ac:dyDescent="0.25">
      <c r="K2139" s="26"/>
      <c r="L2139" s="26"/>
      <c r="M2139" s="26"/>
      <c r="N2139" s="27"/>
    </row>
    <row r="2140" spans="11:14" ht="15" customHeight="1" x14ac:dyDescent="0.25">
      <c r="K2140" s="26"/>
      <c r="L2140" s="26"/>
      <c r="M2140" s="26"/>
      <c r="N2140" s="27"/>
    </row>
    <row r="2141" spans="11:14" ht="15" customHeight="1" x14ac:dyDescent="0.25">
      <c r="K2141" s="26"/>
      <c r="L2141" s="26"/>
      <c r="M2141" s="26"/>
      <c r="N2141" s="27"/>
    </row>
    <row r="2142" spans="11:14" ht="15" customHeight="1" x14ac:dyDescent="0.25">
      <c r="K2142" s="26"/>
      <c r="L2142" s="26"/>
      <c r="M2142" s="26"/>
      <c r="N2142" s="27"/>
    </row>
    <row r="2143" spans="11:14" ht="15" customHeight="1" x14ac:dyDescent="0.25">
      <c r="K2143" s="26"/>
      <c r="L2143" s="26"/>
      <c r="M2143" s="26"/>
      <c r="N2143" s="27"/>
    </row>
    <row r="2144" spans="11:14" ht="15" customHeight="1" x14ac:dyDescent="0.25">
      <c r="K2144" s="26"/>
      <c r="L2144" s="26"/>
      <c r="M2144" s="26"/>
      <c r="N2144" s="27"/>
    </row>
    <row r="2145" spans="11:14" ht="15" customHeight="1" x14ac:dyDescent="0.25">
      <c r="K2145" s="26"/>
      <c r="L2145" s="26"/>
      <c r="M2145" s="26"/>
      <c r="N2145" s="27"/>
    </row>
    <row r="2146" spans="11:14" ht="15" customHeight="1" x14ac:dyDescent="0.25">
      <c r="K2146" s="26"/>
      <c r="L2146" s="26"/>
      <c r="M2146" s="26"/>
      <c r="N2146" s="27"/>
    </row>
    <row r="2147" spans="11:14" ht="15" customHeight="1" x14ac:dyDescent="0.25">
      <c r="K2147" s="26"/>
      <c r="L2147" s="26"/>
      <c r="M2147" s="26"/>
      <c r="N2147" s="27"/>
    </row>
    <row r="2148" spans="11:14" ht="15" customHeight="1" x14ac:dyDescent="0.25">
      <c r="K2148" s="26"/>
      <c r="L2148" s="26"/>
      <c r="M2148" s="26"/>
      <c r="N2148" s="27"/>
    </row>
    <row r="2149" spans="11:14" ht="15" customHeight="1" x14ac:dyDescent="0.25">
      <c r="K2149" s="26"/>
      <c r="L2149" s="26"/>
      <c r="M2149" s="26"/>
      <c r="N2149" s="27"/>
    </row>
    <row r="2150" spans="11:14" ht="15" customHeight="1" x14ac:dyDescent="0.25">
      <c r="K2150" s="26"/>
      <c r="L2150" s="26"/>
      <c r="M2150" s="26"/>
      <c r="N2150" s="27"/>
    </row>
    <row r="2151" spans="11:14" ht="15" customHeight="1" x14ac:dyDescent="0.25">
      <c r="K2151" s="26"/>
      <c r="L2151" s="26"/>
      <c r="M2151" s="26"/>
      <c r="N2151" s="27"/>
    </row>
    <row r="2152" spans="11:14" ht="15" customHeight="1" x14ac:dyDescent="0.25">
      <c r="K2152" s="26"/>
      <c r="L2152" s="26"/>
      <c r="M2152" s="26"/>
      <c r="N2152" s="27"/>
    </row>
    <row r="2153" spans="11:14" ht="15" customHeight="1" x14ac:dyDescent="0.25">
      <c r="K2153" s="26"/>
      <c r="L2153" s="26"/>
      <c r="M2153" s="26"/>
      <c r="N2153" s="27"/>
    </row>
    <row r="2154" spans="11:14" ht="15" customHeight="1" x14ac:dyDescent="0.25">
      <c r="K2154" s="26"/>
      <c r="L2154" s="26"/>
      <c r="M2154" s="26"/>
      <c r="N2154" s="27"/>
    </row>
    <row r="2155" spans="11:14" ht="15" customHeight="1" x14ac:dyDescent="0.25">
      <c r="K2155" s="26"/>
      <c r="L2155" s="26"/>
      <c r="M2155" s="26"/>
      <c r="N2155" s="27"/>
    </row>
    <row r="2156" spans="11:14" ht="15" customHeight="1" x14ac:dyDescent="0.25">
      <c r="K2156" s="26"/>
      <c r="L2156" s="26"/>
      <c r="M2156" s="26"/>
      <c r="N2156" s="27"/>
    </row>
    <row r="2157" spans="11:14" ht="15" customHeight="1" x14ac:dyDescent="0.25">
      <c r="K2157" s="26"/>
      <c r="L2157" s="26"/>
      <c r="M2157" s="26"/>
      <c r="N2157" s="27"/>
    </row>
    <row r="2158" spans="11:14" ht="15" customHeight="1" x14ac:dyDescent="0.25">
      <c r="K2158" s="26"/>
      <c r="L2158" s="26"/>
      <c r="M2158" s="26"/>
      <c r="N2158" s="27"/>
    </row>
    <row r="2159" spans="11:14" ht="15" customHeight="1" x14ac:dyDescent="0.25">
      <c r="K2159" s="26"/>
      <c r="L2159" s="26"/>
      <c r="M2159" s="26"/>
      <c r="N2159" s="27"/>
    </row>
    <row r="2160" spans="11:14" ht="15" customHeight="1" x14ac:dyDescent="0.25">
      <c r="K2160" s="26"/>
      <c r="L2160" s="26"/>
      <c r="M2160" s="26"/>
      <c r="N2160" s="27"/>
    </row>
    <row r="2161" spans="11:14" ht="15" customHeight="1" x14ac:dyDescent="0.25">
      <c r="K2161" s="26"/>
      <c r="L2161" s="26"/>
      <c r="M2161" s="26"/>
      <c r="N2161" s="27"/>
    </row>
    <row r="2162" spans="11:14" ht="15" customHeight="1" x14ac:dyDescent="0.25">
      <c r="K2162" s="26"/>
      <c r="L2162" s="26"/>
      <c r="M2162" s="26"/>
      <c r="N2162" s="27"/>
    </row>
    <row r="2163" spans="11:14" ht="15" customHeight="1" x14ac:dyDescent="0.25">
      <c r="K2163" s="26"/>
      <c r="L2163" s="26"/>
      <c r="M2163" s="26"/>
      <c r="N2163" s="27"/>
    </row>
    <row r="2164" spans="11:14" ht="15" customHeight="1" x14ac:dyDescent="0.25">
      <c r="K2164" s="26"/>
      <c r="L2164" s="26"/>
      <c r="M2164" s="26"/>
      <c r="N2164" s="27"/>
    </row>
    <row r="2165" spans="11:14" ht="15" customHeight="1" x14ac:dyDescent="0.25">
      <c r="K2165" s="26"/>
      <c r="L2165" s="26"/>
      <c r="M2165" s="26"/>
      <c r="N2165" s="27"/>
    </row>
    <row r="2166" spans="11:14" ht="15" customHeight="1" x14ac:dyDescent="0.25">
      <c r="K2166" s="26"/>
      <c r="L2166" s="26"/>
      <c r="M2166" s="26"/>
      <c r="N2166" s="27"/>
    </row>
    <row r="2167" spans="11:14" ht="15" customHeight="1" x14ac:dyDescent="0.25">
      <c r="K2167" s="26"/>
      <c r="L2167" s="26"/>
      <c r="M2167" s="26"/>
      <c r="N2167" s="27"/>
    </row>
    <row r="2168" spans="11:14" ht="15" customHeight="1" x14ac:dyDescent="0.25">
      <c r="K2168" s="26"/>
      <c r="L2168" s="26"/>
      <c r="M2168" s="26"/>
      <c r="N2168" s="27"/>
    </row>
    <row r="2169" spans="11:14" ht="15" customHeight="1" x14ac:dyDescent="0.25">
      <c r="K2169" s="26"/>
      <c r="L2169" s="26"/>
      <c r="M2169" s="26"/>
      <c r="N2169" s="27"/>
    </row>
    <row r="2170" spans="11:14" ht="15" customHeight="1" x14ac:dyDescent="0.25">
      <c r="K2170" s="26"/>
      <c r="L2170" s="26"/>
      <c r="M2170" s="26"/>
      <c r="N2170" s="27"/>
    </row>
    <row r="2171" spans="11:14" ht="15" customHeight="1" x14ac:dyDescent="0.25">
      <c r="K2171" s="26"/>
      <c r="L2171" s="26"/>
      <c r="M2171" s="26"/>
      <c r="N2171" s="27"/>
    </row>
    <row r="2172" spans="11:14" ht="15" customHeight="1" x14ac:dyDescent="0.25">
      <c r="K2172" s="26"/>
      <c r="L2172" s="26"/>
      <c r="M2172" s="26"/>
      <c r="N2172" s="27"/>
    </row>
    <row r="2173" spans="11:14" ht="15" customHeight="1" x14ac:dyDescent="0.25">
      <c r="K2173" s="26"/>
      <c r="L2173" s="26"/>
      <c r="M2173" s="26"/>
      <c r="N2173" s="27"/>
    </row>
    <row r="2174" spans="11:14" ht="15" customHeight="1" x14ac:dyDescent="0.25">
      <c r="K2174" s="26"/>
      <c r="L2174" s="26"/>
      <c r="M2174" s="26"/>
      <c r="N2174" s="27"/>
    </row>
    <row r="2175" spans="11:14" ht="15" customHeight="1" x14ac:dyDescent="0.25">
      <c r="K2175" s="26"/>
      <c r="L2175" s="26"/>
      <c r="M2175" s="26"/>
      <c r="N2175" s="27"/>
    </row>
    <row r="2176" spans="11:14" ht="15" customHeight="1" x14ac:dyDescent="0.25">
      <c r="K2176" s="26"/>
      <c r="L2176" s="26"/>
      <c r="M2176" s="26"/>
      <c r="N2176" s="27"/>
    </row>
    <row r="2177" spans="11:14" ht="15" customHeight="1" x14ac:dyDescent="0.25">
      <c r="K2177" s="26"/>
      <c r="L2177" s="26"/>
      <c r="M2177" s="26"/>
      <c r="N2177" s="27"/>
    </row>
    <row r="2178" spans="11:14" ht="15" customHeight="1" x14ac:dyDescent="0.25">
      <c r="K2178" s="26"/>
      <c r="L2178" s="26"/>
      <c r="M2178" s="26"/>
      <c r="N2178" s="27"/>
    </row>
    <row r="2179" spans="11:14" ht="15" customHeight="1" x14ac:dyDescent="0.25">
      <c r="K2179" s="26"/>
      <c r="L2179" s="26"/>
      <c r="M2179" s="26"/>
      <c r="N2179" s="27"/>
    </row>
    <row r="2180" spans="11:14" ht="15" customHeight="1" x14ac:dyDescent="0.25">
      <c r="K2180" s="26"/>
      <c r="L2180" s="26"/>
      <c r="M2180" s="26"/>
      <c r="N2180" s="27"/>
    </row>
    <row r="2181" spans="11:14" ht="15" customHeight="1" x14ac:dyDescent="0.25">
      <c r="K2181" s="26"/>
      <c r="L2181" s="26"/>
      <c r="M2181" s="26"/>
      <c r="N2181" s="27"/>
    </row>
    <row r="2182" spans="11:14" ht="15" customHeight="1" x14ac:dyDescent="0.25">
      <c r="K2182" s="26"/>
      <c r="L2182" s="26"/>
      <c r="M2182" s="26"/>
      <c r="N2182" s="27"/>
    </row>
    <row r="2183" spans="11:14" ht="15" customHeight="1" x14ac:dyDescent="0.25">
      <c r="K2183" s="26"/>
      <c r="L2183" s="26"/>
      <c r="M2183" s="26"/>
      <c r="N2183" s="27"/>
    </row>
    <row r="2184" spans="11:14" ht="15" customHeight="1" x14ac:dyDescent="0.25">
      <c r="K2184" s="26"/>
      <c r="L2184" s="26"/>
      <c r="M2184" s="26"/>
      <c r="N2184" s="27"/>
    </row>
    <row r="2185" spans="11:14" ht="15" customHeight="1" x14ac:dyDescent="0.25">
      <c r="K2185" s="26"/>
      <c r="L2185" s="26"/>
      <c r="M2185" s="26"/>
      <c r="N2185" s="27"/>
    </row>
    <row r="2186" spans="11:14" ht="15" customHeight="1" x14ac:dyDescent="0.25">
      <c r="K2186" s="26"/>
      <c r="L2186" s="26"/>
      <c r="M2186" s="26"/>
      <c r="N2186" s="27"/>
    </row>
    <row r="2187" spans="11:14" ht="15" customHeight="1" x14ac:dyDescent="0.25">
      <c r="K2187" s="26"/>
      <c r="L2187" s="26"/>
      <c r="M2187" s="26"/>
      <c r="N2187" s="27"/>
    </row>
    <row r="2188" spans="11:14" ht="15" customHeight="1" x14ac:dyDescent="0.25">
      <c r="K2188" s="26"/>
      <c r="L2188" s="26"/>
      <c r="M2188" s="26"/>
      <c r="N2188" s="27"/>
    </row>
    <row r="2189" spans="11:14" ht="15" customHeight="1" x14ac:dyDescent="0.25">
      <c r="K2189" s="26"/>
      <c r="L2189" s="26"/>
      <c r="M2189" s="26"/>
      <c r="N2189" s="27"/>
    </row>
    <row r="2190" spans="11:14" ht="15" customHeight="1" x14ac:dyDescent="0.25">
      <c r="K2190" s="26"/>
      <c r="L2190" s="26"/>
      <c r="M2190" s="26"/>
      <c r="N2190" s="27"/>
    </row>
    <row r="2191" spans="11:14" ht="15" customHeight="1" x14ac:dyDescent="0.25">
      <c r="K2191" s="26"/>
      <c r="L2191" s="26"/>
      <c r="M2191" s="26"/>
      <c r="N2191" s="27"/>
    </row>
    <row r="2192" spans="11:14" ht="15" customHeight="1" x14ac:dyDescent="0.25">
      <c r="K2192" s="26"/>
      <c r="L2192" s="26"/>
      <c r="M2192" s="26"/>
      <c r="N2192" s="27"/>
    </row>
    <row r="2193" spans="11:14" ht="15" customHeight="1" x14ac:dyDescent="0.25">
      <c r="K2193" s="26"/>
      <c r="L2193" s="26"/>
      <c r="M2193" s="26"/>
      <c r="N2193" s="27"/>
    </row>
    <row r="2194" spans="11:14" ht="15" customHeight="1" x14ac:dyDescent="0.25">
      <c r="K2194" s="26"/>
      <c r="L2194" s="26"/>
      <c r="M2194" s="26"/>
      <c r="N2194" s="27"/>
    </row>
    <row r="2195" spans="11:14" ht="15" customHeight="1" x14ac:dyDescent="0.25">
      <c r="K2195" s="26"/>
      <c r="L2195" s="26"/>
      <c r="M2195" s="26"/>
      <c r="N2195" s="27"/>
    </row>
    <row r="2196" spans="11:14" ht="15" customHeight="1" x14ac:dyDescent="0.25">
      <c r="K2196" s="26"/>
      <c r="L2196" s="26"/>
      <c r="M2196" s="26"/>
      <c r="N2196" s="27"/>
    </row>
    <row r="2197" spans="11:14" ht="15" customHeight="1" x14ac:dyDescent="0.25">
      <c r="K2197" s="26"/>
      <c r="L2197" s="26"/>
      <c r="M2197" s="26"/>
      <c r="N2197" s="27"/>
    </row>
    <row r="2198" spans="11:14" ht="15" customHeight="1" x14ac:dyDescent="0.25">
      <c r="K2198" s="26"/>
      <c r="L2198" s="26"/>
      <c r="M2198" s="26"/>
      <c r="N2198" s="27"/>
    </row>
    <row r="2199" spans="11:14" ht="15" customHeight="1" x14ac:dyDescent="0.25">
      <c r="K2199" s="26"/>
      <c r="L2199" s="26"/>
      <c r="M2199" s="26"/>
      <c r="N2199" s="27"/>
    </row>
    <row r="2200" spans="11:14" ht="15" customHeight="1" x14ac:dyDescent="0.25">
      <c r="K2200" s="26"/>
      <c r="L2200" s="26"/>
      <c r="M2200" s="26"/>
      <c r="N2200" s="27"/>
    </row>
    <row r="2201" spans="11:14" ht="15" customHeight="1" x14ac:dyDescent="0.25">
      <c r="K2201" s="26"/>
      <c r="L2201" s="26"/>
      <c r="M2201" s="26"/>
      <c r="N2201" s="27"/>
    </row>
    <row r="2202" spans="11:14" ht="15" customHeight="1" x14ac:dyDescent="0.25">
      <c r="K2202" s="26"/>
      <c r="L2202" s="26"/>
      <c r="M2202" s="26"/>
      <c r="N2202" s="27"/>
    </row>
    <row r="2203" spans="11:14" ht="15" customHeight="1" x14ac:dyDescent="0.25">
      <c r="K2203" s="26"/>
      <c r="L2203" s="26"/>
      <c r="M2203" s="26"/>
      <c r="N2203" s="27"/>
    </row>
    <row r="2204" spans="11:14" ht="15" customHeight="1" x14ac:dyDescent="0.25">
      <c r="K2204" s="26"/>
      <c r="L2204" s="26"/>
      <c r="M2204" s="26"/>
      <c r="N2204" s="27"/>
    </row>
    <row r="2205" spans="11:14" ht="15" customHeight="1" x14ac:dyDescent="0.25">
      <c r="K2205" s="26"/>
      <c r="L2205" s="26"/>
      <c r="M2205" s="26"/>
      <c r="N2205" s="27"/>
    </row>
    <row r="2206" spans="11:14" ht="15" customHeight="1" x14ac:dyDescent="0.25">
      <c r="K2206" s="26"/>
      <c r="L2206" s="26"/>
      <c r="M2206" s="26"/>
      <c r="N2206" s="27"/>
    </row>
    <row r="2207" spans="11:14" ht="15" customHeight="1" x14ac:dyDescent="0.25">
      <c r="K2207" s="26"/>
      <c r="L2207" s="26"/>
      <c r="M2207" s="26"/>
      <c r="N2207" s="27"/>
    </row>
    <row r="2208" spans="11:14" ht="15" customHeight="1" x14ac:dyDescent="0.25">
      <c r="K2208" s="26"/>
      <c r="L2208" s="26"/>
      <c r="M2208" s="26"/>
      <c r="N2208" s="27"/>
    </row>
    <row r="2209" spans="11:14" ht="15" customHeight="1" x14ac:dyDescent="0.25">
      <c r="K2209" s="26"/>
      <c r="L2209" s="26"/>
      <c r="M2209" s="26"/>
      <c r="N2209" s="27"/>
    </row>
    <row r="2210" spans="11:14" ht="15" customHeight="1" x14ac:dyDescent="0.25">
      <c r="K2210" s="26"/>
      <c r="L2210" s="26"/>
      <c r="M2210" s="26"/>
      <c r="N2210" s="27"/>
    </row>
    <row r="2211" spans="11:14" ht="15" customHeight="1" x14ac:dyDescent="0.25">
      <c r="K2211" s="26"/>
      <c r="L2211" s="26"/>
      <c r="M2211" s="26"/>
      <c r="N2211" s="27"/>
    </row>
    <row r="2212" spans="11:14" ht="15" customHeight="1" x14ac:dyDescent="0.25">
      <c r="K2212" s="26"/>
      <c r="L2212" s="26"/>
      <c r="M2212" s="26"/>
      <c r="N2212" s="27"/>
    </row>
    <row r="2213" spans="11:14" ht="15" customHeight="1" x14ac:dyDescent="0.25">
      <c r="K2213" s="26"/>
      <c r="L2213" s="26"/>
      <c r="M2213" s="26"/>
      <c r="N2213" s="27"/>
    </row>
    <row r="2214" spans="11:14" ht="15" customHeight="1" x14ac:dyDescent="0.25">
      <c r="K2214" s="26"/>
      <c r="L2214" s="26"/>
      <c r="M2214" s="26"/>
      <c r="N2214" s="27"/>
    </row>
    <row r="2215" spans="11:14" ht="15" customHeight="1" x14ac:dyDescent="0.25">
      <c r="K2215" s="26"/>
      <c r="L2215" s="26"/>
      <c r="M2215" s="26"/>
      <c r="N2215" s="27"/>
    </row>
    <row r="2216" spans="11:14" ht="15" customHeight="1" x14ac:dyDescent="0.25">
      <c r="K2216" s="26"/>
      <c r="L2216" s="26"/>
      <c r="M2216" s="26"/>
      <c r="N2216" s="27"/>
    </row>
    <row r="2217" spans="11:14" ht="15" customHeight="1" x14ac:dyDescent="0.25">
      <c r="K2217" s="26"/>
      <c r="L2217" s="26"/>
      <c r="M2217" s="26"/>
      <c r="N2217" s="27"/>
    </row>
    <row r="2218" spans="11:14" ht="15" customHeight="1" x14ac:dyDescent="0.25">
      <c r="K2218" s="26"/>
      <c r="L2218" s="26"/>
      <c r="M2218" s="26"/>
      <c r="N2218" s="27"/>
    </row>
    <row r="2219" spans="11:14" ht="15" customHeight="1" x14ac:dyDescent="0.25">
      <c r="K2219" s="26"/>
      <c r="L2219" s="26"/>
      <c r="M2219" s="26"/>
      <c r="N2219" s="27"/>
    </row>
    <row r="2220" spans="11:14" ht="15" customHeight="1" x14ac:dyDescent="0.25">
      <c r="K2220" s="26"/>
      <c r="L2220" s="26"/>
      <c r="M2220" s="26"/>
      <c r="N2220" s="27"/>
    </row>
    <row r="2221" spans="11:14" ht="15" customHeight="1" x14ac:dyDescent="0.25">
      <c r="K2221" s="26"/>
      <c r="L2221" s="26"/>
      <c r="M2221" s="26"/>
      <c r="N2221" s="27"/>
    </row>
    <row r="2222" spans="11:14" ht="15" customHeight="1" x14ac:dyDescent="0.25">
      <c r="K2222" s="26"/>
      <c r="L2222" s="26"/>
      <c r="M2222" s="26"/>
      <c r="N2222" s="27"/>
    </row>
    <row r="2223" spans="11:14" ht="15" customHeight="1" x14ac:dyDescent="0.25">
      <c r="K2223" s="26"/>
      <c r="L2223" s="26"/>
      <c r="M2223" s="26"/>
      <c r="N2223" s="27"/>
    </row>
    <row r="2224" spans="11:14" ht="15" customHeight="1" x14ac:dyDescent="0.25">
      <c r="K2224" s="26"/>
      <c r="L2224" s="26"/>
      <c r="M2224" s="26"/>
      <c r="N2224" s="27"/>
    </row>
    <row r="2225" spans="11:14" ht="15" customHeight="1" x14ac:dyDescent="0.25">
      <c r="K2225" s="26"/>
      <c r="L2225" s="26"/>
      <c r="M2225" s="26"/>
      <c r="N2225" s="27"/>
    </row>
    <row r="2226" spans="11:14" ht="15" customHeight="1" x14ac:dyDescent="0.25">
      <c r="K2226" s="26"/>
      <c r="L2226" s="26"/>
      <c r="M2226" s="26"/>
      <c r="N2226" s="27"/>
    </row>
    <row r="2227" spans="11:14" ht="15" customHeight="1" x14ac:dyDescent="0.25">
      <c r="K2227" s="26"/>
      <c r="L2227" s="26"/>
      <c r="M2227" s="26"/>
      <c r="N2227" s="27"/>
    </row>
    <row r="2228" spans="11:14" ht="15" customHeight="1" x14ac:dyDescent="0.25">
      <c r="K2228" s="26"/>
      <c r="L2228" s="26"/>
      <c r="M2228" s="26"/>
      <c r="N2228" s="27"/>
    </row>
    <row r="2229" spans="11:14" ht="15" customHeight="1" x14ac:dyDescent="0.25">
      <c r="K2229" s="26"/>
      <c r="L2229" s="26"/>
      <c r="M2229" s="26"/>
      <c r="N2229" s="27"/>
    </row>
    <row r="2230" spans="11:14" ht="15" customHeight="1" x14ac:dyDescent="0.25">
      <c r="K2230" s="26"/>
      <c r="L2230" s="26"/>
      <c r="M2230" s="26"/>
      <c r="N2230" s="27"/>
    </row>
    <row r="2231" spans="11:14" ht="15" customHeight="1" x14ac:dyDescent="0.25">
      <c r="K2231" s="26"/>
      <c r="L2231" s="26"/>
      <c r="M2231" s="26"/>
      <c r="N2231" s="27"/>
    </row>
    <row r="2232" spans="11:14" ht="15" customHeight="1" x14ac:dyDescent="0.25">
      <c r="K2232" s="26"/>
      <c r="L2232" s="26"/>
      <c r="M2232" s="26"/>
      <c r="N2232" s="27"/>
    </row>
    <row r="2233" spans="11:14" ht="15" customHeight="1" x14ac:dyDescent="0.25">
      <c r="K2233" s="26"/>
      <c r="L2233" s="26"/>
      <c r="M2233" s="26"/>
      <c r="N2233" s="27"/>
    </row>
    <row r="2234" spans="11:14" ht="15" customHeight="1" x14ac:dyDescent="0.25">
      <c r="K2234" s="26"/>
      <c r="L2234" s="26"/>
      <c r="M2234" s="26"/>
      <c r="N2234" s="27"/>
    </row>
    <row r="2235" spans="11:14" ht="15" customHeight="1" x14ac:dyDescent="0.25">
      <c r="K2235" s="26"/>
      <c r="L2235" s="26"/>
      <c r="M2235" s="26"/>
      <c r="N2235" s="27"/>
    </row>
    <row r="2236" spans="11:14" ht="15" customHeight="1" x14ac:dyDescent="0.25">
      <c r="K2236" s="26"/>
      <c r="L2236" s="26"/>
      <c r="M2236" s="26"/>
      <c r="N2236" s="27"/>
    </row>
    <row r="2237" spans="11:14" ht="15" customHeight="1" x14ac:dyDescent="0.25">
      <c r="K2237" s="26"/>
      <c r="L2237" s="26"/>
      <c r="M2237" s="26"/>
      <c r="N2237" s="27"/>
    </row>
    <row r="2238" spans="11:14" ht="15" customHeight="1" x14ac:dyDescent="0.25">
      <c r="K2238" s="26"/>
      <c r="L2238" s="26"/>
      <c r="M2238" s="26"/>
      <c r="N2238" s="27"/>
    </row>
    <row r="2239" spans="11:14" ht="15" customHeight="1" x14ac:dyDescent="0.25">
      <c r="K2239" s="26"/>
      <c r="L2239" s="26"/>
      <c r="M2239" s="26"/>
      <c r="N2239" s="27"/>
    </row>
    <row r="2240" spans="11:14" ht="15" customHeight="1" x14ac:dyDescent="0.25">
      <c r="K2240" s="26"/>
      <c r="L2240" s="26"/>
      <c r="M2240" s="26"/>
      <c r="N2240" s="27"/>
    </row>
    <row r="2241" spans="11:14" ht="15" customHeight="1" x14ac:dyDescent="0.25">
      <c r="K2241" s="26"/>
      <c r="L2241" s="26"/>
      <c r="M2241" s="26"/>
      <c r="N2241" s="27"/>
    </row>
    <row r="2242" spans="11:14" ht="15" customHeight="1" x14ac:dyDescent="0.25">
      <c r="K2242" s="26"/>
      <c r="L2242" s="26"/>
      <c r="M2242" s="26"/>
      <c r="N2242" s="27"/>
    </row>
    <row r="2243" spans="11:14" ht="15" customHeight="1" x14ac:dyDescent="0.25">
      <c r="K2243" s="26"/>
      <c r="L2243" s="26"/>
      <c r="M2243" s="26"/>
      <c r="N2243" s="27"/>
    </row>
    <row r="2244" spans="11:14" ht="15" customHeight="1" x14ac:dyDescent="0.25">
      <c r="K2244" s="26"/>
      <c r="L2244" s="26"/>
      <c r="M2244" s="26"/>
      <c r="N2244" s="27"/>
    </row>
    <row r="2245" spans="11:14" ht="15" customHeight="1" x14ac:dyDescent="0.25">
      <c r="K2245" s="26"/>
      <c r="L2245" s="26"/>
      <c r="M2245" s="26"/>
      <c r="N2245" s="27"/>
    </row>
    <row r="2246" spans="11:14" ht="15" customHeight="1" x14ac:dyDescent="0.25">
      <c r="K2246" s="26"/>
      <c r="L2246" s="26"/>
      <c r="M2246" s="26"/>
      <c r="N2246" s="27"/>
    </row>
    <row r="2247" spans="11:14" ht="15" customHeight="1" x14ac:dyDescent="0.25">
      <c r="K2247" s="26"/>
      <c r="L2247" s="26"/>
      <c r="M2247" s="26"/>
      <c r="N2247" s="27"/>
    </row>
    <row r="2248" spans="11:14" ht="15" customHeight="1" x14ac:dyDescent="0.25">
      <c r="K2248" s="26"/>
      <c r="L2248" s="26"/>
      <c r="M2248" s="26"/>
      <c r="N2248" s="27"/>
    </row>
    <row r="2249" spans="11:14" ht="15" customHeight="1" x14ac:dyDescent="0.25">
      <c r="K2249" s="26"/>
      <c r="L2249" s="26"/>
      <c r="M2249" s="26"/>
      <c r="N2249" s="27"/>
    </row>
    <row r="2250" spans="11:14" ht="15" customHeight="1" x14ac:dyDescent="0.25">
      <c r="K2250" s="26"/>
      <c r="L2250" s="26"/>
      <c r="M2250" s="26"/>
      <c r="N2250" s="27"/>
    </row>
    <row r="2251" spans="11:14" ht="15" customHeight="1" x14ac:dyDescent="0.25">
      <c r="K2251" s="26"/>
      <c r="L2251" s="26"/>
      <c r="M2251" s="26"/>
      <c r="N2251" s="27"/>
    </row>
    <row r="2252" spans="11:14" ht="15" customHeight="1" x14ac:dyDescent="0.25">
      <c r="K2252" s="26"/>
      <c r="L2252" s="26"/>
      <c r="M2252" s="26"/>
      <c r="N2252" s="27"/>
    </row>
    <row r="2253" spans="11:14" ht="15" customHeight="1" x14ac:dyDescent="0.25">
      <c r="K2253" s="26"/>
      <c r="L2253" s="26"/>
      <c r="M2253" s="26"/>
      <c r="N2253" s="27"/>
    </row>
    <row r="2254" spans="11:14" ht="15" customHeight="1" x14ac:dyDescent="0.25">
      <c r="K2254" s="26"/>
      <c r="L2254" s="26"/>
      <c r="M2254" s="26"/>
      <c r="N2254" s="27"/>
    </row>
    <row r="2255" spans="11:14" ht="15" customHeight="1" x14ac:dyDescent="0.25">
      <c r="K2255" s="26"/>
      <c r="L2255" s="26"/>
      <c r="M2255" s="26"/>
      <c r="N2255" s="27"/>
    </row>
    <row r="2256" spans="11:14" ht="15" customHeight="1" x14ac:dyDescent="0.25">
      <c r="K2256" s="26"/>
      <c r="L2256" s="26"/>
      <c r="M2256" s="26"/>
      <c r="N2256" s="27"/>
    </row>
    <row r="2257" spans="11:14" ht="15" customHeight="1" x14ac:dyDescent="0.25">
      <c r="K2257" s="26"/>
      <c r="L2257" s="26"/>
      <c r="M2257" s="26"/>
      <c r="N2257" s="27"/>
    </row>
    <row r="2258" spans="11:14" ht="15" customHeight="1" x14ac:dyDescent="0.25">
      <c r="K2258" s="26"/>
      <c r="L2258" s="26"/>
      <c r="M2258" s="26"/>
      <c r="N2258" s="27"/>
    </row>
    <row r="2259" spans="11:14" ht="15" customHeight="1" x14ac:dyDescent="0.25">
      <c r="K2259" s="26"/>
      <c r="L2259" s="26"/>
      <c r="M2259" s="26"/>
      <c r="N2259" s="27"/>
    </row>
    <row r="2260" spans="11:14" ht="15" customHeight="1" x14ac:dyDescent="0.25">
      <c r="K2260" s="26"/>
      <c r="L2260" s="26"/>
      <c r="M2260" s="26"/>
      <c r="N2260" s="27"/>
    </row>
    <row r="2261" spans="11:14" ht="15" customHeight="1" x14ac:dyDescent="0.25">
      <c r="K2261" s="26"/>
      <c r="L2261" s="26"/>
      <c r="M2261" s="26"/>
      <c r="N2261" s="27"/>
    </row>
    <row r="2262" spans="11:14" ht="15" customHeight="1" x14ac:dyDescent="0.25">
      <c r="K2262" s="26"/>
      <c r="L2262" s="26"/>
      <c r="M2262" s="26"/>
      <c r="N2262" s="27"/>
    </row>
    <row r="2263" spans="11:14" ht="15" customHeight="1" x14ac:dyDescent="0.25">
      <c r="K2263" s="26"/>
      <c r="L2263" s="26"/>
      <c r="M2263" s="26"/>
      <c r="N2263" s="27"/>
    </row>
    <row r="2264" spans="11:14" ht="15" customHeight="1" x14ac:dyDescent="0.25">
      <c r="K2264" s="26"/>
      <c r="L2264" s="26"/>
      <c r="M2264" s="26"/>
      <c r="N2264" s="27"/>
    </row>
    <row r="2265" spans="11:14" ht="15" customHeight="1" x14ac:dyDescent="0.25">
      <c r="K2265" s="26"/>
      <c r="L2265" s="26"/>
      <c r="M2265" s="26"/>
      <c r="N2265" s="27"/>
    </row>
    <row r="2266" spans="11:14" ht="15" customHeight="1" x14ac:dyDescent="0.25">
      <c r="K2266" s="26"/>
      <c r="L2266" s="26"/>
      <c r="M2266" s="26"/>
      <c r="N2266" s="27"/>
    </row>
    <row r="2267" spans="11:14" ht="15" customHeight="1" x14ac:dyDescent="0.25">
      <c r="K2267" s="26"/>
      <c r="L2267" s="26"/>
      <c r="M2267" s="26"/>
      <c r="N2267" s="27"/>
    </row>
    <row r="2268" spans="11:14" ht="15" customHeight="1" x14ac:dyDescent="0.25">
      <c r="K2268" s="26"/>
      <c r="L2268" s="26"/>
      <c r="M2268" s="26"/>
      <c r="N2268" s="27"/>
    </row>
    <row r="2269" spans="11:14" ht="15" customHeight="1" x14ac:dyDescent="0.25">
      <c r="K2269" s="26"/>
      <c r="L2269" s="26"/>
      <c r="M2269" s="26"/>
      <c r="N2269" s="27"/>
    </row>
    <row r="2270" spans="11:14" ht="15" customHeight="1" x14ac:dyDescent="0.25">
      <c r="K2270" s="26"/>
      <c r="L2270" s="26"/>
      <c r="M2270" s="26"/>
      <c r="N2270" s="27"/>
    </row>
    <row r="2271" spans="11:14" ht="15" customHeight="1" x14ac:dyDescent="0.25">
      <c r="K2271" s="26"/>
      <c r="L2271" s="26"/>
      <c r="M2271" s="26"/>
      <c r="N2271" s="27"/>
    </row>
    <row r="2272" spans="11:14" ht="15" customHeight="1" x14ac:dyDescent="0.25">
      <c r="K2272" s="26"/>
      <c r="L2272" s="26"/>
      <c r="M2272" s="26"/>
      <c r="N2272" s="27"/>
    </row>
    <row r="2273" spans="11:14" ht="15" customHeight="1" x14ac:dyDescent="0.25">
      <c r="K2273" s="26"/>
      <c r="L2273" s="26"/>
      <c r="M2273" s="26"/>
      <c r="N2273" s="27"/>
    </row>
    <row r="2274" spans="11:14" ht="15" customHeight="1" x14ac:dyDescent="0.25">
      <c r="K2274" s="26"/>
      <c r="L2274" s="26"/>
      <c r="M2274" s="26"/>
      <c r="N2274" s="27"/>
    </row>
    <row r="2275" spans="11:14" ht="15" customHeight="1" x14ac:dyDescent="0.25">
      <c r="K2275" s="26"/>
      <c r="L2275" s="26"/>
      <c r="M2275" s="26"/>
      <c r="N2275" s="27"/>
    </row>
    <row r="2276" spans="11:14" ht="15" customHeight="1" x14ac:dyDescent="0.25">
      <c r="K2276" s="26"/>
      <c r="L2276" s="26"/>
      <c r="M2276" s="26"/>
      <c r="N2276" s="27"/>
    </row>
    <row r="2277" spans="11:14" ht="15" customHeight="1" x14ac:dyDescent="0.25">
      <c r="K2277" s="26"/>
      <c r="L2277" s="26"/>
      <c r="M2277" s="26"/>
      <c r="N2277" s="27"/>
    </row>
    <row r="2278" spans="11:14" ht="15" customHeight="1" x14ac:dyDescent="0.25">
      <c r="K2278" s="26"/>
      <c r="L2278" s="26"/>
      <c r="M2278" s="26"/>
      <c r="N2278" s="27"/>
    </row>
    <row r="2279" spans="11:14" ht="15" customHeight="1" x14ac:dyDescent="0.25">
      <c r="K2279" s="26"/>
      <c r="L2279" s="26"/>
      <c r="M2279" s="26"/>
      <c r="N2279" s="27"/>
    </row>
    <row r="2280" spans="11:14" ht="15" customHeight="1" x14ac:dyDescent="0.25">
      <c r="K2280" s="26"/>
      <c r="L2280" s="26"/>
      <c r="M2280" s="26"/>
      <c r="N2280" s="27"/>
    </row>
    <row r="2281" spans="11:14" ht="15" customHeight="1" x14ac:dyDescent="0.25">
      <c r="K2281" s="26"/>
      <c r="L2281" s="26"/>
      <c r="M2281" s="26"/>
      <c r="N2281" s="27"/>
    </row>
    <row r="2282" spans="11:14" ht="15" customHeight="1" x14ac:dyDescent="0.25">
      <c r="K2282" s="26"/>
      <c r="L2282" s="26"/>
      <c r="M2282" s="26"/>
      <c r="N2282" s="27"/>
    </row>
    <row r="2283" spans="11:14" ht="15" customHeight="1" x14ac:dyDescent="0.25">
      <c r="K2283" s="26"/>
      <c r="L2283" s="26"/>
      <c r="M2283" s="26"/>
      <c r="N2283" s="27"/>
    </row>
    <row r="2284" spans="11:14" ht="15" customHeight="1" x14ac:dyDescent="0.25">
      <c r="K2284" s="26"/>
      <c r="L2284" s="26"/>
      <c r="M2284" s="26"/>
      <c r="N2284" s="27"/>
    </row>
    <row r="2285" spans="11:14" ht="15" customHeight="1" x14ac:dyDescent="0.25">
      <c r="K2285" s="26"/>
      <c r="L2285" s="26"/>
      <c r="M2285" s="26"/>
      <c r="N2285" s="27"/>
    </row>
    <row r="2286" spans="11:14" ht="15" customHeight="1" x14ac:dyDescent="0.25">
      <c r="K2286" s="26"/>
      <c r="L2286" s="26"/>
      <c r="M2286" s="26"/>
      <c r="N2286" s="27"/>
    </row>
    <row r="2287" spans="11:14" ht="15" customHeight="1" x14ac:dyDescent="0.25">
      <c r="K2287" s="26"/>
      <c r="L2287" s="26"/>
      <c r="M2287" s="26"/>
      <c r="N2287" s="27"/>
    </row>
    <row r="2288" spans="11:14" ht="15" customHeight="1" x14ac:dyDescent="0.25">
      <c r="K2288" s="26"/>
      <c r="L2288" s="26"/>
      <c r="M2288" s="26"/>
      <c r="N2288" s="27"/>
    </row>
    <row r="2289" spans="11:14" ht="15" customHeight="1" x14ac:dyDescent="0.25">
      <c r="K2289" s="26"/>
      <c r="L2289" s="26"/>
      <c r="M2289" s="26"/>
      <c r="N2289" s="27"/>
    </row>
    <row r="2290" spans="11:14" ht="15" customHeight="1" x14ac:dyDescent="0.25">
      <c r="K2290" s="26"/>
      <c r="L2290" s="26"/>
      <c r="M2290" s="26"/>
      <c r="N2290" s="27"/>
    </row>
    <row r="2291" spans="11:14" ht="15" customHeight="1" x14ac:dyDescent="0.25">
      <c r="K2291" s="26"/>
      <c r="L2291" s="26"/>
      <c r="M2291" s="26"/>
      <c r="N2291" s="27"/>
    </row>
    <row r="2292" spans="11:14" ht="15" customHeight="1" x14ac:dyDescent="0.25">
      <c r="K2292" s="26"/>
      <c r="L2292" s="26"/>
      <c r="M2292" s="26"/>
      <c r="N2292" s="27"/>
    </row>
    <row r="2293" spans="11:14" ht="15" customHeight="1" x14ac:dyDescent="0.25">
      <c r="K2293" s="26"/>
      <c r="L2293" s="26"/>
      <c r="M2293" s="26"/>
      <c r="N2293" s="27"/>
    </row>
    <row r="2294" spans="11:14" ht="15" customHeight="1" x14ac:dyDescent="0.25">
      <c r="K2294" s="26"/>
      <c r="L2294" s="26"/>
      <c r="M2294" s="26"/>
      <c r="N2294" s="27"/>
    </row>
    <row r="2295" spans="11:14" ht="15" customHeight="1" x14ac:dyDescent="0.25">
      <c r="K2295" s="26"/>
      <c r="L2295" s="26"/>
      <c r="M2295" s="26"/>
      <c r="N2295" s="27"/>
    </row>
    <row r="2296" spans="11:14" ht="15" customHeight="1" x14ac:dyDescent="0.25">
      <c r="K2296" s="26"/>
      <c r="L2296" s="26"/>
      <c r="M2296" s="26"/>
      <c r="N2296" s="27"/>
    </row>
    <row r="2297" spans="11:14" ht="15" customHeight="1" x14ac:dyDescent="0.25">
      <c r="K2297" s="26"/>
      <c r="L2297" s="26"/>
      <c r="M2297" s="26"/>
      <c r="N2297" s="27"/>
    </row>
    <row r="2298" spans="11:14" ht="15" customHeight="1" x14ac:dyDescent="0.25">
      <c r="K2298" s="26"/>
      <c r="L2298" s="26"/>
      <c r="M2298" s="26"/>
      <c r="N2298" s="27"/>
    </row>
    <row r="2299" spans="11:14" ht="15" customHeight="1" x14ac:dyDescent="0.25">
      <c r="K2299" s="26"/>
      <c r="L2299" s="26"/>
      <c r="M2299" s="26"/>
      <c r="N2299" s="27"/>
    </row>
    <row r="2300" spans="11:14" ht="15" customHeight="1" x14ac:dyDescent="0.25">
      <c r="K2300" s="26"/>
      <c r="L2300" s="26"/>
      <c r="M2300" s="26"/>
      <c r="N2300" s="27"/>
    </row>
    <row r="2301" spans="11:14" ht="15" customHeight="1" x14ac:dyDescent="0.25">
      <c r="K2301" s="26"/>
      <c r="L2301" s="26"/>
      <c r="M2301" s="26"/>
      <c r="N2301" s="27"/>
    </row>
    <row r="2302" spans="11:14" ht="15" customHeight="1" x14ac:dyDescent="0.25">
      <c r="K2302" s="26"/>
      <c r="L2302" s="26"/>
      <c r="M2302" s="26"/>
      <c r="N2302" s="27"/>
    </row>
    <row r="2303" spans="11:14" ht="15" customHeight="1" x14ac:dyDescent="0.25">
      <c r="K2303" s="26"/>
      <c r="L2303" s="26"/>
      <c r="M2303" s="26"/>
      <c r="N2303" s="27"/>
    </row>
    <row r="2304" spans="11:14" ht="15" customHeight="1" x14ac:dyDescent="0.25">
      <c r="K2304" s="26"/>
      <c r="L2304" s="26"/>
      <c r="M2304" s="26"/>
      <c r="N2304" s="27"/>
    </row>
    <row r="2305" spans="11:14" ht="15" customHeight="1" x14ac:dyDescent="0.25">
      <c r="K2305" s="26"/>
      <c r="L2305" s="26"/>
      <c r="M2305" s="26"/>
      <c r="N2305" s="27"/>
    </row>
    <row r="2306" spans="11:14" ht="15" customHeight="1" x14ac:dyDescent="0.25">
      <c r="K2306" s="26"/>
      <c r="L2306" s="26"/>
      <c r="M2306" s="26"/>
      <c r="N2306" s="27"/>
    </row>
    <row r="2307" spans="11:14" ht="15" customHeight="1" x14ac:dyDescent="0.25">
      <c r="K2307" s="26"/>
      <c r="L2307" s="26"/>
      <c r="M2307" s="26"/>
      <c r="N2307" s="27"/>
    </row>
    <row r="2308" spans="11:14" ht="15" customHeight="1" x14ac:dyDescent="0.25">
      <c r="K2308" s="26"/>
      <c r="L2308" s="26"/>
      <c r="M2308" s="26"/>
      <c r="N2308" s="27"/>
    </row>
    <row r="2309" spans="11:14" ht="15" customHeight="1" x14ac:dyDescent="0.25">
      <c r="K2309" s="26"/>
      <c r="L2309" s="26"/>
      <c r="M2309" s="26"/>
      <c r="N2309" s="27"/>
    </row>
    <row r="2310" spans="11:14" ht="15" customHeight="1" x14ac:dyDescent="0.25">
      <c r="K2310" s="26"/>
      <c r="L2310" s="26"/>
      <c r="M2310" s="26"/>
      <c r="N2310" s="27"/>
    </row>
    <row r="2311" spans="11:14" ht="15" customHeight="1" x14ac:dyDescent="0.25">
      <c r="K2311" s="26"/>
      <c r="L2311" s="26"/>
      <c r="M2311" s="26"/>
      <c r="N2311" s="27"/>
    </row>
    <row r="2312" spans="11:14" ht="15" customHeight="1" x14ac:dyDescent="0.25">
      <c r="K2312" s="26"/>
      <c r="L2312" s="26"/>
      <c r="M2312" s="26"/>
      <c r="N2312" s="27"/>
    </row>
    <row r="2313" spans="11:14" ht="15" customHeight="1" x14ac:dyDescent="0.25">
      <c r="K2313" s="26"/>
      <c r="L2313" s="26"/>
      <c r="M2313" s="26"/>
      <c r="N2313" s="27"/>
    </row>
    <row r="2314" spans="11:14" ht="15" customHeight="1" x14ac:dyDescent="0.25">
      <c r="K2314" s="26"/>
      <c r="L2314" s="26"/>
      <c r="M2314" s="26"/>
      <c r="N2314" s="27"/>
    </row>
    <row r="2315" spans="11:14" ht="15" customHeight="1" x14ac:dyDescent="0.25">
      <c r="K2315" s="26"/>
      <c r="L2315" s="26"/>
      <c r="M2315" s="26"/>
      <c r="N2315" s="27"/>
    </row>
    <row r="2316" spans="11:14" ht="15" customHeight="1" x14ac:dyDescent="0.25">
      <c r="K2316" s="26"/>
      <c r="L2316" s="26"/>
      <c r="M2316" s="26"/>
      <c r="N2316" s="27"/>
    </row>
    <row r="2317" spans="11:14" ht="15" customHeight="1" x14ac:dyDescent="0.25">
      <c r="K2317" s="26"/>
      <c r="L2317" s="26"/>
      <c r="M2317" s="26"/>
      <c r="N2317" s="27"/>
    </row>
    <row r="2318" spans="11:14" ht="15" customHeight="1" x14ac:dyDescent="0.25">
      <c r="K2318" s="26"/>
      <c r="L2318" s="26"/>
      <c r="M2318" s="26"/>
      <c r="N2318" s="27"/>
    </row>
    <row r="2319" spans="11:14" ht="15" customHeight="1" x14ac:dyDescent="0.25">
      <c r="K2319" s="26"/>
      <c r="L2319" s="26"/>
      <c r="M2319" s="26"/>
      <c r="N2319" s="27"/>
    </row>
    <row r="2320" spans="11:14" ht="15" customHeight="1" x14ac:dyDescent="0.25">
      <c r="K2320" s="26"/>
      <c r="L2320" s="26"/>
      <c r="M2320" s="26"/>
      <c r="N2320" s="27"/>
    </row>
    <row r="2321" spans="11:14" ht="15" customHeight="1" x14ac:dyDescent="0.25">
      <c r="K2321" s="26"/>
      <c r="L2321" s="26"/>
      <c r="M2321" s="26"/>
      <c r="N2321" s="27"/>
    </row>
    <row r="2322" spans="11:14" ht="15" customHeight="1" x14ac:dyDescent="0.25">
      <c r="K2322" s="26"/>
      <c r="L2322" s="26"/>
      <c r="M2322" s="26"/>
      <c r="N2322" s="27"/>
    </row>
    <row r="2323" spans="11:14" ht="15" customHeight="1" x14ac:dyDescent="0.25">
      <c r="K2323" s="26"/>
      <c r="L2323" s="26"/>
      <c r="M2323" s="26"/>
      <c r="N2323" s="27"/>
    </row>
    <row r="2324" spans="11:14" ht="15" customHeight="1" x14ac:dyDescent="0.25">
      <c r="K2324" s="26"/>
      <c r="L2324" s="26"/>
      <c r="M2324" s="26"/>
      <c r="N2324" s="27"/>
    </row>
    <row r="2325" spans="11:14" ht="15" customHeight="1" x14ac:dyDescent="0.25">
      <c r="K2325" s="26"/>
      <c r="L2325" s="26"/>
      <c r="M2325" s="26"/>
      <c r="N2325" s="27"/>
    </row>
    <row r="2326" spans="11:14" ht="15" customHeight="1" x14ac:dyDescent="0.25">
      <c r="K2326" s="26"/>
      <c r="L2326" s="26"/>
      <c r="M2326" s="26"/>
      <c r="N2326" s="27"/>
    </row>
    <row r="2327" spans="11:14" ht="15" customHeight="1" x14ac:dyDescent="0.25">
      <c r="K2327" s="26"/>
      <c r="L2327" s="26"/>
      <c r="M2327" s="26"/>
      <c r="N2327" s="27"/>
    </row>
    <row r="2328" spans="11:14" ht="15" customHeight="1" x14ac:dyDescent="0.25">
      <c r="K2328" s="26"/>
      <c r="L2328" s="26"/>
      <c r="M2328" s="26"/>
      <c r="N2328" s="27"/>
    </row>
    <row r="2329" spans="11:14" ht="15" customHeight="1" x14ac:dyDescent="0.25">
      <c r="K2329" s="26"/>
      <c r="L2329" s="26"/>
      <c r="M2329" s="26"/>
      <c r="N2329" s="27"/>
    </row>
    <row r="2330" spans="11:14" ht="15" customHeight="1" x14ac:dyDescent="0.25">
      <c r="K2330" s="26"/>
      <c r="L2330" s="26"/>
      <c r="M2330" s="26"/>
      <c r="N2330" s="27"/>
    </row>
    <row r="2331" spans="11:14" ht="15" customHeight="1" x14ac:dyDescent="0.25">
      <c r="K2331" s="26"/>
      <c r="L2331" s="26"/>
      <c r="M2331" s="26"/>
      <c r="N2331" s="27"/>
    </row>
    <row r="2332" spans="11:14" ht="15" customHeight="1" x14ac:dyDescent="0.25">
      <c r="K2332" s="26"/>
      <c r="L2332" s="26"/>
      <c r="M2332" s="26"/>
      <c r="N2332" s="27"/>
    </row>
    <row r="2333" spans="11:14" ht="15" customHeight="1" x14ac:dyDescent="0.25">
      <c r="K2333" s="26"/>
      <c r="L2333" s="26"/>
      <c r="M2333" s="26"/>
      <c r="N2333" s="27"/>
    </row>
    <row r="2334" spans="11:14" ht="15" customHeight="1" x14ac:dyDescent="0.25">
      <c r="K2334" s="26"/>
      <c r="L2334" s="26"/>
      <c r="M2334" s="26"/>
      <c r="N2334" s="27"/>
    </row>
    <row r="2335" spans="11:14" ht="15" customHeight="1" x14ac:dyDescent="0.25">
      <c r="K2335" s="26"/>
      <c r="L2335" s="26"/>
      <c r="M2335" s="26"/>
      <c r="N2335" s="27"/>
    </row>
    <row r="2336" spans="11:14" ht="15" customHeight="1" x14ac:dyDescent="0.25">
      <c r="K2336" s="26"/>
      <c r="L2336" s="26"/>
      <c r="M2336" s="26"/>
      <c r="N2336" s="27"/>
    </row>
    <row r="2337" spans="11:14" ht="15" customHeight="1" x14ac:dyDescent="0.25">
      <c r="K2337" s="26"/>
      <c r="L2337" s="26"/>
      <c r="M2337" s="26"/>
      <c r="N2337" s="27"/>
    </row>
    <row r="2338" spans="11:14" ht="15" customHeight="1" x14ac:dyDescent="0.25">
      <c r="K2338" s="26"/>
      <c r="L2338" s="26"/>
      <c r="M2338" s="26"/>
      <c r="N2338" s="27"/>
    </row>
    <row r="2339" spans="11:14" ht="15" customHeight="1" x14ac:dyDescent="0.25">
      <c r="K2339" s="26"/>
      <c r="L2339" s="26"/>
      <c r="M2339" s="26"/>
      <c r="N2339" s="27"/>
    </row>
    <row r="2340" spans="11:14" ht="15" customHeight="1" x14ac:dyDescent="0.25">
      <c r="K2340" s="26"/>
      <c r="L2340" s="26"/>
      <c r="M2340" s="26"/>
      <c r="N2340" s="27"/>
    </row>
    <row r="2341" spans="11:14" ht="15" customHeight="1" x14ac:dyDescent="0.25">
      <c r="K2341" s="26"/>
      <c r="L2341" s="26"/>
      <c r="M2341" s="26"/>
      <c r="N2341" s="27"/>
    </row>
    <row r="2342" spans="11:14" ht="15" customHeight="1" x14ac:dyDescent="0.25">
      <c r="K2342" s="26"/>
      <c r="L2342" s="26"/>
      <c r="M2342" s="26"/>
      <c r="N2342" s="27"/>
    </row>
    <row r="2343" spans="11:14" ht="15" customHeight="1" x14ac:dyDescent="0.25">
      <c r="K2343" s="26"/>
      <c r="L2343" s="26"/>
      <c r="M2343" s="26"/>
      <c r="N2343" s="27"/>
    </row>
    <row r="2344" spans="11:14" ht="15" customHeight="1" x14ac:dyDescent="0.25">
      <c r="K2344" s="26"/>
      <c r="L2344" s="26"/>
      <c r="M2344" s="26"/>
      <c r="N2344" s="27"/>
    </row>
    <row r="2345" spans="11:14" ht="15" customHeight="1" x14ac:dyDescent="0.25">
      <c r="K2345" s="26"/>
      <c r="L2345" s="26"/>
      <c r="M2345" s="26"/>
      <c r="N2345" s="27"/>
    </row>
    <row r="2346" spans="11:14" ht="15" customHeight="1" x14ac:dyDescent="0.25">
      <c r="K2346" s="26"/>
      <c r="L2346" s="26"/>
      <c r="M2346" s="26"/>
      <c r="N2346" s="27"/>
    </row>
    <row r="2347" spans="11:14" ht="15" customHeight="1" x14ac:dyDescent="0.25">
      <c r="K2347" s="26"/>
      <c r="L2347" s="26"/>
      <c r="M2347" s="26"/>
      <c r="N2347" s="27"/>
    </row>
    <row r="2348" spans="11:14" ht="15" customHeight="1" x14ac:dyDescent="0.25">
      <c r="K2348" s="26"/>
      <c r="L2348" s="26"/>
      <c r="M2348" s="26"/>
      <c r="N2348" s="27"/>
    </row>
    <row r="2349" spans="11:14" ht="15" customHeight="1" x14ac:dyDescent="0.25">
      <c r="K2349" s="26"/>
      <c r="L2349" s="26"/>
      <c r="M2349" s="26"/>
      <c r="N2349" s="27"/>
    </row>
    <row r="2350" spans="11:14" ht="15" customHeight="1" x14ac:dyDescent="0.25">
      <c r="K2350" s="26"/>
      <c r="L2350" s="26"/>
      <c r="M2350" s="26"/>
      <c r="N2350" s="27"/>
    </row>
    <row r="2351" spans="11:14" ht="15" customHeight="1" x14ac:dyDescent="0.25">
      <c r="K2351" s="26"/>
      <c r="L2351" s="26"/>
      <c r="M2351" s="26"/>
      <c r="N2351" s="27"/>
    </row>
    <row r="2352" spans="11:14" ht="15" customHeight="1" x14ac:dyDescent="0.25">
      <c r="K2352" s="26"/>
      <c r="L2352" s="26"/>
      <c r="M2352" s="26"/>
      <c r="N2352" s="27"/>
    </row>
    <row r="2353" spans="11:14" ht="15" customHeight="1" x14ac:dyDescent="0.25">
      <c r="K2353" s="26"/>
      <c r="L2353" s="26"/>
      <c r="M2353" s="26"/>
      <c r="N2353" s="27"/>
    </row>
    <row r="2354" spans="11:14" ht="15" customHeight="1" x14ac:dyDescent="0.25">
      <c r="K2354" s="26"/>
      <c r="L2354" s="26"/>
      <c r="M2354" s="26"/>
      <c r="N2354" s="27"/>
    </row>
    <row r="2355" spans="11:14" ht="15" customHeight="1" x14ac:dyDescent="0.25">
      <c r="K2355" s="26"/>
      <c r="L2355" s="26"/>
      <c r="M2355" s="26"/>
      <c r="N2355" s="27"/>
    </row>
    <row r="2356" spans="11:14" ht="15" customHeight="1" x14ac:dyDescent="0.25">
      <c r="K2356" s="26"/>
      <c r="L2356" s="26"/>
      <c r="M2356" s="26"/>
      <c r="N2356" s="27"/>
    </row>
    <row r="2357" spans="11:14" ht="15" customHeight="1" x14ac:dyDescent="0.25">
      <c r="K2357" s="26"/>
      <c r="L2357" s="26"/>
      <c r="M2357" s="26"/>
      <c r="N2357" s="27"/>
    </row>
    <row r="2358" spans="11:14" ht="15" customHeight="1" x14ac:dyDescent="0.25">
      <c r="K2358" s="26"/>
      <c r="L2358" s="26"/>
      <c r="M2358" s="26"/>
      <c r="N2358" s="27"/>
    </row>
    <row r="2359" spans="11:14" ht="15" customHeight="1" x14ac:dyDescent="0.25">
      <c r="K2359" s="26"/>
      <c r="L2359" s="26"/>
      <c r="M2359" s="26"/>
      <c r="N2359" s="27"/>
    </row>
    <row r="2360" spans="11:14" ht="15" customHeight="1" x14ac:dyDescent="0.25">
      <c r="K2360" s="26"/>
      <c r="L2360" s="26"/>
      <c r="M2360" s="26"/>
      <c r="N2360" s="27"/>
    </row>
    <row r="2361" spans="11:14" ht="15" customHeight="1" x14ac:dyDescent="0.25">
      <c r="K2361" s="26"/>
      <c r="L2361" s="26"/>
      <c r="M2361" s="26"/>
      <c r="N2361" s="27"/>
    </row>
    <row r="2362" spans="11:14" ht="15" customHeight="1" x14ac:dyDescent="0.25">
      <c r="K2362" s="26"/>
      <c r="L2362" s="26"/>
      <c r="M2362" s="26"/>
      <c r="N2362" s="27"/>
    </row>
    <row r="2363" spans="11:14" ht="15" customHeight="1" x14ac:dyDescent="0.25">
      <c r="K2363" s="26"/>
      <c r="L2363" s="26"/>
      <c r="M2363" s="26"/>
      <c r="N2363" s="27"/>
    </row>
    <row r="2364" spans="11:14" ht="15" customHeight="1" x14ac:dyDescent="0.25">
      <c r="K2364" s="26"/>
      <c r="L2364" s="26"/>
      <c r="M2364" s="26"/>
      <c r="N2364" s="27"/>
    </row>
    <row r="2365" spans="11:14" ht="15" customHeight="1" x14ac:dyDescent="0.25">
      <c r="K2365" s="26"/>
      <c r="L2365" s="26"/>
      <c r="M2365" s="26"/>
      <c r="N2365" s="27"/>
    </row>
    <row r="2366" spans="11:14" ht="15" customHeight="1" x14ac:dyDescent="0.25">
      <c r="K2366" s="26"/>
      <c r="L2366" s="26"/>
      <c r="M2366" s="26"/>
      <c r="N2366" s="27"/>
    </row>
    <row r="2367" spans="11:14" ht="15" customHeight="1" x14ac:dyDescent="0.25">
      <c r="K2367" s="26"/>
      <c r="L2367" s="26"/>
      <c r="M2367" s="26"/>
      <c r="N2367" s="27"/>
    </row>
    <row r="2368" spans="11:14" ht="15" customHeight="1" x14ac:dyDescent="0.25">
      <c r="K2368" s="26"/>
      <c r="L2368" s="26"/>
      <c r="M2368" s="26"/>
      <c r="N2368" s="27"/>
    </row>
    <row r="2369" spans="11:14" ht="15" customHeight="1" x14ac:dyDescent="0.25">
      <c r="K2369" s="26"/>
      <c r="L2369" s="26"/>
      <c r="M2369" s="26"/>
      <c r="N2369" s="27"/>
    </row>
    <row r="2370" spans="11:14" ht="15" customHeight="1" x14ac:dyDescent="0.25">
      <c r="K2370" s="26"/>
      <c r="L2370" s="26"/>
      <c r="M2370" s="26"/>
      <c r="N2370" s="27"/>
    </row>
    <row r="2371" spans="11:14" ht="15" customHeight="1" x14ac:dyDescent="0.25">
      <c r="K2371" s="26"/>
      <c r="L2371" s="26"/>
      <c r="M2371" s="26"/>
      <c r="N2371" s="27"/>
    </row>
    <row r="2372" spans="11:14" ht="15" customHeight="1" x14ac:dyDescent="0.25">
      <c r="K2372" s="26"/>
      <c r="L2372" s="26"/>
      <c r="M2372" s="26"/>
      <c r="N2372" s="27"/>
    </row>
    <row r="2373" spans="11:14" ht="15" customHeight="1" x14ac:dyDescent="0.25">
      <c r="K2373" s="26"/>
      <c r="L2373" s="26"/>
      <c r="M2373" s="26"/>
      <c r="N2373" s="27"/>
    </row>
    <row r="2374" spans="11:14" ht="15" customHeight="1" x14ac:dyDescent="0.25">
      <c r="K2374" s="26"/>
      <c r="L2374" s="26"/>
      <c r="M2374" s="26"/>
      <c r="N2374" s="27"/>
    </row>
    <row r="2375" spans="11:14" ht="15" customHeight="1" x14ac:dyDescent="0.25">
      <c r="K2375" s="26"/>
      <c r="L2375" s="26"/>
      <c r="M2375" s="26"/>
      <c r="N2375" s="27"/>
    </row>
    <row r="2376" spans="11:14" ht="15" customHeight="1" x14ac:dyDescent="0.25">
      <c r="K2376" s="26"/>
      <c r="L2376" s="26"/>
      <c r="M2376" s="26"/>
      <c r="N2376" s="27"/>
    </row>
    <row r="2377" spans="11:14" ht="15" customHeight="1" x14ac:dyDescent="0.25">
      <c r="K2377" s="26"/>
      <c r="L2377" s="26"/>
      <c r="M2377" s="26"/>
      <c r="N2377" s="27"/>
    </row>
    <row r="2378" spans="11:14" ht="15" customHeight="1" x14ac:dyDescent="0.25">
      <c r="K2378" s="26"/>
      <c r="L2378" s="26"/>
      <c r="M2378" s="26"/>
      <c r="N2378" s="27"/>
    </row>
    <row r="2379" spans="11:14" ht="15" customHeight="1" x14ac:dyDescent="0.25">
      <c r="K2379" s="26"/>
      <c r="L2379" s="26"/>
      <c r="M2379" s="26"/>
      <c r="N2379" s="27"/>
    </row>
    <row r="2380" spans="11:14" ht="15" customHeight="1" x14ac:dyDescent="0.25">
      <c r="K2380" s="26"/>
      <c r="L2380" s="26"/>
      <c r="M2380" s="26"/>
      <c r="N2380" s="27"/>
    </row>
    <row r="2381" spans="11:14" ht="15" customHeight="1" x14ac:dyDescent="0.25">
      <c r="K2381" s="26"/>
      <c r="L2381" s="26"/>
      <c r="M2381" s="26"/>
      <c r="N2381" s="27"/>
    </row>
    <row r="2382" spans="11:14" ht="15" customHeight="1" x14ac:dyDescent="0.25">
      <c r="K2382" s="26"/>
      <c r="L2382" s="26"/>
      <c r="M2382" s="26"/>
      <c r="N2382" s="27"/>
    </row>
    <row r="2383" spans="11:14" ht="15" customHeight="1" x14ac:dyDescent="0.25">
      <c r="K2383" s="26"/>
      <c r="L2383" s="26"/>
      <c r="M2383" s="26"/>
      <c r="N2383" s="27"/>
    </row>
    <row r="2384" spans="11:14" ht="15" customHeight="1" x14ac:dyDescent="0.25">
      <c r="K2384" s="26"/>
      <c r="L2384" s="26"/>
      <c r="M2384" s="26"/>
      <c r="N2384" s="27"/>
    </row>
    <row r="2385" spans="11:14" ht="15" customHeight="1" x14ac:dyDescent="0.25">
      <c r="K2385" s="26"/>
      <c r="L2385" s="26"/>
      <c r="M2385" s="26"/>
      <c r="N2385" s="27"/>
    </row>
    <row r="2386" spans="11:14" ht="15" customHeight="1" x14ac:dyDescent="0.25">
      <c r="K2386" s="26"/>
      <c r="L2386" s="26"/>
      <c r="M2386" s="26"/>
      <c r="N2386" s="27"/>
    </row>
    <row r="2387" spans="11:14" ht="15" customHeight="1" x14ac:dyDescent="0.25">
      <c r="K2387" s="26"/>
      <c r="L2387" s="26"/>
      <c r="M2387" s="26"/>
      <c r="N2387" s="27"/>
    </row>
    <row r="2388" spans="11:14" ht="15" customHeight="1" x14ac:dyDescent="0.25">
      <c r="K2388" s="26"/>
      <c r="L2388" s="26"/>
      <c r="M2388" s="26"/>
      <c r="N2388" s="27"/>
    </row>
    <row r="2389" spans="11:14" ht="15" customHeight="1" x14ac:dyDescent="0.25">
      <c r="K2389" s="26"/>
      <c r="L2389" s="26"/>
      <c r="M2389" s="26"/>
      <c r="N2389" s="27"/>
    </row>
    <row r="2390" spans="11:14" ht="15" customHeight="1" x14ac:dyDescent="0.25">
      <c r="K2390" s="26"/>
      <c r="L2390" s="26"/>
      <c r="M2390" s="26"/>
      <c r="N2390" s="27"/>
    </row>
    <row r="2391" spans="11:14" ht="15" customHeight="1" x14ac:dyDescent="0.25">
      <c r="K2391" s="26"/>
      <c r="L2391" s="26"/>
      <c r="M2391" s="26"/>
      <c r="N2391" s="27"/>
    </row>
    <row r="2392" spans="11:14" ht="15" customHeight="1" x14ac:dyDescent="0.25">
      <c r="K2392" s="26"/>
      <c r="L2392" s="26"/>
      <c r="M2392" s="26"/>
      <c r="N2392" s="27"/>
    </row>
    <row r="2393" spans="11:14" ht="15" customHeight="1" x14ac:dyDescent="0.25">
      <c r="K2393" s="26"/>
      <c r="L2393" s="26"/>
      <c r="M2393" s="26"/>
      <c r="N2393" s="27"/>
    </row>
    <row r="2394" spans="11:14" ht="15" customHeight="1" x14ac:dyDescent="0.25">
      <c r="K2394" s="26"/>
      <c r="L2394" s="26"/>
      <c r="M2394" s="26"/>
      <c r="N2394" s="27"/>
    </row>
    <row r="2395" spans="11:14" ht="15" customHeight="1" x14ac:dyDescent="0.25">
      <c r="K2395" s="26"/>
      <c r="L2395" s="26"/>
      <c r="M2395" s="26"/>
      <c r="N2395" s="27"/>
    </row>
    <row r="2396" spans="11:14" ht="15" customHeight="1" x14ac:dyDescent="0.25">
      <c r="K2396" s="26"/>
      <c r="L2396" s="26"/>
      <c r="M2396" s="26"/>
      <c r="N2396" s="27"/>
    </row>
    <row r="2397" spans="11:14" ht="15" customHeight="1" x14ac:dyDescent="0.25">
      <c r="K2397" s="26"/>
      <c r="L2397" s="26"/>
      <c r="M2397" s="26"/>
      <c r="N2397" s="27"/>
    </row>
    <row r="2398" spans="11:14" ht="15" customHeight="1" x14ac:dyDescent="0.25">
      <c r="K2398" s="26"/>
      <c r="L2398" s="26"/>
      <c r="M2398" s="26"/>
      <c r="N2398" s="27"/>
    </row>
    <row r="2399" spans="11:14" ht="15" customHeight="1" x14ac:dyDescent="0.25">
      <c r="K2399" s="26"/>
      <c r="L2399" s="26"/>
      <c r="M2399" s="26"/>
      <c r="N2399" s="27"/>
    </row>
    <row r="2400" spans="11:14" ht="15" customHeight="1" x14ac:dyDescent="0.25">
      <c r="K2400" s="26"/>
      <c r="L2400" s="26"/>
      <c r="M2400" s="26"/>
      <c r="N2400" s="27"/>
    </row>
    <row r="2401" spans="11:14" ht="15" customHeight="1" x14ac:dyDescent="0.25">
      <c r="K2401" s="26"/>
      <c r="L2401" s="26"/>
      <c r="M2401" s="26"/>
      <c r="N2401" s="27"/>
    </row>
    <row r="2402" spans="11:14" ht="15" customHeight="1" x14ac:dyDescent="0.25">
      <c r="K2402" s="26"/>
      <c r="L2402" s="26"/>
      <c r="M2402" s="26"/>
      <c r="N2402" s="27"/>
    </row>
    <row r="2403" spans="11:14" ht="15" customHeight="1" x14ac:dyDescent="0.25">
      <c r="K2403" s="26"/>
      <c r="L2403" s="26"/>
      <c r="M2403" s="26"/>
      <c r="N2403" s="27"/>
    </row>
    <row r="2404" spans="11:14" ht="15" customHeight="1" x14ac:dyDescent="0.25">
      <c r="K2404" s="26"/>
      <c r="L2404" s="26"/>
      <c r="M2404" s="26"/>
      <c r="N2404" s="27"/>
    </row>
    <row r="2405" spans="11:14" ht="15" customHeight="1" x14ac:dyDescent="0.25">
      <c r="K2405" s="26"/>
      <c r="L2405" s="26"/>
      <c r="M2405" s="26"/>
      <c r="N2405" s="27"/>
    </row>
    <row r="2406" spans="11:14" ht="15" customHeight="1" x14ac:dyDescent="0.25">
      <c r="K2406" s="26"/>
      <c r="L2406" s="26"/>
      <c r="M2406" s="26"/>
      <c r="N2406" s="27"/>
    </row>
    <row r="2407" spans="11:14" ht="15" customHeight="1" x14ac:dyDescent="0.25">
      <c r="K2407" s="26"/>
      <c r="L2407" s="26"/>
      <c r="M2407" s="26"/>
      <c r="N2407" s="27"/>
    </row>
    <row r="2408" spans="11:14" ht="15" customHeight="1" x14ac:dyDescent="0.25">
      <c r="K2408" s="26"/>
      <c r="L2408" s="26"/>
      <c r="M2408" s="26"/>
      <c r="N2408" s="27"/>
    </row>
    <row r="2409" spans="11:14" ht="15" customHeight="1" x14ac:dyDescent="0.25">
      <c r="K2409" s="26"/>
      <c r="L2409" s="26"/>
      <c r="M2409" s="26"/>
      <c r="N2409" s="27"/>
    </row>
    <row r="2410" spans="11:14" ht="15" customHeight="1" x14ac:dyDescent="0.25">
      <c r="K2410" s="26"/>
      <c r="L2410" s="26"/>
      <c r="M2410" s="26"/>
      <c r="N2410" s="27"/>
    </row>
    <row r="2411" spans="11:14" ht="15" customHeight="1" x14ac:dyDescent="0.25">
      <c r="K2411" s="26"/>
      <c r="L2411" s="26"/>
      <c r="M2411" s="26"/>
      <c r="N2411" s="27"/>
    </row>
    <row r="2412" spans="11:14" ht="15" customHeight="1" x14ac:dyDescent="0.25">
      <c r="K2412" s="26"/>
      <c r="L2412" s="26"/>
      <c r="M2412" s="26"/>
      <c r="N2412" s="27"/>
    </row>
    <row r="2413" spans="11:14" ht="15" customHeight="1" x14ac:dyDescent="0.25">
      <c r="K2413" s="26"/>
      <c r="L2413" s="26"/>
      <c r="M2413" s="26"/>
      <c r="N2413" s="27"/>
    </row>
    <row r="2414" spans="11:14" ht="15" customHeight="1" x14ac:dyDescent="0.25">
      <c r="K2414" s="26"/>
      <c r="L2414" s="26"/>
      <c r="M2414" s="26"/>
      <c r="N2414" s="27"/>
    </row>
    <row r="2415" spans="11:14" ht="15" customHeight="1" x14ac:dyDescent="0.25">
      <c r="K2415" s="26"/>
      <c r="L2415" s="26"/>
      <c r="M2415" s="26"/>
      <c r="N2415" s="27"/>
    </row>
    <row r="2416" spans="11:14" ht="15" customHeight="1" x14ac:dyDescent="0.25">
      <c r="K2416" s="26"/>
      <c r="L2416" s="26"/>
      <c r="M2416" s="26"/>
      <c r="N2416" s="27"/>
    </row>
    <row r="2417" spans="11:14" ht="15" customHeight="1" x14ac:dyDescent="0.25">
      <c r="K2417" s="26"/>
      <c r="L2417" s="26"/>
      <c r="M2417" s="26"/>
      <c r="N2417" s="27"/>
    </row>
    <row r="2418" spans="11:14" ht="15" customHeight="1" x14ac:dyDescent="0.25">
      <c r="K2418" s="26"/>
      <c r="L2418" s="26"/>
      <c r="M2418" s="26"/>
      <c r="N2418" s="27"/>
    </row>
    <row r="2419" spans="11:14" ht="15" customHeight="1" x14ac:dyDescent="0.25">
      <c r="K2419" s="26"/>
      <c r="L2419" s="26"/>
      <c r="M2419" s="26"/>
      <c r="N2419" s="27"/>
    </row>
    <row r="2420" spans="11:14" ht="15" customHeight="1" x14ac:dyDescent="0.25">
      <c r="K2420" s="26"/>
      <c r="L2420" s="26"/>
      <c r="M2420" s="26"/>
      <c r="N2420" s="27"/>
    </row>
    <row r="2421" spans="11:14" ht="15" customHeight="1" x14ac:dyDescent="0.25">
      <c r="K2421" s="26"/>
      <c r="L2421" s="26"/>
      <c r="M2421" s="26"/>
      <c r="N2421" s="27"/>
    </row>
    <row r="2422" spans="11:14" ht="15" customHeight="1" x14ac:dyDescent="0.25">
      <c r="K2422" s="26"/>
      <c r="L2422" s="26"/>
      <c r="M2422" s="26"/>
      <c r="N2422" s="27"/>
    </row>
    <row r="2423" spans="11:14" ht="15" customHeight="1" x14ac:dyDescent="0.25">
      <c r="K2423" s="26"/>
      <c r="L2423" s="26"/>
      <c r="M2423" s="26"/>
      <c r="N2423" s="27"/>
    </row>
    <row r="2424" spans="11:14" ht="15" customHeight="1" x14ac:dyDescent="0.25">
      <c r="K2424" s="26"/>
      <c r="L2424" s="26"/>
      <c r="M2424" s="26"/>
      <c r="N2424" s="27"/>
    </row>
    <row r="2425" spans="11:14" ht="15" customHeight="1" x14ac:dyDescent="0.25">
      <c r="K2425" s="26"/>
      <c r="L2425" s="26"/>
      <c r="M2425" s="26"/>
      <c r="N2425" s="27"/>
    </row>
    <row r="2426" spans="11:14" ht="15" customHeight="1" x14ac:dyDescent="0.25">
      <c r="K2426" s="26"/>
      <c r="L2426" s="26"/>
      <c r="M2426" s="26"/>
      <c r="N2426" s="27"/>
    </row>
    <row r="2427" spans="11:14" ht="15" customHeight="1" x14ac:dyDescent="0.25">
      <c r="K2427" s="26"/>
      <c r="L2427" s="26"/>
      <c r="M2427" s="26"/>
      <c r="N2427" s="27"/>
    </row>
    <row r="2428" spans="11:14" ht="15" customHeight="1" x14ac:dyDescent="0.25">
      <c r="K2428" s="26"/>
      <c r="L2428" s="26"/>
      <c r="M2428" s="26"/>
      <c r="N2428" s="27"/>
    </row>
    <row r="2429" spans="11:14" ht="15" customHeight="1" x14ac:dyDescent="0.25">
      <c r="K2429" s="26"/>
      <c r="L2429" s="26"/>
      <c r="M2429" s="26"/>
      <c r="N2429" s="27"/>
    </row>
    <row r="2430" spans="11:14" ht="15" customHeight="1" x14ac:dyDescent="0.25">
      <c r="K2430" s="26"/>
      <c r="L2430" s="26"/>
      <c r="M2430" s="26"/>
      <c r="N2430" s="27"/>
    </row>
    <row r="2431" spans="11:14" ht="15" customHeight="1" x14ac:dyDescent="0.25">
      <c r="K2431" s="26"/>
      <c r="L2431" s="26"/>
      <c r="M2431" s="26"/>
      <c r="N2431" s="27"/>
    </row>
    <row r="2432" spans="11:14" ht="15" customHeight="1" x14ac:dyDescent="0.25">
      <c r="K2432" s="26"/>
      <c r="L2432" s="26"/>
      <c r="M2432" s="26"/>
      <c r="N2432" s="27"/>
    </row>
    <row r="2433" spans="11:14" ht="15" customHeight="1" x14ac:dyDescent="0.25">
      <c r="K2433" s="26"/>
      <c r="L2433" s="26"/>
      <c r="M2433" s="26"/>
      <c r="N2433" s="27"/>
    </row>
    <row r="2434" spans="11:14" ht="15" customHeight="1" x14ac:dyDescent="0.25">
      <c r="K2434" s="26"/>
      <c r="L2434" s="26"/>
      <c r="M2434" s="26"/>
      <c r="N2434" s="27"/>
    </row>
    <row r="2435" spans="11:14" ht="15" customHeight="1" x14ac:dyDescent="0.25">
      <c r="K2435" s="26"/>
      <c r="L2435" s="26"/>
      <c r="M2435" s="26"/>
      <c r="N2435" s="27"/>
    </row>
    <row r="2436" spans="11:14" ht="15" customHeight="1" x14ac:dyDescent="0.25">
      <c r="K2436" s="26"/>
      <c r="L2436" s="26"/>
      <c r="M2436" s="26"/>
      <c r="N2436" s="27"/>
    </row>
    <row r="2437" spans="11:14" ht="15" customHeight="1" x14ac:dyDescent="0.25">
      <c r="K2437" s="26"/>
      <c r="L2437" s="26"/>
      <c r="M2437" s="26"/>
      <c r="N2437" s="27"/>
    </row>
    <row r="2438" spans="11:14" ht="15" customHeight="1" x14ac:dyDescent="0.25">
      <c r="K2438" s="26"/>
      <c r="L2438" s="26"/>
      <c r="M2438" s="26"/>
      <c r="N2438" s="27"/>
    </row>
    <row r="2439" spans="11:14" ht="15" customHeight="1" x14ac:dyDescent="0.25">
      <c r="K2439" s="26"/>
      <c r="L2439" s="26"/>
      <c r="M2439" s="26"/>
      <c r="N2439" s="27"/>
    </row>
    <row r="2440" spans="11:14" ht="15" customHeight="1" x14ac:dyDescent="0.25">
      <c r="K2440" s="26"/>
      <c r="L2440" s="26"/>
      <c r="M2440" s="26"/>
      <c r="N2440" s="27"/>
    </row>
    <row r="2441" spans="11:14" ht="15" customHeight="1" x14ac:dyDescent="0.25">
      <c r="K2441" s="26"/>
      <c r="L2441" s="26"/>
      <c r="M2441" s="26"/>
      <c r="N2441" s="27"/>
    </row>
    <row r="2442" spans="11:14" ht="15" customHeight="1" x14ac:dyDescent="0.25">
      <c r="K2442" s="26"/>
      <c r="L2442" s="26"/>
      <c r="M2442" s="26"/>
      <c r="N2442" s="27"/>
    </row>
    <row r="2443" spans="11:14" ht="15" customHeight="1" x14ac:dyDescent="0.25">
      <c r="K2443" s="26"/>
      <c r="L2443" s="26"/>
      <c r="M2443" s="26"/>
      <c r="N2443" s="27"/>
    </row>
    <row r="2444" spans="11:14" ht="15" customHeight="1" x14ac:dyDescent="0.25">
      <c r="K2444" s="26"/>
      <c r="L2444" s="26"/>
      <c r="M2444" s="26"/>
      <c r="N2444" s="27"/>
    </row>
    <row r="2445" spans="11:14" ht="15" customHeight="1" x14ac:dyDescent="0.25">
      <c r="K2445" s="26"/>
      <c r="L2445" s="26"/>
      <c r="M2445" s="26"/>
      <c r="N2445" s="27"/>
    </row>
    <row r="2446" spans="11:14" ht="15" customHeight="1" x14ac:dyDescent="0.25">
      <c r="K2446" s="26"/>
      <c r="L2446" s="26"/>
      <c r="M2446" s="26"/>
      <c r="N2446" s="27"/>
    </row>
    <row r="2447" spans="11:14" ht="15" customHeight="1" x14ac:dyDescent="0.25">
      <c r="K2447" s="26"/>
      <c r="L2447" s="26"/>
      <c r="M2447" s="26"/>
      <c r="N2447" s="27"/>
    </row>
    <row r="2448" spans="11:14" ht="15" customHeight="1" x14ac:dyDescent="0.25">
      <c r="K2448" s="26"/>
      <c r="L2448" s="26"/>
      <c r="M2448" s="26"/>
      <c r="N2448" s="27"/>
    </row>
    <row r="2449" spans="11:14" ht="15" customHeight="1" x14ac:dyDescent="0.25">
      <c r="K2449" s="26"/>
      <c r="L2449" s="26"/>
      <c r="M2449" s="26"/>
      <c r="N2449" s="27"/>
    </row>
    <row r="2450" spans="11:14" ht="15" customHeight="1" x14ac:dyDescent="0.25">
      <c r="K2450" s="26"/>
      <c r="L2450" s="26"/>
      <c r="M2450" s="26"/>
      <c r="N2450" s="27"/>
    </row>
    <row r="2451" spans="11:14" ht="15" customHeight="1" x14ac:dyDescent="0.25">
      <c r="K2451" s="26"/>
      <c r="L2451" s="26"/>
      <c r="M2451" s="26"/>
      <c r="N2451" s="27"/>
    </row>
    <row r="2452" spans="11:14" ht="15" customHeight="1" x14ac:dyDescent="0.25">
      <c r="K2452" s="26"/>
      <c r="L2452" s="26"/>
      <c r="M2452" s="26"/>
      <c r="N2452" s="27"/>
    </row>
    <row r="2453" spans="11:14" ht="15" customHeight="1" x14ac:dyDescent="0.25">
      <c r="K2453" s="26"/>
      <c r="L2453" s="26"/>
      <c r="M2453" s="26"/>
      <c r="N2453" s="27"/>
    </row>
    <row r="2454" spans="11:14" ht="15" customHeight="1" x14ac:dyDescent="0.25">
      <c r="K2454" s="26"/>
      <c r="L2454" s="26"/>
      <c r="M2454" s="26"/>
      <c r="N2454" s="27"/>
    </row>
    <row r="2455" spans="11:14" ht="15" customHeight="1" x14ac:dyDescent="0.25">
      <c r="K2455" s="26"/>
      <c r="L2455" s="26"/>
      <c r="M2455" s="26"/>
      <c r="N2455" s="27"/>
    </row>
    <row r="2456" spans="11:14" ht="15" customHeight="1" x14ac:dyDescent="0.25">
      <c r="K2456" s="26"/>
      <c r="L2456" s="26"/>
      <c r="M2456" s="26"/>
      <c r="N2456" s="27"/>
    </row>
    <row r="2457" spans="11:14" ht="15" customHeight="1" x14ac:dyDescent="0.25">
      <c r="K2457" s="26"/>
      <c r="L2457" s="26"/>
      <c r="M2457" s="26"/>
      <c r="N2457" s="27"/>
    </row>
    <row r="2458" spans="11:14" ht="15" customHeight="1" x14ac:dyDescent="0.25">
      <c r="K2458" s="26"/>
      <c r="L2458" s="26"/>
      <c r="M2458" s="26"/>
      <c r="N2458" s="27"/>
    </row>
    <row r="2459" spans="11:14" ht="15" customHeight="1" x14ac:dyDescent="0.25">
      <c r="K2459" s="26"/>
      <c r="L2459" s="26"/>
      <c r="M2459" s="26"/>
      <c r="N2459" s="27"/>
    </row>
    <row r="2460" spans="11:14" ht="15" customHeight="1" x14ac:dyDescent="0.25">
      <c r="K2460" s="26"/>
      <c r="L2460" s="26"/>
      <c r="M2460" s="26"/>
      <c r="N2460" s="27"/>
    </row>
    <row r="2461" spans="11:14" ht="15" customHeight="1" x14ac:dyDescent="0.25">
      <c r="K2461" s="26"/>
      <c r="L2461" s="26"/>
      <c r="M2461" s="26"/>
      <c r="N2461" s="27"/>
    </row>
    <row r="2462" spans="11:14" ht="15" customHeight="1" x14ac:dyDescent="0.25">
      <c r="K2462" s="26"/>
      <c r="L2462" s="26"/>
      <c r="M2462" s="26"/>
      <c r="N2462" s="27"/>
    </row>
    <row r="2463" spans="11:14" ht="15" customHeight="1" x14ac:dyDescent="0.25">
      <c r="K2463" s="26"/>
      <c r="L2463" s="26"/>
      <c r="M2463" s="26"/>
      <c r="N2463" s="27"/>
    </row>
    <row r="2464" spans="11:14" ht="15" customHeight="1" x14ac:dyDescent="0.25">
      <c r="K2464" s="26"/>
      <c r="L2464" s="26"/>
      <c r="M2464" s="26"/>
      <c r="N2464" s="27"/>
    </row>
    <row r="2465" spans="11:14" ht="15" customHeight="1" x14ac:dyDescent="0.25">
      <c r="K2465" s="26"/>
      <c r="L2465" s="26"/>
      <c r="M2465" s="26"/>
      <c r="N2465" s="27"/>
    </row>
    <row r="2466" spans="11:14" ht="15" customHeight="1" x14ac:dyDescent="0.25">
      <c r="K2466" s="26"/>
      <c r="L2466" s="26"/>
      <c r="M2466" s="26"/>
      <c r="N2466" s="27"/>
    </row>
    <row r="2467" spans="11:14" ht="15" customHeight="1" x14ac:dyDescent="0.25">
      <c r="K2467" s="26"/>
      <c r="L2467" s="26"/>
      <c r="M2467" s="26"/>
      <c r="N2467" s="27"/>
    </row>
    <row r="2468" spans="11:14" ht="15" customHeight="1" x14ac:dyDescent="0.25">
      <c r="K2468" s="26"/>
      <c r="L2468" s="26"/>
      <c r="M2468" s="26"/>
      <c r="N2468" s="27"/>
    </row>
    <row r="2469" spans="11:14" ht="15" customHeight="1" x14ac:dyDescent="0.25">
      <c r="K2469" s="26"/>
      <c r="L2469" s="26"/>
      <c r="M2469" s="26"/>
      <c r="N2469" s="27"/>
    </row>
    <row r="2470" spans="11:14" ht="15" customHeight="1" x14ac:dyDescent="0.25">
      <c r="K2470" s="26"/>
      <c r="L2470" s="26"/>
      <c r="M2470" s="26"/>
      <c r="N2470" s="27"/>
    </row>
    <row r="2471" spans="11:14" ht="15" customHeight="1" x14ac:dyDescent="0.25">
      <c r="K2471" s="26"/>
      <c r="L2471" s="26"/>
      <c r="M2471" s="26"/>
      <c r="N2471" s="27"/>
    </row>
    <row r="2472" spans="11:14" ht="15" customHeight="1" x14ac:dyDescent="0.25">
      <c r="K2472" s="26"/>
      <c r="L2472" s="26"/>
      <c r="M2472" s="26"/>
      <c r="N2472" s="27"/>
    </row>
    <row r="2473" spans="11:14" ht="15" customHeight="1" x14ac:dyDescent="0.25">
      <c r="K2473" s="26"/>
      <c r="L2473" s="26"/>
      <c r="M2473" s="26"/>
      <c r="N2473" s="27"/>
    </row>
    <row r="2474" spans="11:14" ht="15" customHeight="1" x14ac:dyDescent="0.25">
      <c r="K2474" s="26"/>
      <c r="L2474" s="26"/>
      <c r="M2474" s="26"/>
      <c r="N2474" s="27"/>
    </row>
    <row r="2475" spans="11:14" ht="15" customHeight="1" x14ac:dyDescent="0.25">
      <c r="K2475" s="26"/>
      <c r="L2475" s="26"/>
      <c r="M2475" s="26"/>
      <c r="N2475" s="27"/>
    </row>
    <row r="2476" spans="11:14" ht="15" customHeight="1" x14ac:dyDescent="0.25">
      <c r="K2476" s="26"/>
      <c r="L2476" s="26"/>
      <c r="M2476" s="26"/>
      <c r="N2476" s="27"/>
    </row>
    <row r="2477" spans="11:14" ht="15" customHeight="1" x14ac:dyDescent="0.25">
      <c r="K2477" s="26"/>
      <c r="L2477" s="26"/>
      <c r="M2477" s="26"/>
      <c r="N2477" s="27"/>
    </row>
    <row r="2478" spans="11:14" ht="15" customHeight="1" x14ac:dyDescent="0.25">
      <c r="K2478" s="26"/>
      <c r="L2478" s="26"/>
      <c r="M2478" s="26"/>
      <c r="N2478" s="27"/>
    </row>
    <row r="2479" spans="11:14" ht="15" customHeight="1" x14ac:dyDescent="0.25">
      <c r="K2479" s="26"/>
      <c r="L2479" s="26"/>
      <c r="M2479" s="26"/>
      <c r="N2479" s="27"/>
    </row>
    <row r="2480" spans="11:14" ht="15" customHeight="1" x14ac:dyDescent="0.25">
      <c r="K2480" s="26"/>
      <c r="L2480" s="26"/>
      <c r="M2480" s="26"/>
      <c r="N2480" s="27"/>
    </row>
    <row r="2481" spans="11:14" ht="15" customHeight="1" x14ac:dyDescent="0.25">
      <c r="K2481" s="26"/>
      <c r="L2481" s="26"/>
      <c r="M2481" s="26"/>
      <c r="N2481" s="27"/>
    </row>
    <row r="2482" spans="11:14" ht="15" customHeight="1" x14ac:dyDescent="0.25">
      <c r="K2482" s="26"/>
      <c r="L2482" s="26"/>
      <c r="M2482" s="26"/>
      <c r="N2482" s="27"/>
    </row>
    <row r="2483" spans="11:14" ht="15" customHeight="1" x14ac:dyDescent="0.25">
      <c r="K2483" s="26"/>
      <c r="L2483" s="26"/>
      <c r="M2483" s="26"/>
      <c r="N2483" s="27"/>
    </row>
    <row r="2484" spans="11:14" ht="15" customHeight="1" x14ac:dyDescent="0.25">
      <c r="K2484" s="26"/>
      <c r="L2484" s="26"/>
      <c r="M2484" s="26"/>
      <c r="N2484" s="27"/>
    </row>
    <row r="2485" spans="11:14" ht="15" customHeight="1" x14ac:dyDescent="0.25">
      <c r="K2485" s="26"/>
      <c r="L2485" s="26"/>
      <c r="M2485" s="26"/>
      <c r="N2485" s="27"/>
    </row>
    <row r="2486" spans="11:14" ht="15" customHeight="1" x14ac:dyDescent="0.25">
      <c r="K2486" s="26"/>
      <c r="L2486" s="26"/>
      <c r="M2486" s="26"/>
      <c r="N2486" s="27"/>
    </row>
    <row r="2487" spans="11:14" ht="15" customHeight="1" x14ac:dyDescent="0.25">
      <c r="K2487" s="26"/>
      <c r="L2487" s="26"/>
      <c r="M2487" s="26"/>
      <c r="N2487" s="27"/>
    </row>
    <row r="2488" spans="11:14" ht="15" customHeight="1" x14ac:dyDescent="0.25">
      <c r="K2488" s="26"/>
      <c r="L2488" s="26"/>
      <c r="M2488" s="26"/>
      <c r="N2488" s="27"/>
    </row>
    <row r="2489" spans="11:14" ht="15" customHeight="1" x14ac:dyDescent="0.25">
      <c r="K2489" s="26"/>
      <c r="L2489" s="26"/>
      <c r="M2489" s="26"/>
      <c r="N2489" s="27"/>
    </row>
    <row r="2490" spans="11:14" ht="15" customHeight="1" x14ac:dyDescent="0.25">
      <c r="K2490" s="26"/>
      <c r="L2490" s="26"/>
      <c r="M2490" s="26"/>
      <c r="N2490" s="27"/>
    </row>
    <row r="2491" spans="11:14" ht="15" customHeight="1" x14ac:dyDescent="0.25">
      <c r="K2491" s="26"/>
      <c r="L2491" s="26"/>
      <c r="M2491" s="26"/>
      <c r="N2491" s="27"/>
    </row>
    <row r="2492" spans="11:14" ht="15" customHeight="1" x14ac:dyDescent="0.25">
      <c r="K2492" s="26"/>
      <c r="L2492" s="26"/>
      <c r="M2492" s="26"/>
      <c r="N2492" s="27"/>
    </row>
    <row r="2493" spans="11:14" ht="15" customHeight="1" x14ac:dyDescent="0.25">
      <c r="K2493" s="26"/>
      <c r="L2493" s="26"/>
      <c r="M2493" s="26"/>
      <c r="N2493" s="27"/>
    </row>
    <row r="2494" spans="11:14" ht="15" customHeight="1" x14ac:dyDescent="0.25">
      <c r="K2494" s="26"/>
      <c r="L2494" s="26"/>
      <c r="M2494" s="26"/>
      <c r="N2494" s="27"/>
    </row>
    <row r="2495" spans="11:14" ht="15" customHeight="1" x14ac:dyDescent="0.25">
      <c r="K2495" s="26"/>
      <c r="L2495" s="26"/>
      <c r="M2495" s="26"/>
      <c r="N2495" s="27"/>
    </row>
    <row r="2496" spans="11:14" ht="15" customHeight="1" x14ac:dyDescent="0.25">
      <c r="K2496" s="26"/>
      <c r="L2496" s="26"/>
      <c r="M2496" s="26"/>
      <c r="N2496" s="27"/>
    </row>
    <row r="2497" spans="11:14" ht="15" customHeight="1" x14ac:dyDescent="0.25">
      <c r="K2497" s="26"/>
      <c r="L2497" s="26"/>
      <c r="M2497" s="26"/>
      <c r="N2497" s="27"/>
    </row>
    <row r="2498" spans="11:14" ht="15" customHeight="1" x14ac:dyDescent="0.25">
      <c r="K2498" s="26"/>
      <c r="L2498" s="26"/>
      <c r="M2498" s="26"/>
      <c r="N2498" s="27"/>
    </row>
    <row r="2499" spans="11:14" ht="15" customHeight="1" x14ac:dyDescent="0.25">
      <c r="K2499" s="26"/>
      <c r="L2499" s="26"/>
      <c r="M2499" s="26"/>
      <c r="N2499" s="27"/>
    </row>
    <row r="2500" spans="11:14" ht="15" customHeight="1" x14ac:dyDescent="0.25">
      <c r="K2500" s="26"/>
      <c r="L2500" s="26"/>
      <c r="M2500" s="26"/>
      <c r="N2500" s="27"/>
    </row>
    <row r="2501" spans="11:14" ht="15" customHeight="1" x14ac:dyDescent="0.25">
      <c r="K2501" s="26"/>
      <c r="L2501" s="26"/>
      <c r="M2501" s="26"/>
      <c r="N2501" s="27"/>
    </row>
    <row r="2502" spans="11:14" ht="15" customHeight="1" x14ac:dyDescent="0.25">
      <c r="K2502" s="26"/>
      <c r="L2502" s="26"/>
      <c r="M2502" s="26"/>
      <c r="N2502" s="27"/>
    </row>
    <row r="2503" spans="11:14" ht="15" customHeight="1" x14ac:dyDescent="0.25">
      <c r="K2503" s="26"/>
      <c r="L2503" s="26"/>
      <c r="M2503" s="26"/>
      <c r="N2503" s="27"/>
    </row>
    <row r="2504" spans="11:14" ht="15" customHeight="1" x14ac:dyDescent="0.25">
      <c r="K2504" s="26"/>
      <c r="L2504" s="26"/>
      <c r="M2504" s="26"/>
      <c r="N2504" s="27"/>
    </row>
    <row r="2505" spans="11:14" ht="15" customHeight="1" x14ac:dyDescent="0.25">
      <c r="K2505" s="26"/>
      <c r="L2505" s="26"/>
      <c r="M2505" s="26"/>
      <c r="N2505" s="27"/>
    </row>
    <row r="2506" spans="11:14" ht="15" customHeight="1" x14ac:dyDescent="0.25">
      <c r="K2506" s="26"/>
      <c r="L2506" s="26"/>
      <c r="M2506" s="26"/>
      <c r="N2506" s="27"/>
    </row>
    <row r="2507" spans="11:14" ht="15" customHeight="1" x14ac:dyDescent="0.25">
      <c r="K2507" s="26"/>
      <c r="L2507" s="26"/>
      <c r="M2507" s="26"/>
      <c r="N2507" s="27"/>
    </row>
    <row r="2508" spans="11:14" ht="15" customHeight="1" x14ac:dyDescent="0.25">
      <c r="K2508" s="26"/>
      <c r="L2508" s="26"/>
      <c r="M2508" s="26"/>
      <c r="N2508" s="27"/>
    </row>
    <row r="2509" spans="11:14" ht="15" customHeight="1" x14ac:dyDescent="0.25">
      <c r="K2509" s="26"/>
      <c r="L2509" s="26"/>
      <c r="M2509" s="26"/>
      <c r="N2509" s="27"/>
    </row>
    <row r="2510" spans="11:14" ht="15" customHeight="1" x14ac:dyDescent="0.25">
      <c r="K2510" s="26"/>
      <c r="L2510" s="26"/>
      <c r="M2510" s="26"/>
      <c r="N2510" s="27"/>
    </row>
    <row r="2511" spans="11:14" ht="15" customHeight="1" x14ac:dyDescent="0.25">
      <c r="K2511" s="26"/>
      <c r="L2511" s="26"/>
      <c r="M2511" s="26"/>
      <c r="N2511" s="27"/>
    </row>
    <row r="2512" spans="11:14" ht="15" customHeight="1" x14ac:dyDescent="0.25">
      <c r="K2512" s="26"/>
      <c r="L2512" s="26"/>
      <c r="M2512" s="26"/>
      <c r="N2512" s="27"/>
    </row>
    <row r="2513" spans="11:14" ht="15" customHeight="1" x14ac:dyDescent="0.25">
      <c r="K2513" s="26"/>
      <c r="L2513" s="26"/>
      <c r="M2513" s="26"/>
      <c r="N2513" s="27"/>
    </row>
    <row r="2514" spans="11:14" ht="15" customHeight="1" x14ac:dyDescent="0.25">
      <c r="K2514" s="26"/>
      <c r="L2514" s="26"/>
      <c r="M2514" s="26"/>
      <c r="N2514" s="27"/>
    </row>
    <row r="2515" spans="11:14" ht="15" customHeight="1" x14ac:dyDescent="0.25">
      <c r="K2515" s="26"/>
      <c r="L2515" s="26"/>
      <c r="M2515" s="26"/>
      <c r="N2515" s="27"/>
    </row>
    <row r="2516" spans="11:14" ht="15" customHeight="1" x14ac:dyDescent="0.25">
      <c r="K2516" s="26"/>
      <c r="L2516" s="26"/>
      <c r="M2516" s="26"/>
      <c r="N2516" s="27"/>
    </row>
    <row r="2517" spans="11:14" ht="15" customHeight="1" x14ac:dyDescent="0.25">
      <c r="K2517" s="26"/>
      <c r="L2517" s="26"/>
      <c r="M2517" s="26"/>
      <c r="N2517" s="27"/>
    </row>
    <row r="2518" spans="11:14" ht="15" customHeight="1" x14ac:dyDescent="0.25">
      <c r="K2518" s="26"/>
      <c r="L2518" s="26"/>
      <c r="M2518" s="26"/>
      <c r="N2518" s="27"/>
    </row>
    <row r="2519" spans="11:14" ht="15" customHeight="1" x14ac:dyDescent="0.25">
      <c r="K2519" s="26"/>
      <c r="L2519" s="26"/>
      <c r="M2519" s="26"/>
      <c r="N2519" s="27"/>
    </row>
    <row r="2520" spans="11:14" ht="15" customHeight="1" x14ac:dyDescent="0.25">
      <c r="K2520" s="26"/>
      <c r="L2520" s="26"/>
      <c r="M2520" s="26"/>
      <c r="N2520" s="27"/>
    </row>
    <row r="2521" spans="11:14" ht="15" customHeight="1" x14ac:dyDescent="0.25">
      <c r="K2521" s="26"/>
      <c r="L2521" s="26"/>
      <c r="M2521" s="26"/>
      <c r="N2521" s="27"/>
    </row>
    <row r="2522" spans="11:14" ht="15" customHeight="1" x14ac:dyDescent="0.25">
      <c r="K2522" s="26"/>
      <c r="L2522" s="26"/>
      <c r="M2522" s="26"/>
      <c r="N2522" s="27"/>
    </row>
    <row r="2523" spans="11:14" ht="15" customHeight="1" x14ac:dyDescent="0.25">
      <c r="K2523" s="26"/>
      <c r="L2523" s="26"/>
      <c r="M2523" s="26"/>
      <c r="N2523" s="27"/>
    </row>
    <row r="2524" spans="11:14" ht="15" customHeight="1" x14ac:dyDescent="0.25">
      <c r="K2524" s="26"/>
      <c r="L2524" s="26"/>
      <c r="M2524" s="26"/>
      <c r="N2524" s="27"/>
    </row>
    <row r="2525" spans="11:14" ht="15" customHeight="1" x14ac:dyDescent="0.25">
      <c r="K2525" s="26"/>
      <c r="L2525" s="26"/>
      <c r="M2525" s="26"/>
      <c r="N2525" s="27"/>
    </row>
    <row r="2526" spans="11:14" ht="15" customHeight="1" x14ac:dyDescent="0.25">
      <c r="K2526" s="26"/>
      <c r="L2526" s="26"/>
      <c r="M2526" s="26"/>
      <c r="N2526" s="27"/>
    </row>
    <row r="2527" spans="11:14" ht="15" customHeight="1" x14ac:dyDescent="0.25">
      <c r="K2527" s="26"/>
      <c r="L2527" s="26"/>
      <c r="M2527" s="26"/>
      <c r="N2527" s="27"/>
    </row>
    <row r="2528" spans="11:14" ht="15" customHeight="1" x14ac:dyDescent="0.25">
      <c r="K2528" s="26"/>
      <c r="L2528" s="26"/>
      <c r="M2528" s="26"/>
      <c r="N2528" s="27"/>
    </row>
    <row r="2529" spans="11:14" ht="15" customHeight="1" x14ac:dyDescent="0.25">
      <c r="K2529" s="26"/>
      <c r="L2529" s="26"/>
      <c r="M2529" s="26"/>
      <c r="N2529" s="27"/>
    </row>
    <row r="2530" spans="11:14" ht="15" customHeight="1" x14ac:dyDescent="0.25">
      <c r="K2530" s="26"/>
      <c r="L2530" s="26"/>
      <c r="M2530" s="26"/>
      <c r="N2530" s="27"/>
    </row>
    <row r="2531" spans="11:14" ht="15" customHeight="1" x14ac:dyDescent="0.25">
      <c r="K2531" s="26"/>
      <c r="L2531" s="26"/>
      <c r="M2531" s="26"/>
      <c r="N2531" s="27"/>
    </row>
    <row r="2532" spans="11:14" ht="15" customHeight="1" x14ac:dyDescent="0.25">
      <c r="K2532" s="26"/>
      <c r="L2532" s="26"/>
      <c r="M2532" s="26"/>
      <c r="N2532" s="27"/>
    </row>
    <row r="2533" spans="11:14" ht="15" customHeight="1" x14ac:dyDescent="0.25">
      <c r="K2533" s="26"/>
      <c r="L2533" s="26"/>
      <c r="M2533" s="26"/>
      <c r="N2533" s="27"/>
    </row>
    <row r="2534" spans="11:14" ht="15" customHeight="1" x14ac:dyDescent="0.25">
      <c r="K2534" s="26"/>
      <c r="L2534" s="26"/>
      <c r="M2534" s="26"/>
      <c r="N2534" s="27"/>
    </row>
    <row r="2535" spans="11:14" ht="15" customHeight="1" x14ac:dyDescent="0.25">
      <c r="K2535" s="26"/>
      <c r="L2535" s="26"/>
      <c r="M2535" s="26"/>
      <c r="N2535" s="27"/>
    </row>
    <row r="2536" spans="11:14" ht="15" customHeight="1" x14ac:dyDescent="0.25">
      <c r="K2536" s="26"/>
      <c r="L2536" s="26"/>
      <c r="M2536" s="26"/>
      <c r="N2536" s="27"/>
    </row>
    <row r="2537" spans="11:14" ht="15" customHeight="1" x14ac:dyDescent="0.25">
      <c r="K2537" s="26"/>
      <c r="L2537" s="26"/>
      <c r="M2537" s="26"/>
      <c r="N2537" s="27"/>
    </row>
    <row r="2538" spans="11:14" ht="15" customHeight="1" x14ac:dyDescent="0.25">
      <c r="K2538" s="26"/>
      <c r="L2538" s="26"/>
      <c r="M2538" s="26"/>
      <c r="N2538" s="27"/>
    </row>
    <row r="2539" spans="11:14" ht="15" customHeight="1" x14ac:dyDescent="0.25">
      <c r="K2539" s="26"/>
      <c r="L2539" s="26"/>
      <c r="M2539" s="26"/>
      <c r="N2539" s="27"/>
    </row>
    <row r="2540" spans="11:14" ht="15" customHeight="1" x14ac:dyDescent="0.25">
      <c r="K2540" s="26"/>
      <c r="L2540" s="26"/>
      <c r="M2540" s="26"/>
      <c r="N2540" s="27"/>
    </row>
    <row r="2541" spans="11:14" ht="15" customHeight="1" x14ac:dyDescent="0.25">
      <c r="K2541" s="26"/>
      <c r="L2541" s="26"/>
      <c r="M2541" s="26"/>
      <c r="N2541" s="27"/>
    </row>
    <row r="2542" spans="11:14" ht="15" customHeight="1" x14ac:dyDescent="0.25">
      <c r="K2542" s="26"/>
      <c r="L2542" s="26"/>
      <c r="M2542" s="26"/>
      <c r="N2542" s="27"/>
    </row>
    <row r="2543" spans="11:14" ht="15" customHeight="1" x14ac:dyDescent="0.25">
      <c r="K2543" s="26"/>
      <c r="L2543" s="26"/>
      <c r="M2543" s="26"/>
      <c r="N2543" s="27"/>
    </row>
    <row r="2544" spans="11:14" ht="15" customHeight="1" x14ac:dyDescent="0.25">
      <c r="K2544" s="26"/>
      <c r="L2544" s="26"/>
      <c r="M2544" s="26"/>
      <c r="N2544" s="27"/>
    </row>
    <row r="2545" spans="11:14" ht="15" customHeight="1" x14ac:dyDescent="0.25">
      <c r="K2545" s="26"/>
      <c r="L2545" s="26"/>
      <c r="M2545" s="26"/>
      <c r="N2545" s="27"/>
    </row>
    <row r="2546" spans="11:14" ht="15" customHeight="1" x14ac:dyDescent="0.25">
      <c r="K2546" s="26"/>
      <c r="L2546" s="26"/>
      <c r="M2546" s="26"/>
      <c r="N2546" s="27"/>
    </row>
    <row r="2547" spans="11:14" ht="15" customHeight="1" x14ac:dyDescent="0.25">
      <c r="K2547" s="26"/>
      <c r="L2547" s="26"/>
      <c r="M2547" s="26"/>
      <c r="N2547" s="27"/>
    </row>
    <row r="2548" spans="11:14" ht="15" customHeight="1" x14ac:dyDescent="0.25">
      <c r="K2548" s="26"/>
      <c r="L2548" s="26"/>
      <c r="M2548" s="26"/>
      <c r="N2548" s="27"/>
    </row>
    <row r="2549" spans="11:14" ht="15" customHeight="1" x14ac:dyDescent="0.25">
      <c r="K2549" s="26"/>
      <c r="L2549" s="26"/>
      <c r="M2549" s="26"/>
      <c r="N2549" s="27"/>
    </row>
    <row r="2550" spans="11:14" ht="15" customHeight="1" x14ac:dyDescent="0.25">
      <c r="K2550" s="26"/>
      <c r="L2550" s="26"/>
      <c r="M2550" s="26"/>
      <c r="N2550" s="27"/>
    </row>
    <row r="2551" spans="11:14" ht="15" customHeight="1" x14ac:dyDescent="0.25">
      <c r="K2551" s="26"/>
      <c r="L2551" s="26"/>
      <c r="M2551" s="26"/>
      <c r="N2551" s="27"/>
    </row>
    <row r="2552" spans="11:14" ht="15" customHeight="1" x14ac:dyDescent="0.25">
      <c r="K2552" s="26"/>
      <c r="L2552" s="26"/>
      <c r="M2552" s="26"/>
      <c r="N2552" s="27"/>
    </row>
    <row r="2553" spans="11:14" ht="15" customHeight="1" x14ac:dyDescent="0.25">
      <c r="K2553" s="26"/>
      <c r="L2553" s="26"/>
      <c r="M2553" s="26"/>
      <c r="N2553" s="27"/>
    </row>
    <row r="2554" spans="11:14" ht="15" customHeight="1" x14ac:dyDescent="0.25">
      <c r="K2554" s="26"/>
      <c r="L2554" s="26"/>
      <c r="M2554" s="26"/>
      <c r="N2554" s="27"/>
    </row>
    <row r="2555" spans="11:14" ht="15" customHeight="1" x14ac:dyDescent="0.25">
      <c r="K2555" s="26"/>
      <c r="L2555" s="26"/>
      <c r="M2555" s="26"/>
      <c r="N2555" s="27"/>
    </row>
    <row r="2556" spans="11:14" ht="15" customHeight="1" x14ac:dyDescent="0.25">
      <c r="K2556" s="26"/>
      <c r="L2556" s="26"/>
      <c r="M2556" s="26"/>
      <c r="N2556" s="27"/>
    </row>
    <row r="2557" spans="11:14" ht="15" customHeight="1" x14ac:dyDescent="0.25">
      <c r="K2557" s="26"/>
      <c r="L2557" s="26"/>
      <c r="M2557" s="26"/>
      <c r="N2557" s="27"/>
    </row>
    <row r="2558" spans="11:14" ht="15" customHeight="1" x14ac:dyDescent="0.25">
      <c r="K2558" s="26"/>
      <c r="L2558" s="26"/>
      <c r="M2558" s="26"/>
      <c r="N2558" s="27"/>
    </row>
    <row r="2559" spans="11:14" ht="15" customHeight="1" x14ac:dyDescent="0.25">
      <c r="K2559" s="26"/>
      <c r="L2559" s="26"/>
      <c r="M2559" s="26"/>
      <c r="N2559" s="27"/>
    </row>
    <row r="2560" spans="11:14" ht="15" customHeight="1" x14ac:dyDescent="0.25">
      <c r="K2560" s="26"/>
      <c r="L2560" s="26"/>
      <c r="M2560" s="26"/>
      <c r="N2560" s="27"/>
    </row>
    <row r="2561" spans="11:14" ht="15" customHeight="1" x14ac:dyDescent="0.25">
      <c r="K2561" s="26"/>
      <c r="L2561" s="26"/>
      <c r="M2561" s="26"/>
      <c r="N2561" s="27"/>
    </row>
    <row r="2562" spans="11:14" ht="15" customHeight="1" x14ac:dyDescent="0.25">
      <c r="K2562" s="26"/>
      <c r="L2562" s="26"/>
      <c r="M2562" s="26"/>
      <c r="N2562" s="27"/>
    </row>
    <row r="2563" spans="11:14" ht="15" customHeight="1" x14ac:dyDescent="0.25">
      <c r="K2563" s="26"/>
      <c r="L2563" s="26"/>
      <c r="M2563" s="26"/>
      <c r="N2563" s="27"/>
    </row>
    <row r="2564" spans="11:14" ht="15" customHeight="1" x14ac:dyDescent="0.25">
      <c r="K2564" s="26"/>
      <c r="L2564" s="26"/>
      <c r="M2564" s="26"/>
      <c r="N2564" s="27"/>
    </row>
    <row r="2565" spans="11:14" ht="15" customHeight="1" x14ac:dyDescent="0.25">
      <c r="K2565" s="26"/>
      <c r="L2565" s="26"/>
      <c r="M2565" s="26"/>
      <c r="N2565" s="27"/>
    </row>
    <row r="2566" spans="11:14" ht="15" customHeight="1" x14ac:dyDescent="0.25">
      <c r="K2566" s="26"/>
      <c r="L2566" s="26"/>
      <c r="M2566" s="26"/>
      <c r="N2566" s="27"/>
    </row>
    <row r="2567" spans="11:14" ht="15" customHeight="1" x14ac:dyDescent="0.25">
      <c r="K2567" s="26"/>
      <c r="L2567" s="26"/>
      <c r="M2567" s="26"/>
      <c r="N2567" s="27"/>
    </row>
    <row r="2568" spans="11:14" ht="15" customHeight="1" x14ac:dyDescent="0.25">
      <c r="K2568" s="26"/>
      <c r="L2568" s="26"/>
      <c r="M2568" s="26"/>
      <c r="N2568" s="27"/>
    </row>
    <row r="2569" spans="11:14" ht="15" customHeight="1" x14ac:dyDescent="0.25">
      <c r="K2569" s="26"/>
      <c r="L2569" s="26"/>
      <c r="M2569" s="26"/>
      <c r="N2569" s="27"/>
    </row>
    <row r="2570" spans="11:14" ht="15" customHeight="1" x14ac:dyDescent="0.25">
      <c r="K2570" s="26"/>
      <c r="L2570" s="26"/>
      <c r="M2570" s="26"/>
      <c r="N2570" s="27"/>
    </row>
    <row r="2571" spans="11:14" ht="15" customHeight="1" x14ac:dyDescent="0.25">
      <c r="K2571" s="26"/>
      <c r="L2571" s="26"/>
      <c r="M2571" s="26"/>
      <c r="N2571" s="27"/>
    </row>
    <row r="2572" spans="11:14" ht="15" customHeight="1" x14ac:dyDescent="0.25">
      <c r="K2572" s="26"/>
      <c r="L2572" s="26"/>
      <c r="M2572" s="26"/>
      <c r="N2572" s="27"/>
    </row>
    <row r="2573" spans="11:14" ht="15" customHeight="1" x14ac:dyDescent="0.25">
      <c r="K2573" s="26"/>
      <c r="L2573" s="26"/>
      <c r="M2573" s="26"/>
      <c r="N2573" s="27"/>
    </row>
    <row r="2574" spans="11:14" ht="15" customHeight="1" x14ac:dyDescent="0.25">
      <c r="K2574" s="26"/>
      <c r="L2574" s="26"/>
      <c r="M2574" s="26"/>
      <c r="N2574" s="27"/>
    </row>
    <row r="2575" spans="11:14" ht="15" customHeight="1" x14ac:dyDescent="0.25">
      <c r="K2575" s="26"/>
      <c r="L2575" s="26"/>
      <c r="M2575" s="26"/>
      <c r="N2575" s="27"/>
    </row>
    <row r="2576" spans="11:14" ht="15" customHeight="1" x14ac:dyDescent="0.25">
      <c r="K2576" s="26"/>
      <c r="L2576" s="26"/>
      <c r="M2576" s="26"/>
      <c r="N2576" s="27"/>
    </row>
    <row r="2577" spans="11:14" ht="15" customHeight="1" x14ac:dyDescent="0.25">
      <c r="K2577" s="26"/>
      <c r="L2577" s="26"/>
      <c r="M2577" s="26"/>
      <c r="N2577" s="27"/>
    </row>
    <row r="2578" spans="11:14" ht="15" customHeight="1" x14ac:dyDescent="0.25">
      <c r="K2578" s="26"/>
      <c r="L2578" s="26"/>
      <c r="M2578" s="26"/>
      <c r="N2578" s="27"/>
    </row>
    <row r="2579" spans="11:14" ht="15" customHeight="1" x14ac:dyDescent="0.25">
      <c r="K2579" s="26"/>
      <c r="L2579" s="26"/>
      <c r="M2579" s="26"/>
      <c r="N2579" s="27"/>
    </row>
    <row r="2580" spans="11:14" ht="15" customHeight="1" x14ac:dyDescent="0.25">
      <c r="K2580" s="26"/>
      <c r="L2580" s="26"/>
      <c r="M2580" s="26"/>
      <c r="N2580" s="27"/>
    </row>
    <row r="2581" spans="11:14" ht="15" customHeight="1" x14ac:dyDescent="0.25">
      <c r="K2581" s="26"/>
      <c r="L2581" s="26"/>
      <c r="M2581" s="26"/>
      <c r="N2581" s="27"/>
    </row>
    <row r="2582" spans="11:14" ht="15" customHeight="1" x14ac:dyDescent="0.25">
      <c r="K2582" s="26"/>
      <c r="L2582" s="26"/>
      <c r="M2582" s="26"/>
      <c r="N2582" s="27"/>
    </row>
    <row r="2583" spans="11:14" ht="15" customHeight="1" x14ac:dyDescent="0.25">
      <c r="K2583" s="26"/>
      <c r="L2583" s="26"/>
      <c r="M2583" s="26"/>
      <c r="N2583" s="27"/>
    </row>
    <row r="2584" spans="11:14" ht="15" customHeight="1" x14ac:dyDescent="0.25">
      <c r="K2584" s="26"/>
      <c r="L2584" s="26"/>
      <c r="M2584" s="26"/>
      <c r="N2584" s="27"/>
    </row>
    <row r="2585" spans="11:14" ht="15" customHeight="1" x14ac:dyDescent="0.25">
      <c r="K2585" s="26"/>
      <c r="L2585" s="26"/>
      <c r="M2585" s="26"/>
      <c r="N2585" s="27"/>
    </row>
    <row r="2586" spans="11:14" ht="15" customHeight="1" x14ac:dyDescent="0.25">
      <c r="K2586" s="26"/>
      <c r="L2586" s="26"/>
      <c r="M2586" s="26"/>
      <c r="N2586" s="27"/>
    </row>
    <row r="2587" spans="11:14" ht="15" customHeight="1" x14ac:dyDescent="0.25">
      <c r="K2587" s="26"/>
      <c r="L2587" s="26"/>
      <c r="M2587" s="26"/>
      <c r="N2587" s="27"/>
    </row>
    <row r="2588" spans="11:14" ht="15" customHeight="1" x14ac:dyDescent="0.25">
      <c r="K2588" s="26"/>
      <c r="L2588" s="26"/>
      <c r="M2588" s="26"/>
      <c r="N2588" s="27"/>
    </row>
    <row r="2589" spans="11:14" ht="15" customHeight="1" x14ac:dyDescent="0.25">
      <c r="K2589" s="26"/>
      <c r="L2589" s="26"/>
      <c r="M2589" s="26"/>
      <c r="N2589" s="27"/>
    </row>
    <row r="2590" spans="11:14" ht="15" customHeight="1" x14ac:dyDescent="0.25">
      <c r="K2590" s="26"/>
      <c r="L2590" s="26"/>
      <c r="M2590" s="26"/>
      <c r="N2590" s="27"/>
    </row>
    <row r="2591" spans="11:14" ht="15" customHeight="1" x14ac:dyDescent="0.25">
      <c r="K2591" s="26"/>
      <c r="L2591" s="26"/>
      <c r="M2591" s="26"/>
      <c r="N2591" s="27"/>
    </row>
    <row r="2592" spans="11:14" ht="15" customHeight="1" x14ac:dyDescent="0.25">
      <c r="K2592" s="26"/>
      <c r="L2592" s="26"/>
      <c r="M2592" s="26"/>
      <c r="N2592" s="27"/>
    </row>
    <row r="2593" spans="11:14" ht="15" customHeight="1" x14ac:dyDescent="0.25">
      <c r="K2593" s="26"/>
      <c r="L2593" s="26"/>
      <c r="M2593" s="26"/>
      <c r="N2593" s="27"/>
    </row>
    <row r="2594" spans="11:14" ht="15" customHeight="1" x14ac:dyDescent="0.25">
      <c r="K2594" s="26"/>
      <c r="L2594" s="26"/>
      <c r="M2594" s="26"/>
      <c r="N2594" s="27"/>
    </row>
    <row r="2595" spans="11:14" ht="15" customHeight="1" x14ac:dyDescent="0.25">
      <c r="K2595" s="26"/>
      <c r="L2595" s="26"/>
      <c r="M2595" s="26"/>
      <c r="N2595" s="27"/>
    </row>
    <row r="2596" spans="11:14" ht="15" customHeight="1" x14ac:dyDescent="0.25">
      <c r="K2596" s="26"/>
      <c r="L2596" s="26"/>
      <c r="M2596" s="26"/>
      <c r="N2596" s="27"/>
    </row>
    <row r="2597" spans="11:14" ht="15" customHeight="1" x14ac:dyDescent="0.25">
      <c r="K2597" s="26"/>
      <c r="L2597" s="26"/>
      <c r="M2597" s="26"/>
      <c r="N2597" s="27"/>
    </row>
    <row r="2598" spans="11:14" ht="15" customHeight="1" x14ac:dyDescent="0.25">
      <c r="K2598" s="26"/>
      <c r="L2598" s="26"/>
      <c r="M2598" s="26"/>
      <c r="N2598" s="27"/>
    </row>
    <row r="2599" spans="11:14" ht="15" customHeight="1" x14ac:dyDescent="0.25">
      <c r="K2599" s="26"/>
      <c r="L2599" s="26"/>
      <c r="M2599" s="26"/>
      <c r="N2599" s="27"/>
    </row>
    <row r="2600" spans="11:14" ht="15" customHeight="1" x14ac:dyDescent="0.25">
      <c r="K2600" s="26"/>
      <c r="L2600" s="26"/>
      <c r="M2600" s="26"/>
      <c r="N2600" s="27"/>
    </row>
    <row r="2601" spans="11:14" ht="15" customHeight="1" x14ac:dyDescent="0.25">
      <c r="K2601" s="26"/>
      <c r="L2601" s="26"/>
      <c r="M2601" s="26"/>
      <c r="N2601" s="27"/>
    </row>
    <row r="2602" spans="11:14" ht="15" customHeight="1" x14ac:dyDescent="0.25">
      <c r="K2602" s="26"/>
      <c r="L2602" s="26"/>
      <c r="M2602" s="26"/>
      <c r="N2602" s="27"/>
    </row>
    <row r="2603" spans="11:14" ht="15" customHeight="1" x14ac:dyDescent="0.25">
      <c r="K2603" s="26"/>
      <c r="L2603" s="26"/>
      <c r="M2603" s="26"/>
      <c r="N2603" s="27"/>
    </row>
    <row r="2604" spans="11:14" ht="15" customHeight="1" x14ac:dyDescent="0.25">
      <c r="K2604" s="26"/>
      <c r="L2604" s="26"/>
      <c r="M2604" s="26"/>
      <c r="N2604" s="27"/>
    </row>
    <row r="2605" spans="11:14" ht="15" customHeight="1" x14ac:dyDescent="0.25">
      <c r="K2605" s="26"/>
      <c r="L2605" s="26"/>
      <c r="M2605" s="26"/>
      <c r="N2605" s="27"/>
    </row>
    <row r="2606" spans="11:14" ht="15" customHeight="1" x14ac:dyDescent="0.25">
      <c r="K2606" s="26"/>
      <c r="L2606" s="26"/>
      <c r="M2606" s="26"/>
      <c r="N2606" s="27"/>
    </row>
    <row r="2607" spans="11:14" ht="15" customHeight="1" x14ac:dyDescent="0.25">
      <c r="K2607" s="26"/>
      <c r="L2607" s="26"/>
      <c r="M2607" s="26"/>
      <c r="N2607" s="27"/>
    </row>
    <row r="2608" spans="11:14" ht="15" customHeight="1" x14ac:dyDescent="0.25">
      <c r="K2608" s="26"/>
      <c r="L2608" s="26"/>
      <c r="M2608" s="26"/>
      <c r="N2608" s="27"/>
    </row>
    <row r="2609" spans="11:14" ht="15" customHeight="1" x14ac:dyDescent="0.25">
      <c r="K2609" s="26"/>
      <c r="L2609" s="26"/>
      <c r="M2609" s="26"/>
      <c r="N2609" s="27"/>
    </row>
    <row r="2610" spans="11:14" ht="15" customHeight="1" x14ac:dyDescent="0.25">
      <c r="K2610" s="26"/>
      <c r="L2610" s="26"/>
      <c r="M2610" s="26"/>
      <c r="N2610" s="27"/>
    </row>
    <row r="2611" spans="11:14" ht="15" customHeight="1" x14ac:dyDescent="0.25">
      <c r="K2611" s="26"/>
      <c r="L2611" s="26"/>
      <c r="M2611" s="26"/>
      <c r="N2611" s="27"/>
    </row>
    <row r="2612" spans="11:14" ht="15" customHeight="1" x14ac:dyDescent="0.25">
      <c r="K2612" s="26"/>
      <c r="L2612" s="26"/>
      <c r="M2612" s="26"/>
      <c r="N2612" s="27"/>
    </row>
    <row r="2613" spans="11:14" ht="15" customHeight="1" x14ac:dyDescent="0.25">
      <c r="K2613" s="26"/>
      <c r="L2613" s="26"/>
      <c r="M2613" s="26"/>
      <c r="N2613" s="27"/>
    </row>
    <row r="2614" spans="11:14" ht="15" customHeight="1" x14ac:dyDescent="0.25">
      <c r="K2614" s="26"/>
      <c r="L2614" s="26"/>
      <c r="M2614" s="26"/>
      <c r="N2614" s="27"/>
    </row>
    <row r="2615" spans="11:14" ht="15" customHeight="1" x14ac:dyDescent="0.25">
      <c r="K2615" s="26"/>
      <c r="L2615" s="26"/>
      <c r="M2615" s="26"/>
      <c r="N2615" s="27"/>
    </row>
    <row r="2616" spans="11:14" ht="15" customHeight="1" x14ac:dyDescent="0.25">
      <c r="K2616" s="26"/>
      <c r="L2616" s="26"/>
      <c r="M2616" s="26"/>
      <c r="N2616" s="27"/>
    </row>
    <row r="2617" spans="11:14" ht="15" customHeight="1" x14ac:dyDescent="0.25">
      <c r="K2617" s="26"/>
      <c r="L2617" s="26"/>
      <c r="M2617" s="26"/>
      <c r="N2617" s="27"/>
    </row>
    <row r="2618" spans="11:14" ht="15" customHeight="1" x14ac:dyDescent="0.25">
      <c r="K2618" s="26"/>
      <c r="L2618" s="26"/>
      <c r="M2618" s="26"/>
      <c r="N2618" s="27"/>
    </row>
    <row r="2619" spans="11:14" ht="15" customHeight="1" x14ac:dyDescent="0.25">
      <c r="K2619" s="26"/>
      <c r="L2619" s="26"/>
      <c r="M2619" s="26"/>
      <c r="N2619" s="27"/>
    </row>
    <row r="2620" spans="11:14" ht="15" customHeight="1" x14ac:dyDescent="0.25">
      <c r="K2620" s="26"/>
      <c r="L2620" s="26"/>
      <c r="M2620" s="26"/>
      <c r="N2620" s="27"/>
    </row>
    <row r="2621" spans="11:14" ht="15" customHeight="1" x14ac:dyDescent="0.25">
      <c r="K2621" s="26"/>
      <c r="L2621" s="26"/>
      <c r="M2621" s="26"/>
      <c r="N2621" s="27"/>
    </row>
    <row r="2622" spans="11:14" ht="15" customHeight="1" x14ac:dyDescent="0.25">
      <c r="K2622" s="26"/>
      <c r="L2622" s="26"/>
      <c r="M2622" s="26"/>
      <c r="N2622" s="27"/>
    </row>
    <row r="2623" spans="11:14" ht="15" customHeight="1" x14ac:dyDescent="0.25">
      <c r="K2623" s="26"/>
      <c r="L2623" s="26"/>
      <c r="M2623" s="26"/>
      <c r="N2623" s="27"/>
    </row>
    <row r="2624" spans="11:14" ht="15" customHeight="1" x14ac:dyDescent="0.25">
      <c r="K2624" s="26"/>
      <c r="L2624" s="26"/>
      <c r="M2624" s="26"/>
      <c r="N2624" s="27"/>
    </row>
    <row r="2625" spans="11:14" ht="15" customHeight="1" x14ac:dyDescent="0.25">
      <c r="K2625" s="26"/>
      <c r="L2625" s="26"/>
      <c r="M2625" s="26"/>
      <c r="N2625" s="27"/>
    </row>
    <row r="2626" spans="11:14" ht="15" customHeight="1" x14ac:dyDescent="0.25">
      <c r="K2626" s="26"/>
      <c r="L2626" s="26"/>
      <c r="M2626" s="26"/>
      <c r="N2626" s="27"/>
    </row>
    <row r="2627" spans="11:14" ht="15" customHeight="1" x14ac:dyDescent="0.25">
      <c r="K2627" s="26"/>
      <c r="L2627" s="26"/>
      <c r="M2627" s="26"/>
      <c r="N2627" s="27"/>
    </row>
    <row r="2628" spans="11:14" ht="15" customHeight="1" x14ac:dyDescent="0.25">
      <c r="K2628" s="26"/>
      <c r="L2628" s="26"/>
      <c r="M2628" s="26"/>
      <c r="N2628" s="27"/>
    </row>
    <row r="2629" spans="11:14" ht="15" customHeight="1" x14ac:dyDescent="0.25">
      <c r="K2629" s="26"/>
      <c r="L2629" s="26"/>
      <c r="M2629" s="26"/>
      <c r="N2629" s="27"/>
    </row>
    <row r="2630" spans="11:14" ht="15" customHeight="1" x14ac:dyDescent="0.25">
      <c r="K2630" s="26"/>
      <c r="L2630" s="26"/>
      <c r="M2630" s="26"/>
      <c r="N2630" s="27"/>
    </row>
    <row r="2631" spans="11:14" ht="15" customHeight="1" x14ac:dyDescent="0.25">
      <c r="K2631" s="26"/>
      <c r="L2631" s="26"/>
      <c r="M2631" s="26"/>
      <c r="N2631" s="27"/>
    </row>
    <row r="2632" spans="11:14" ht="15" customHeight="1" x14ac:dyDescent="0.25">
      <c r="K2632" s="26"/>
      <c r="L2632" s="26"/>
      <c r="M2632" s="26"/>
      <c r="N2632" s="27"/>
    </row>
    <row r="2633" spans="11:14" ht="15" customHeight="1" x14ac:dyDescent="0.25">
      <c r="K2633" s="26"/>
      <c r="L2633" s="26"/>
      <c r="M2633" s="26"/>
      <c r="N2633" s="27"/>
    </row>
    <row r="2634" spans="11:14" ht="15" customHeight="1" x14ac:dyDescent="0.25">
      <c r="K2634" s="26"/>
      <c r="L2634" s="26"/>
      <c r="M2634" s="26"/>
      <c r="N2634" s="27"/>
    </row>
    <row r="2635" spans="11:14" ht="15" customHeight="1" x14ac:dyDescent="0.25">
      <c r="K2635" s="26"/>
      <c r="L2635" s="26"/>
      <c r="M2635" s="26"/>
      <c r="N2635" s="27"/>
    </row>
    <row r="2636" spans="11:14" ht="15" customHeight="1" x14ac:dyDescent="0.25">
      <c r="K2636" s="26"/>
      <c r="L2636" s="26"/>
      <c r="M2636" s="26"/>
      <c r="N2636" s="27"/>
    </row>
    <row r="2637" spans="11:14" ht="15" customHeight="1" x14ac:dyDescent="0.25">
      <c r="K2637" s="26"/>
      <c r="L2637" s="26"/>
      <c r="M2637" s="26"/>
      <c r="N2637" s="27"/>
    </row>
    <row r="2638" spans="11:14" ht="15" customHeight="1" x14ac:dyDescent="0.25">
      <c r="K2638" s="26"/>
      <c r="L2638" s="26"/>
      <c r="M2638" s="26"/>
      <c r="N2638" s="27"/>
    </row>
    <row r="2639" spans="11:14" ht="15" customHeight="1" x14ac:dyDescent="0.25">
      <c r="K2639" s="26"/>
      <c r="L2639" s="26"/>
      <c r="M2639" s="26"/>
      <c r="N2639" s="27"/>
    </row>
    <row r="2640" spans="11:14" ht="15" customHeight="1" x14ac:dyDescent="0.25">
      <c r="K2640" s="26"/>
      <c r="L2640" s="26"/>
      <c r="M2640" s="26"/>
      <c r="N2640" s="27"/>
    </row>
    <row r="2641" spans="11:14" ht="15" customHeight="1" x14ac:dyDescent="0.25">
      <c r="K2641" s="26"/>
      <c r="L2641" s="26"/>
      <c r="M2641" s="26"/>
      <c r="N2641" s="27"/>
    </row>
    <row r="2642" spans="11:14" ht="15" customHeight="1" x14ac:dyDescent="0.25">
      <c r="K2642" s="26"/>
      <c r="L2642" s="26"/>
      <c r="M2642" s="26"/>
      <c r="N2642" s="27"/>
    </row>
    <row r="2643" spans="11:14" ht="15" customHeight="1" x14ac:dyDescent="0.25">
      <c r="K2643" s="26"/>
      <c r="L2643" s="26"/>
      <c r="M2643" s="26"/>
      <c r="N2643" s="27"/>
    </row>
    <row r="2644" spans="11:14" ht="15" customHeight="1" x14ac:dyDescent="0.25">
      <c r="K2644" s="26"/>
      <c r="L2644" s="26"/>
      <c r="M2644" s="26"/>
      <c r="N2644" s="27"/>
    </row>
    <row r="2645" spans="11:14" ht="15" customHeight="1" x14ac:dyDescent="0.25">
      <c r="K2645" s="26"/>
      <c r="L2645" s="26"/>
      <c r="M2645" s="26"/>
      <c r="N2645" s="27"/>
    </row>
    <row r="2646" spans="11:14" ht="15" customHeight="1" x14ac:dyDescent="0.25">
      <c r="K2646" s="26"/>
      <c r="L2646" s="26"/>
      <c r="M2646" s="26"/>
      <c r="N2646" s="27"/>
    </row>
    <row r="2647" spans="11:14" ht="15" customHeight="1" x14ac:dyDescent="0.25">
      <c r="K2647" s="26"/>
      <c r="L2647" s="26"/>
      <c r="M2647" s="26"/>
      <c r="N2647" s="27"/>
    </row>
    <row r="2648" spans="11:14" ht="15" customHeight="1" x14ac:dyDescent="0.25">
      <c r="K2648" s="26"/>
      <c r="L2648" s="26"/>
      <c r="M2648" s="26"/>
      <c r="N2648" s="27"/>
    </row>
    <row r="2649" spans="11:14" ht="15" customHeight="1" x14ac:dyDescent="0.25">
      <c r="K2649" s="26"/>
      <c r="L2649" s="26"/>
      <c r="M2649" s="26"/>
      <c r="N2649" s="27"/>
    </row>
    <row r="2650" spans="11:14" ht="15" customHeight="1" x14ac:dyDescent="0.25">
      <c r="K2650" s="26"/>
      <c r="L2650" s="26"/>
      <c r="M2650" s="26"/>
      <c r="N2650" s="27"/>
    </row>
    <row r="2651" spans="11:14" ht="15" customHeight="1" x14ac:dyDescent="0.25">
      <c r="K2651" s="26"/>
      <c r="L2651" s="26"/>
      <c r="M2651" s="26"/>
      <c r="N2651" s="27"/>
    </row>
    <row r="2652" spans="11:14" ht="15" customHeight="1" x14ac:dyDescent="0.25">
      <c r="K2652" s="26"/>
      <c r="L2652" s="26"/>
      <c r="M2652" s="26"/>
      <c r="N2652" s="27"/>
    </row>
    <row r="2653" spans="11:14" ht="15" customHeight="1" x14ac:dyDescent="0.25">
      <c r="K2653" s="26"/>
      <c r="L2653" s="26"/>
      <c r="M2653" s="26"/>
      <c r="N2653" s="27"/>
    </row>
    <row r="2654" spans="11:14" ht="15" customHeight="1" x14ac:dyDescent="0.25">
      <c r="K2654" s="26"/>
      <c r="L2654" s="26"/>
      <c r="M2654" s="26"/>
      <c r="N2654" s="27"/>
    </row>
    <row r="2655" spans="11:14" ht="15" customHeight="1" x14ac:dyDescent="0.25">
      <c r="K2655" s="26"/>
      <c r="L2655" s="26"/>
      <c r="M2655" s="26"/>
      <c r="N2655" s="27"/>
    </row>
    <row r="2656" spans="11:14" ht="15" customHeight="1" x14ac:dyDescent="0.25">
      <c r="K2656" s="26"/>
      <c r="L2656" s="26"/>
      <c r="M2656" s="26"/>
      <c r="N2656" s="27"/>
    </row>
    <row r="2657" spans="11:14" ht="15" customHeight="1" x14ac:dyDescent="0.25">
      <c r="K2657" s="26"/>
      <c r="L2657" s="26"/>
      <c r="M2657" s="26"/>
      <c r="N2657" s="27"/>
    </row>
    <row r="2658" spans="11:14" ht="15" customHeight="1" x14ac:dyDescent="0.25">
      <c r="K2658" s="26"/>
      <c r="L2658" s="26"/>
      <c r="M2658" s="26"/>
      <c r="N2658" s="27"/>
    </row>
    <row r="2659" spans="11:14" ht="15" customHeight="1" x14ac:dyDescent="0.25">
      <c r="K2659" s="26"/>
      <c r="L2659" s="26"/>
      <c r="M2659" s="26"/>
      <c r="N2659" s="27"/>
    </row>
    <row r="2660" spans="11:14" ht="15" customHeight="1" x14ac:dyDescent="0.25">
      <c r="K2660" s="26"/>
      <c r="L2660" s="26"/>
      <c r="M2660" s="26"/>
      <c r="N2660" s="27"/>
    </row>
    <row r="2661" spans="11:14" ht="15" customHeight="1" x14ac:dyDescent="0.25">
      <c r="K2661" s="26"/>
      <c r="L2661" s="26"/>
      <c r="M2661" s="26"/>
      <c r="N2661" s="27"/>
    </row>
    <row r="2662" spans="11:14" ht="15" customHeight="1" x14ac:dyDescent="0.25">
      <c r="K2662" s="26"/>
      <c r="L2662" s="26"/>
      <c r="M2662" s="26"/>
      <c r="N2662" s="27"/>
    </row>
    <row r="2663" spans="11:14" ht="15" customHeight="1" x14ac:dyDescent="0.25">
      <c r="K2663" s="26"/>
      <c r="L2663" s="26"/>
      <c r="M2663" s="26"/>
      <c r="N2663" s="27"/>
    </row>
    <row r="2664" spans="11:14" ht="15" customHeight="1" x14ac:dyDescent="0.25">
      <c r="K2664" s="26"/>
      <c r="L2664" s="26"/>
      <c r="M2664" s="26"/>
      <c r="N2664" s="27"/>
    </row>
    <row r="2665" spans="11:14" ht="15" customHeight="1" x14ac:dyDescent="0.25">
      <c r="K2665" s="26"/>
      <c r="L2665" s="26"/>
      <c r="M2665" s="26"/>
      <c r="N2665" s="27"/>
    </row>
    <row r="2666" spans="11:14" ht="15" customHeight="1" x14ac:dyDescent="0.25">
      <c r="K2666" s="26"/>
      <c r="L2666" s="26"/>
      <c r="M2666" s="26"/>
      <c r="N2666" s="27"/>
    </row>
    <row r="2667" spans="11:14" ht="15" customHeight="1" x14ac:dyDescent="0.25">
      <c r="K2667" s="26"/>
      <c r="L2667" s="26"/>
      <c r="M2667" s="26"/>
      <c r="N2667" s="27"/>
    </row>
    <row r="2668" spans="11:14" ht="15" customHeight="1" x14ac:dyDescent="0.25">
      <c r="K2668" s="26"/>
      <c r="L2668" s="26"/>
      <c r="M2668" s="26"/>
      <c r="N2668" s="27"/>
    </row>
    <row r="2669" spans="11:14" ht="15" customHeight="1" x14ac:dyDescent="0.25">
      <c r="K2669" s="26"/>
      <c r="L2669" s="26"/>
      <c r="M2669" s="26"/>
      <c r="N2669" s="27"/>
    </row>
    <row r="2670" spans="11:14" ht="15" customHeight="1" x14ac:dyDescent="0.25">
      <c r="K2670" s="26"/>
      <c r="L2670" s="26"/>
      <c r="M2670" s="26"/>
      <c r="N2670" s="27"/>
    </row>
    <row r="2671" spans="11:14" ht="15" customHeight="1" x14ac:dyDescent="0.25">
      <c r="K2671" s="26"/>
      <c r="L2671" s="26"/>
      <c r="M2671" s="26"/>
      <c r="N2671" s="27"/>
    </row>
    <row r="2672" spans="11:14" ht="15" customHeight="1" x14ac:dyDescent="0.25">
      <c r="K2672" s="26"/>
      <c r="L2672" s="26"/>
      <c r="M2672" s="26"/>
      <c r="N2672" s="27"/>
    </row>
    <row r="2673" spans="11:14" ht="15" customHeight="1" x14ac:dyDescent="0.25">
      <c r="K2673" s="26"/>
      <c r="L2673" s="26"/>
      <c r="M2673" s="26"/>
      <c r="N2673" s="27"/>
    </row>
    <row r="2674" spans="11:14" ht="15" customHeight="1" x14ac:dyDescent="0.25">
      <c r="K2674" s="26"/>
      <c r="L2674" s="26"/>
      <c r="M2674" s="26"/>
      <c r="N2674" s="27"/>
    </row>
    <row r="2675" spans="11:14" ht="15" customHeight="1" x14ac:dyDescent="0.25">
      <c r="K2675" s="26"/>
      <c r="L2675" s="26"/>
      <c r="M2675" s="26"/>
      <c r="N2675" s="27"/>
    </row>
    <row r="2676" spans="11:14" ht="15" customHeight="1" x14ac:dyDescent="0.25">
      <c r="K2676" s="26"/>
      <c r="L2676" s="26"/>
      <c r="M2676" s="26"/>
      <c r="N2676" s="27"/>
    </row>
    <row r="2677" spans="11:14" ht="15" customHeight="1" x14ac:dyDescent="0.25">
      <c r="K2677" s="26"/>
      <c r="L2677" s="26"/>
      <c r="M2677" s="26"/>
      <c r="N2677" s="27"/>
    </row>
    <row r="2678" spans="11:14" ht="15" customHeight="1" x14ac:dyDescent="0.25">
      <c r="K2678" s="26"/>
      <c r="L2678" s="26"/>
      <c r="M2678" s="26"/>
      <c r="N2678" s="27"/>
    </row>
    <row r="2679" spans="11:14" ht="15" customHeight="1" x14ac:dyDescent="0.25">
      <c r="K2679" s="26"/>
      <c r="L2679" s="26"/>
      <c r="M2679" s="26"/>
      <c r="N2679" s="27"/>
    </row>
    <row r="2680" spans="11:14" ht="15" customHeight="1" x14ac:dyDescent="0.25">
      <c r="K2680" s="26"/>
      <c r="L2680" s="26"/>
      <c r="M2680" s="26"/>
      <c r="N2680" s="27"/>
    </row>
    <row r="2681" spans="11:14" ht="15" customHeight="1" x14ac:dyDescent="0.25">
      <c r="K2681" s="26"/>
      <c r="L2681" s="26"/>
      <c r="M2681" s="26"/>
      <c r="N2681" s="27"/>
    </row>
    <row r="2682" spans="11:14" ht="15" customHeight="1" x14ac:dyDescent="0.25">
      <c r="K2682" s="26"/>
      <c r="L2682" s="26"/>
      <c r="M2682" s="26"/>
      <c r="N2682" s="27"/>
    </row>
    <row r="2683" spans="11:14" ht="15" customHeight="1" x14ac:dyDescent="0.25">
      <c r="K2683" s="26"/>
      <c r="L2683" s="26"/>
      <c r="M2683" s="26"/>
      <c r="N2683" s="27"/>
    </row>
    <row r="2684" spans="11:14" ht="15" customHeight="1" x14ac:dyDescent="0.25">
      <c r="K2684" s="26"/>
      <c r="L2684" s="26"/>
      <c r="M2684" s="26"/>
      <c r="N2684" s="27"/>
    </row>
    <row r="2685" spans="11:14" ht="15" customHeight="1" x14ac:dyDescent="0.25">
      <c r="K2685" s="26"/>
      <c r="L2685" s="26"/>
      <c r="M2685" s="26"/>
      <c r="N2685" s="27"/>
    </row>
    <row r="2686" spans="11:14" ht="15" customHeight="1" x14ac:dyDescent="0.25">
      <c r="K2686" s="26"/>
      <c r="L2686" s="26"/>
      <c r="M2686" s="26"/>
      <c r="N2686" s="27"/>
    </row>
    <row r="2687" spans="11:14" ht="15" customHeight="1" x14ac:dyDescent="0.25">
      <c r="K2687" s="26"/>
      <c r="L2687" s="26"/>
      <c r="M2687" s="26"/>
      <c r="N2687" s="27"/>
    </row>
    <row r="2688" spans="11:14" ht="15" customHeight="1" x14ac:dyDescent="0.25">
      <c r="K2688" s="26"/>
      <c r="L2688" s="26"/>
      <c r="M2688" s="26"/>
      <c r="N2688" s="27"/>
    </row>
    <row r="2689" spans="11:14" ht="15" customHeight="1" x14ac:dyDescent="0.25">
      <c r="K2689" s="26"/>
      <c r="L2689" s="26"/>
      <c r="M2689" s="26"/>
      <c r="N2689" s="27"/>
    </row>
    <row r="2690" spans="11:14" ht="15" customHeight="1" x14ac:dyDescent="0.25">
      <c r="K2690" s="26"/>
      <c r="L2690" s="26"/>
      <c r="M2690" s="26"/>
      <c r="N2690" s="27"/>
    </row>
    <row r="2691" spans="11:14" ht="15" customHeight="1" x14ac:dyDescent="0.25">
      <c r="K2691" s="26"/>
      <c r="L2691" s="26"/>
      <c r="M2691" s="26"/>
      <c r="N2691" s="27"/>
    </row>
    <row r="2692" spans="11:14" ht="15" customHeight="1" x14ac:dyDescent="0.25">
      <c r="K2692" s="26"/>
      <c r="L2692" s="26"/>
      <c r="M2692" s="26"/>
      <c r="N2692" s="27"/>
    </row>
    <row r="2693" spans="11:14" ht="15" customHeight="1" x14ac:dyDescent="0.25">
      <c r="K2693" s="26"/>
      <c r="L2693" s="26"/>
      <c r="M2693" s="26"/>
      <c r="N2693" s="27"/>
    </row>
    <row r="2694" spans="11:14" ht="15" customHeight="1" x14ac:dyDescent="0.25">
      <c r="K2694" s="26"/>
      <c r="L2694" s="26"/>
      <c r="M2694" s="26"/>
      <c r="N2694" s="27"/>
    </row>
    <row r="2695" spans="11:14" ht="15" customHeight="1" x14ac:dyDescent="0.25">
      <c r="K2695" s="26"/>
      <c r="L2695" s="26"/>
      <c r="M2695" s="26"/>
      <c r="N2695" s="27"/>
    </row>
    <row r="2696" spans="11:14" ht="15" customHeight="1" x14ac:dyDescent="0.25">
      <c r="K2696" s="26"/>
      <c r="L2696" s="26"/>
      <c r="M2696" s="26"/>
      <c r="N2696" s="27"/>
    </row>
    <row r="2697" spans="11:14" ht="15" customHeight="1" x14ac:dyDescent="0.25">
      <c r="K2697" s="26"/>
      <c r="L2697" s="26"/>
      <c r="M2697" s="26"/>
      <c r="N2697" s="27"/>
    </row>
    <row r="2698" spans="11:14" ht="15" customHeight="1" x14ac:dyDescent="0.25">
      <c r="K2698" s="26"/>
      <c r="L2698" s="26"/>
      <c r="M2698" s="26"/>
      <c r="N2698" s="27"/>
    </row>
    <row r="2699" spans="11:14" ht="15" customHeight="1" x14ac:dyDescent="0.25">
      <c r="K2699" s="26"/>
      <c r="L2699" s="26"/>
      <c r="M2699" s="26"/>
      <c r="N2699" s="27"/>
    </row>
    <row r="2700" spans="11:14" ht="15" customHeight="1" x14ac:dyDescent="0.25">
      <c r="K2700" s="26"/>
      <c r="L2700" s="26"/>
      <c r="M2700" s="26"/>
      <c r="N2700" s="27"/>
    </row>
    <row r="2701" spans="11:14" ht="15" customHeight="1" x14ac:dyDescent="0.25">
      <c r="K2701" s="26"/>
      <c r="L2701" s="26"/>
      <c r="M2701" s="26"/>
      <c r="N2701" s="27"/>
    </row>
    <row r="2702" spans="11:14" ht="15" customHeight="1" x14ac:dyDescent="0.25">
      <c r="K2702" s="26"/>
      <c r="L2702" s="26"/>
      <c r="M2702" s="26"/>
      <c r="N2702" s="27"/>
    </row>
    <row r="2703" spans="11:14" ht="15" customHeight="1" x14ac:dyDescent="0.25">
      <c r="K2703" s="26"/>
      <c r="L2703" s="26"/>
      <c r="M2703" s="26"/>
      <c r="N2703" s="27"/>
    </row>
    <row r="2704" spans="11:14" ht="15" customHeight="1" x14ac:dyDescent="0.25">
      <c r="K2704" s="26"/>
      <c r="L2704" s="26"/>
      <c r="M2704" s="26"/>
      <c r="N2704" s="27"/>
    </row>
    <row r="2705" spans="11:14" ht="15" customHeight="1" x14ac:dyDescent="0.25">
      <c r="K2705" s="26"/>
      <c r="L2705" s="26"/>
      <c r="M2705" s="26"/>
      <c r="N2705" s="27"/>
    </row>
    <row r="2706" spans="11:14" ht="15" customHeight="1" x14ac:dyDescent="0.25">
      <c r="K2706" s="26"/>
      <c r="L2706" s="26"/>
      <c r="M2706" s="26"/>
      <c r="N2706" s="27"/>
    </row>
    <row r="2707" spans="11:14" ht="15" customHeight="1" x14ac:dyDescent="0.25">
      <c r="K2707" s="26"/>
      <c r="L2707" s="26"/>
      <c r="M2707" s="26"/>
      <c r="N2707" s="27"/>
    </row>
    <row r="2708" spans="11:14" ht="15" customHeight="1" x14ac:dyDescent="0.25">
      <c r="K2708" s="26"/>
      <c r="L2708" s="26"/>
      <c r="M2708" s="26"/>
      <c r="N2708" s="27"/>
    </row>
    <row r="2709" spans="11:14" ht="15" customHeight="1" x14ac:dyDescent="0.25">
      <c r="K2709" s="26"/>
      <c r="L2709" s="26"/>
      <c r="M2709" s="26"/>
      <c r="N2709" s="27"/>
    </row>
    <row r="2710" spans="11:14" ht="15" customHeight="1" x14ac:dyDescent="0.25">
      <c r="K2710" s="26"/>
      <c r="L2710" s="26"/>
      <c r="M2710" s="26"/>
      <c r="N2710" s="27"/>
    </row>
    <row r="2711" spans="11:14" ht="15" customHeight="1" x14ac:dyDescent="0.25">
      <c r="K2711" s="26"/>
      <c r="L2711" s="26"/>
      <c r="M2711" s="26"/>
      <c r="N2711" s="27"/>
    </row>
    <row r="2712" spans="11:14" ht="15" customHeight="1" x14ac:dyDescent="0.25">
      <c r="K2712" s="26"/>
      <c r="L2712" s="26"/>
      <c r="M2712" s="26"/>
      <c r="N2712" s="27"/>
    </row>
    <row r="2713" spans="11:14" ht="15" customHeight="1" x14ac:dyDescent="0.25">
      <c r="K2713" s="26"/>
      <c r="L2713" s="26"/>
      <c r="M2713" s="26"/>
      <c r="N2713" s="27"/>
    </row>
    <row r="2714" spans="11:14" ht="15" customHeight="1" x14ac:dyDescent="0.25">
      <c r="K2714" s="26"/>
      <c r="L2714" s="26"/>
      <c r="M2714" s="26"/>
      <c r="N2714" s="27"/>
    </row>
    <row r="2715" spans="11:14" ht="15" customHeight="1" x14ac:dyDescent="0.25">
      <c r="K2715" s="26"/>
      <c r="L2715" s="26"/>
      <c r="M2715" s="26"/>
      <c r="N2715" s="27"/>
    </row>
    <row r="2716" spans="11:14" ht="15" customHeight="1" x14ac:dyDescent="0.25">
      <c r="K2716" s="26"/>
      <c r="L2716" s="26"/>
      <c r="M2716" s="26"/>
      <c r="N2716" s="27"/>
    </row>
    <row r="2717" spans="11:14" ht="15" customHeight="1" x14ac:dyDescent="0.25">
      <c r="K2717" s="26"/>
      <c r="L2717" s="26"/>
      <c r="M2717" s="26"/>
      <c r="N2717" s="27"/>
    </row>
    <row r="2718" spans="11:14" ht="15" customHeight="1" x14ac:dyDescent="0.25">
      <c r="K2718" s="26"/>
      <c r="L2718" s="26"/>
      <c r="M2718" s="26"/>
      <c r="N2718" s="27"/>
    </row>
    <row r="2719" spans="11:14" ht="15" customHeight="1" x14ac:dyDescent="0.25">
      <c r="K2719" s="26"/>
      <c r="L2719" s="26"/>
      <c r="M2719" s="26"/>
      <c r="N2719" s="27"/>
    </row>
    <row r="2720" spans="11:14" ht="15" customHeight="1" x14ac:dyDescent="0.25">
      <c r="K2720" s="26"/>
      <c r="L2720" s="26"/>
      <c r="M2720" s="26"/>
      <c r="N2720" s="27"/>
    </row>
    <row r="2721" spans="11:14" ht="15" customHeight="1" x14ac:dyDescent="0.25">
      <c r="K2721" s="26"/>
      <c r="L2721" s="26"/>
      <c r="M2721" s="26"/>
      <c r="N2721" s="27"/>
    </row>
    <row r="2722" spans="11:14" ht="15" customHeight="1" x14ac:dyDescent="0.25">
      <c r="K2722" s="26"/>
      <c r="L2722" s="26"/>
      <c r="M2722" s="26"/>
      <c r="N2722" s="27"/>
    </row>
    <row r="2723" spans="11:14" ht="15" customHeight="1" x14ac:dyDescent="0.25">
      <c r="K2723" s="26"/>
      <c r="L2723" s="26"/>
      <c r="M2723" s="26"/>
      <c r="N2723" s="27"/>
    </row>
    <row r="2724" spans="11:14" ht="15" customHeight="1" x14ac:dyDescent="0.25">
      <c r="K2724" s="26"/>
      <c r="L2724" s="26"/>
      <c r="M2724" s="26"/>
      <c r="N2724" s="27"/>
    </row>
    <row r="2725" spans="11:14" ht="15" customHeight="1" x14ac:dyDescent="0.25">
      <c r="K2725" s="26"/>
      <c r="L2725" s="26"/>
      <c r="M2725" s="26"/>
      <c r="N2725" s="27"/>
    </row>
    <row r="2726" spans="11:14" ht="15" customHeight="1" x14ac:dyDescent="0.25">
      <c r="K2726" s="26"/>
      <c r="L2726" s="26"/>
      <c r="M2726" s="26"/>
      <c r="N2726" s="27"/>
    </row>
    <row r="2727" spans="11:14" ht="15" customHeight="1" x14ac:dyDescent="0.25">
      <c r="K2727" s="26"/>
      <c r="L2727" s="26"/>
      <c r="M2727" s="26"/>
      <c r="N2727" s="27"/>
    </row>
    <row r="2728" spans="11:14" ht="15" customHeight="1" x14ac:dyDescent="0.25">
      <c r="K2728" s="26"/>
      <c r="L2728" s="26"/>
      <c r="M2728" s="26"/>
      <c r="N2728" s="27"/>
    </row>
    <row r="2729" spans="11:14" ht="15" customHeight="1" x14ac:dyDescent="0.25">
      <c r="K2729" s="26"/>
      <c r="L2729" s="26"/>
      <c r="M2729" s="26"/>
      <c r="N2729" s="27"/>
    </row>
    <row r="2730" spans="11:14" ht="15" customHeight="1" x14ac:dyDescent="0.25">
      <c r="K2730" s="26"/>
      <c r="L2730" s="26"/>
      <c r="M2730" s="26"/>
      <c r="N2730" s="27"/>
    </row>
    <row r="2731" spans="11:14" ht="15" customHeight="1" x14ac:dyDescent="0.25">
      <c r="K2731" s="26"/>
      <c r="L2731" s="26"/>
      <c r="M2731" s="26"/>
      <c r="N2731" s="27"/>
    </row>
    <row r="2732" spans="11:14" ht="15" customHeight="1" x14ac:dyDescent="0.25">
      <c r="K2732" s="26"/>
      <c r="L2732" s="26"/>
      <c r="M2732" s="26"/>
      <c r="N2732" s="27"/>
    </row>
    <row r="2733" spans="11:14" ht="15" customHeight="1" x14ac:dyDescent="0.25">
      <c r="K2733" s="26"/>
      <c r="L2733" s="26"/>
      <c r="M2733" s="26"/>
      <c r="N2733" s="27"/>
    </row>
    <row r="2734" spans="11:14" ht="15" customHeight="1" x14ac:dyDescent="0.25">
      <c r="K2734" s="26"/>
      <c r="L2734" s="26"/>
      <c r="M2734" s="26"/>
      <c r="N2734" s="27"/>
    </row>
    <row r="2735" spans="11:14" ht="15" customHeight="1" x14ac:dyDescent="0.25">
      <c r="K2735" s="26"/>
      <c r="L2735" s="26"/>
      <c r="M2735" s="26"/>
      <c r="N2735" s="27"/>
    </row>
    <row r="2736" spans="11:14" ht="15" customHeight="1" x14ac:dyDescent="0.25">
      <c r="K2736" s="26"/>
      <c r="L2736" s="26"/>
      <c r="M2736" s="26"/>
      <c r="N2736" s="27"/>
    </row>
    <row r="2737" spans="11:14" ht="15" customHeight="1" x14ac:dyDescent="0.25">
      <c r="K2737" s="26"/>
      <c r="L2737" s="26"/>
      <c r="M2737" s="26"/>
      <c r="N2737" s="27"/>
    </row>
    <row r="2738" spans="11:14" ht="15" customHeight="1" x14ac:dyDescent="0.25">
      <c r="K2738" s="26"/>
      <c r="L2738" s="26"/>
      <c r="M2738" s="26"/>
      <c r="N2738" s="27"/>
    </row>
    <row r="2739" spans="11:14" ht="15" customHeight="1" x14ac:dyDescent="0.25">
      <c r="K2739" s="26"/>
      <c r="L2739" s="26"/>
      <c r="M2739" s="26"/>
      <c r="N2739" s="27"/>
    </row>
    <row r="2740" spans="11:14" ht="15" customHeight="1" x14ac:dyDescent="0.25">
      <c r="K2740" s="26"/>
      <c r="L2740" s="26"/>
      <c r="M2740" s="26"/>
      <c r="N2740" s="27"/>
    </row>
    <row r="2741" spans="11:14" ht="15" customHeight="1" x14ac:dyDescent="0.25">
      <c r="K2741" s="26"/>
      <c r="L2741" s="26"/>
      <c r="M2741" s="26"/>
      <c r="N2741" s="27"/>
    </row>
    <row r="2742" spans="11:14" ht="15" customHeight="1" x14ac:dyDescent="0.25">
      <c r="K2742" s="26"/>
      <c r="L2742" s="26"/>
      <c r="M2742" s="26"/>
      <c r="N2742" s="27"/>
    </row>
    <row r="2743" spans="11:14" ht="15" customHeight="1" x14ac:dyDescent="0.25">
      <c r="K2743" s="26"/>
      <c r="L2743" s="26"/>
      <c r="M2743" s="26"/>
      <c r="N2743" s="27"/>
    </row>
    <row r="2744" spans="11:14" ht="15" customHeight="1" x14ac:dyDescent="0.25">
      <c r="K2744" s="26"/>
      <c r="L2744" s="26"/>
      <c r="M2744" s="26"/>
      <c r="N2744" s="27"/>
    </row>
    <row r="2745" spans="11:14" ht="15" customHeight="1" x14ac:dyDescent="0.25">
      <c r="K2745" s="26"/>
      <c r="L2745" s="26"/>
      <c r="M2745" s="26"/>
      <c r="N2745" s="27"/>
    </row>
    <row r="2746" spans="11:14" ht="15" customHeight="1" x14ac:dyDescent="0.25">
      <c r="K2746" s="26"/>
      <c r="L2746" s="26"/>
      <c r="M2746" s="26"/>
      <c r="N2746" s="27"/>
    </row>
    <row r="2747" spans="11:14" ht="15" customHeight="1" x14ac:dyDescent="0.25">
      <c r="K2747" s="26"/>
      <c r="L2747" s="26"/>
      <c r="M2747" s="26"/>
      <c r="N2747" s="27"/>
    </row>
    <row r="2748" spans="11:14" ht="15" customHeight="1" x14ac:dyDescent="0.25">
      <c r="K2748" s="26"/>
      <c r="L2748" s="26"/>
      <c r="M2748" s="26"/>
      <c r="N2748" s="27"/>
    </row>
    <row r="2749" spans="11:14" ht="15" customHeight="1" x14ac:dyDescent="0.25">
      <c r="K2749" s="26"/>
      <c r="L2749" s="26"/>
      <c r="M2749" s="26"/>
      <c r="N2749" s="27"/>
    </row>
    <row r="2750" spans="11:14" ht="15" customHeight="1" x14ac:dyDescent="0.25">
      <c r="K2750" s="26"/>
      <c r="L2750" s="26"/>
      <c r="M2750" s="26"/>
      <c r="N2750" s="27"/>
    </row>
    <row r="2751" spans="11:14" ht="15" customHeight="1" x14ac:dyDescent="0.25">
      <c r="K2751" s="26"/>
      <c r="L2751" s="26"/>
      <c r="M2751" s="26"/>
      <c r="N2751" s="27"/>
    </row>
    <row r="2752" spans="11:14" ht="15" customHeight="1" x14ac:dyDescent="0.25">
      <c r="K2752" s="26"/>
      <c r="L2752" s="26"/>
      <c r="M2752" s="26"/>
      <c r="N2752" s="27"/>
    </row>
    <row r="2753" spans="11:14" ht="15" customHeight="1" x14ac:dyDescent="0.25">
      <c r="K2753" s="26"/>
      <c r="L2753" s="26"/>
      <c r="M2753" s="26"/>
      <c r="N2753" s="27"/>
    </row>
    <row r="2754" spans="11:14" ht="15" customHeight="1" x14ac:dyDescent="0.25">
      <c r="K2754" s="26"/>
      <c r="L2754" s="26"/>
      <c r="M2754" s="26"/>
      <c r="N2754" s="27"/>
    </row>
    <row r="2755" spans="11:14" ht="15" customHeight="1" x14ac:dyDescent="0.25">
      <c r="K2755" s="26"/>
      <c r="L2755" s="26"/>
      <c r="M2755" s="26"/>
      <c r="N2755" s="27"/>
    </row>
    <row r="2756" spans="11:14" ht="15" customHeight="1" x14ac:dyDescent="0.25">
      <c r="K2756" s="26"/>
      <c r="L2756" s="26"/>
      <c r="M2756" s="26"/>
      <c r="N2756" s="27"/>
    </row>
    <row r="2757" spans="11:14" ht="15" customHeight="1" x14ac:dyDescent="0.25">
      <c r="K2757" s="26"/>
      <c r="L2757" s="26"/>
      <c r="M2757" s="26"/>
      <c r="N2757" s="27"/>
    </row>
    <row r="2758" spans="11:14" ht="15" customHeight="1" x14ac:dyDescent="0.25">
      <c r="K2758" s="26"/>
      <c r="L2758" s="26"/>
      <c r="M2758" s="26"/>
      <c r="N2758" s="27"/>
    </row>
    <row r="2759" spans="11:14" ht="15" customHeight="1" x14ac:dyDescent="0.25">
      <c r="K2759" s="26"/>
      <c r="L2759" s="26"/>
      <c r="M2759" s="26"/>
      <c r="N2759" s="27"/>
    </row>
    <row r="2760" spans="11:14" ht="15" customHeight="1" x14ac:dyDescent="0.25">
      <c r="K2760" s="26"/>
      <c r="L2760" s="26"/>
      <c r="M2760" s="26"/>
      <c r="N2760" s="27"/>
    </row>
    <row r="2761" spans="11:14" ht="15" customHeight="1" x14ac:dyDescent="0.25">
      <c r="K2761" s="26"/>
      <c r="L2761" s="26"/>
      <c r="M2761" s="26"/>
      <c r="N2761" s="27"/>
    </row>
    <row r="2762" spans="11:14" ht="15" customHeight="1" x14ac:dyDescent="0.25">
      <c r="K2762" s="26"/>
      <c r="L2762" s="26"/>
      <c r="M2762" s="26"/>
      <c r="N2762" s="27"/>
    </row>
    <row r="2763" spans="11:14" ht="15" customHeight="1" x14ac:dyDescent="0.25">
      <c r="K2763" s="26"/>
      <c r="L2763" s="26"/>
      <c r="M2763" s="26"/>
      <c r="N2763" s="27"/>
    </row>
    <row r="2764" spans="11:14" ht="15" customHeight="1" x14ac:dyDescent="0.25">
      <c r="K2764" s="26"/>
      <c r="L2764" s="26"/>
      <c r="M2764" s="26"/>
      <c r="N2764" s="27"/>
    </row>
    <row r="2765" spans="11:14" ht="15" customHeight="1" x14ac:dyDescent="0.25">
      <c r="K2765" s="26"/>
      <c r="L2765" s="26"/>
      <c r="M2765" s="26"/>
      <c r="N2765" s="27"/>
    </row>
    <row r="2766" spans="11:14" ht="15" customHeight="1" x14ac:dyDescent="0.25">
      <c r="K2766" s="26"/>
      <c r="L2766" s="26"/>
      <c r="M2766" s="26"/>
      <c r="N2766" s="27"/>
    </row>
    <row r="2767" spans="11:14" ht="15" customHeight="1" x14ac:dyDescent="0.25">
      <c r="K2767" s="26"/>
      <c r="L2767" s="26"/>
      <c r="M2767" s="26"/>
      <c r="N2767" s="27"/>
    </row>
    <row r="2768" spans="11:14" ht="15" customHeight="1" x14ac:dyDescent="0.25">
      <c r="K2768" s="26"/>
      <c r="L2768" s="26"/>
      <c r="M2768" s="26"/>
      <c r="N2768" s="27"/>
    </row>
    <row r="2769" spans="11:14" ht="15" customHeight="1" x14ac:dyDescent="0.25">
      <c r="K2769" s="26"/>
      <c r="L2769" s="26"/>
      <c r="M2769" s="26"/>
      <c r="N2769" s="27"/>
    </row>
    <row r="2770" spans="11:14" ht="15" customHeight="1" x14ac:dyDescent="0.25">
      <c r="K2770" s="26"/>
      <c r="L2770" s="26"/>
      <c r="M2770" s="26"/>
      <c r="N2770" s="27"/>
    </row>
    <row r="2771" spans="11:14" ht="15" customHeight="1" x14ac:dyDescent="0.25">
      <c r="K2771" s="26"/>
      <c r="L2771" s="26"/>
      <c r="M2771" s="26"/>
      <c r="N2771" s="27"/>
    </row>
    <row r="2772" spans="11:14" ht="15" customHeight="1" x14ac:dyDescent="0.25">
      <c r="K2772" s="26"/>
      <c r="L2772" s="26"/>
      <c r="M2772" s="26"/>
      <c r="N2772" s="27"/>
    </row>
    <row r="2773" spans="11:14" ht="15" customHeight="1" x14ac:dyDescent="0.25">
      <c r="K2773" s="26"/>
      <c r="L2773" s="26"/>
      <c r="M2773" s="26"/>
      <c r="N2773" s="27"/>
    </row>
    <row r="2774" spans="11:14" ht="15" customHeight="1" x14ac:dyDescent="0.25">
      <c r="K2774" s="26"/>
      <c r="L2774" s="26"/>
      <c r="M2774" s="26"/>
      <c r="N2774" s="27"/>
    </row>
    <row r="2775" spans="11:14" ht="15" customHeight="1" x14ac:dyDescent="0.25">
      <c r="K2775" s="26"/>
      <c r="L2775" s="26"/>
      <c r="M2775" s="26"/>
      <c r="N2775" s="27"/>
    </row>
    <row r="2776" spans="11:14" ht="15" customHeight="1" x14ac:dyDescent="0.25">
      <c r="K2776" s="26"/>
      <c r="L2776" s="26"/>
      <c r="M2776" s="26"/>
      <c r="N2776" s="27"/>
    </row>
    <row r="2777" spans="11:14" ht="15" customHeight="1" x14ac:dyDescent="0.25">
      <c r="K2777" s="26"/>
      <c r="L2777" s="26"/>
      <c r="M2777" s="26"/>
      <c r="N2777" s="27"/>
    </row>
    <row r="2778" spans="11:14" ht="15" customHeight="1" x14ac:dyDescent="0.25">
      <c r="K2778" s="26"/>
      <c r="L2778" s="26"/>
      <c r="M2778" s="26"/>
      <c r="N2778" s="27"/>
    </row>
    <row r="2779" spans="11:14" ht="15" customHeight="1" x14ac:dyDescent="0.25">
      <c r="K2779" s="26"/>
      <c r="L2779" s="26"/>
      <c r="M2779" s="26"/>
      <c r="N2779" s="27"/>
    </row>
    <row r="2780" spans="11:14" ht="15" customHeight="1" x14ac:dyDescent="0.25">
      <c r="K2780" s="26"/>
      <c r="L2780" s="26"/>
      <c r="M2780" s="26"/>
      <c r="N2780" s="27"/>
    </row>
    <row r="2781" spans="11:14" ht="15" customHeight="1" x14ac:dyDescent="0.25">
      <c r="K2781" s="26"/>
      <c r="L2781" s="26"/>
      <c r="M2781" s="26"/>
      <c r="N2781" s="27"/>
    </row>
    <row r="2782" spans="11:14" ht="15" customHeight="1" x14ac:dyDescent="0.25">
      <c r="K2782" s="26"/>
      <c r="L2782" s="26"/>
      <c r="M2782" s="26"/>
      <c r="N2782" s="27"/>
    </row>
    <row r="2783" spans="11:14" ht="15" customHeight="1" x14ac:dyDescent="0.25">
      <c r="K2783" s="26"/>
      <c r="L2783" s="26"/>
      <c r="M2783" s="26"/>
      <c r="N2783" s="27"/>
    </row>
    <row r="2784" spans="11:14" ht="15" customHeight="1" x14ac:dyDescent="0.25">
      <c r="K2784" s="26"/>
      <c r="L2784" s="26"/>
      <c r="M2784" s="26"/>
      <c r="N2784" s="27"/>
    </row>
    <row r="2785" spans="11:14" ht="15" customHeight="1" x14ac:dyDescent="0.25">
      <c r="K2785" s="26"/>
      <c r="L2785" s="26"/>
      <c r="M2785" s="26"/>
      <c r="N2785" s="27"/>
    </row>
    <row r="2786" spans="11:14" ht="15" customHeight="1" x14ac:dyDescent="0.25">
      <c r="K2786" s="26"/>
      <c r="L2786" s="26"/>
      <c r="M2786" s="26"/>
      <c r="N2786" s="27"/>
    </row>
    <row r="2787" spans="11:14" ht="15" customHeight="1" x14ac:dyDescent="0.25">
      <c r="K2787" s="26"/>
      <c r="L2787" s="26"/>
      <c r="M2787" s="26"/>
      <c r="N2787" s="27"/>
    </row>
    <row r="2788" spans="11:14" ht="15" customHeight="1" x14ac:dyDescent="0.25">
      <c r="K2788" s="26"/>
      <c r="L2788" s="26"/>
      <c r="M2788" s="26"/>
      <c r="N2788" s="27"/>
    </row>
    <row r="2789" spans="11:14" ht="15" customHeight="1" x14ac:dyDescent="0.25">
      <c r="K2789" s="26"/>
      <c r="L2789" s="26"/>
      <c r="M2789" s="26"/>
      <c r="N2789" s="27"/>
    </row>
    <row r="2790" spans="11:14" ht="15" customHeight="1" x14ac:dyDescent="0.25">
      <c r="K2790" s="26"/>
      <c r="L2790" s="26"/>
      <c r="M2790" s="26"/>
      <c r="N2790" s="27"/>
    </row>
    <row r="2791" spans="11:14" ht="15" customHeight="1" x14ac:dyDescent="0.25">
      <c r="K2791" s="26"/>
      <c r="L2791" s="26"/>
      <c r="M2791" s="26"/>
      <c r="N2791" s="27"/>
    </row>
    <row r="2792" spans="11:14" ht="15" customHeight="1" x14ac:dyDescent="0.25">
      <c r="K2792" s="26"/>
      <c r="L2792" s="26"/>
      <c r="M2792" s="26"/>
      <c r="N2792" s="27"/>
    </row>
    <row r="2793" spans="11:14" ht="15" customHeight="1" x14ac:dyDescent="0.25">
      <c r="K2793" s="26"/>
      <c r="L2793" s="26"/>
      <c r="M2793" s="26"/>
      <c r="N2793" s="27"/>
    </row>
    <row r="2794" spans="11:14" ht="15" customHeight="1" x14ac:dyDescent="0.25">
      <c r="K2794" s="26"/>
      <c r="L2794" s="26"/>
      <c r="M2794" s="26"/>
      <c r="N2794" s="27"/>
    </row>
    <row r="2795" spans="11:14" ht="15" customHeight="1" x14ac:dyDescent="0.25">
      <c r="K2795" s="26"/>
      <c r="L2795" s="26"/>
      <c r="M2795" s="26"/>
      <c r="N2795" s="27"/>
    </row>
    <row r="2796" spans="11:14" ht="15" customHeight="1" x14ac:dyDescent="0.25">
      <c r="K2796" s="26"/>
      <c r="L2796" s="26"/>
      <c r="M2796" s="26"/>
      <c r="N2796" s="27"/>
    </row>
    <row r="2797" spans="11:14" ht="15" customHeight="1" x14ac:dyDescent="0.25">
      <c r="K2797" s="26"/>
      <c r="L2797" s="26"/>
      <c r="M2797" s="26"/>
      <c r="N2797" s="27"/>
    </row>
    <row r="2798" spans="11:14" ht="15" customHeight="1" x14ac:dyDescent="0.25">
      <c r="K2798" s="26"/>
      <c r="L2798" s="26"/>
      <c r="M2798" s="26"/>
      <c r="N2798" s="27"/>
    </row>
    <row r="2799" spans="11:14" ht="15" customHeight="1" x14ac:dyDescent="0.25">
      <c r="K2799" s="26"/>
      <c r="L2799" s="26"/>
      <c r="M2799" s="26"/>
      <c r="N2799" s="27"/>
    </row>
    <row r="2800" spans="11:14" ht="15" customHeight="1" x14ac:dyDescent="0.25">
      <c r="K2800" s="26"/>
      <c r="L2800" s="26"/>
      <c r="M2800" s="26"/>
      <c r="N2800" s="27"/>
    </row>
    <row r="2801" spans="11:14" ht="15" customHeight="1" x14ac:dyDescent="0.25">
      <c r="K2801" s="26"/>
      <c r="L2801" s="26"/>
      <c r="M2801" s="26"/>
      <c r="N2801" s="27"/>
    </row>
    <row r="2802" spans="11:14" ht="15" customHeight="1" x14ac:dyDescent="0.25">
      <c r="K2802" s="26"/>
      <c r="L2802" s="26"/>
      <c r="M2802" s="26"/>
      <c r="N2802" s="27"/>
    </row>
    <row r="2803" spans="11:14" ht="15" customHeight="1" x14ac:dyDescent="0.25">
      <c r="K2803" s="26"/>
      <c r="L2803" s="26"/>
      <c r="M2803" s="26"/>
      <c r="N2803" s="27"/>
    </row>
    <row r="2804" spans="11:14" ht="15" customHeight="1" x14ac:dyDescent="0.25">
      <c r="K2804" s="26"/>
      <c r="L2804" s="26"/>
      <c r="M2804" s="26"/>
      <c r="N2804" s="27"/>
    </row>
    <row r="2805" spans="11:14" ht="15" customHeight="1" x14ac:dyDescent="0.25">
      <c r="K2805" s="26"/>
      <c r="L2805" s="26"/>
      <c r="M2805" s="26"/>
      <c r="N2805" s="27"/>
    </row>
    <row r="2806" spans="11:14" ht="15" customHeight="1" x14ac:dyDescent="0.25">
      <c r="K2806" s="26"/>
      <c r="L2806" s="26"/>
      <c r="M2806" s="26"/>
      <c r="N2806" s="27"/>
    </row>
    <row r="2807" spans="11:14" ht="15" customHeight="1" x14ac:dyDescent="0.25">
      <c r="K2807" s="26"/>
      <c r="L2807" s="26"/>
      <c r="M2807" s="26"/>
      <c r="N2807" s="27"/>
    </row>
    <row r="2808" spans="11:14" ht="15" customHeight="1" x14ac:dyDescent="0.25">
      <c r="K2808" s="26"/>
      <c r="L2808" s="26"/>
      <c r="M2808" s="26"/>
      <c r="N2808" s="27"/>
    </row>
    <row r="2809" spans="11:14" ht="15" customHeight="1" x14ac:dyDescent="0.25">
      <c r="K2809" s="26"/>
      <c r="L2809" s="26"/>
      <c r="M2809" s="26"/>
      <c r="N2809" s="27"/>
    </row>
    <row r="2810" spans="11:14" ht="15" customHeight="1" x14ac:dyDescent="0.25">
      <c r="K2810" s="26"/>
      <c r="L2810" s="26"/>
      <c r="M2810" s="26"/>
      <c r="N2810" s="27"/>
    </row>
    <row r="2811" spans="11:14" ht="15" customHeight="1" x14ac:dyDescent="0.25">
      <c r="K2811" s="26"/>
      <c r="L2811" s="26"/>
      <c r="M2811" s="26"/>
      <c r="N2811" s="27"/>
    </row>
    <row r="2812" spans="11:14" ht="15" customHeight="1" x14ac:dyDescent="0.25">
      <c r="K2812" s="26"/>
      <c r="L2812" s="26"/>
      <c r="M2812" s="26"/>
      <c r="N2812" s="27"/>
    </row>
    <row r="2813" spans="11:14" ht="15" customHeight="1" x14ac:dyDescent="0.25">
      <c r="K2813" s="26"/>
      <c r="L2813" s="26"/>
      <c r="M2813" s="26"/>
      <c r="N2813" s="27"/>
    </row>
    <row r="2814" spans="11:14" ht="15" customHeight="1" x14ac:dyDescent="0.25">
      <c r="K2814" s="26"/>
      <c r="L2814" s="26"/>
      <c r="M2814" s="26"/>
      <c r="N2814" s="27"/>
    </row>
    <row r="2815" spans="11:14" ht="15" customHeight="1" x14ac:dyDescent="0.25">
      <c r="K2815" s="26"/>
      <c r="L2815" s="26"/>
      <c r="M2815" s="26"/>
      <c r="N2815" s="27"/>
    </row>
    <row r="2816" spans="11:14" ht="15" customHeight="1" x14ac:dyDescent="0.25">
      <c r="K2816" s="26"/>
      <c r="L2816" s="26"/>
      <c r="M2816" s="26"/>
      <c r="N2816" s="27"/>
    </row>
    <row r="2817" spans="11:14" ht="15" customHeight="1" x14ac:dyDescent="0.25">
      <c r="K2817" s="26"/>
      <c r="L2817" s="26"/>
      <c r="M2817" s="26"/>
      <c r="N2817" s="27"/>
    </row>
    <row r="2818" spans="11:14" ht="15" customHeight="1" x14ac:dyDescent="0.25">
      <c r="K2818" s="26"/>
      <c r="L2818" s="26"/>
      <c r="M2818" s="26"/>
      <c r="N2818" s="27"/>
    </row>
    <row r="2819" spans="11:14" ht="15" customHeight="1" x14ac:dyDescent="0.25">
      <c r="K2819" s="26"/>
      <c r="L2819" s="26"/>
      <c r="M2819" s="26"/>
      <c r="N2819" s="27"/>
    </row>
    <row r="2820" spans="11:14" ht="15" customHeight="1" x14ac:dyDescent="0.25">
      <c r="K2820" s="26"/>
      <c r="L2820" s="26"/>
      <c r="M2820" s="26"/>
      <c r="N2820" s="27"/>
    </row>
    <row r="2821" spans="11:14" ht="15" customHeight="1" x14ac:dyDescent="0.25">
      <c r="K2821" s="26"/>
      <c r="L2821" s="26"/>
      <c r="M2821" s="26"/>
      <c r="N2821" s="27"/>
    </row>
    <row r="2822" spans="11:14" ht="15" customHeight="1" x14ac:dyDescent="0.25">
      <c r="K2822" s="26"/>
      <c r="L2822" s="26"/>
      <c r="M2822" s="26"/>
      <c r="N2822" s="27"/>
    </row>
    <row r="2823" spans="11:14" ht="15" customHeight="1" x14ac:dyDescent="0.25">
      <c r="K2823" s="26"/>
      <c r="L2823" s="26"/>
      <c r="M2823" s="26"/>
      <c r="N2823" s="27"/>
    </row>
    <row r="2824" spans="11:14" ht="15" customHeight="1" x14ac:dyDescent="0.25">
      <c r="K2824" s="26"/>
      <c r="L2824" s="26"/>
      <c r="M2824" s="26"/>
      <c r="N2824" s="27"/>
    </row>
    <row r="2825" spans="11:14" ht="15" customHeight="1" x14ac:dyDescent="0.25">
      <c r="K2825" s="26"/>
      <c r="L2825" s="26"/>
      <c r="M2825" s="26"/>
      <c r="N2825" s="27"/>
    </row>
    <row r="2826" spans="11:14" ht="15" customHeight="1" x14ac:dyDescent="0.25">
      <c r="K2826" s="26"/>
      <c r="L2826" s="26"/>
      <c r="M2826" s="26"/>
      <c r="N2826" s="27"/>
    </row>
    <row r="2827" spans="11:14" ht="15" customHeight="1" x14ac:dyDescent="0.25">
      <c r="K2827" s="26"/>
      <c r="L2827" s="26"/>
      <c r="M2827" s="26"/>
      <c r="N2827" s="27"/>
    </row>
    <row r="2828" spans="11:14" ht="15" customHeight="1" x14ac:dyDescent="0.25">
      <c r="K2828" s="26"/>
      <c r="L2828" s="26"/>
      <c r="M2828" s="26"/>
      <c r="N2828" s="27"/>
    </row>
    <row r="2829" spans="11:14" ht="15" customHeight="1" x14ac:dyDescent="0.25">
      <c r="K2829" s="26"/>
      <c r="L2829" s="26"/>
      <c r="M2829" s="26"/>
      <c r="N2829" s="27"/>
    </row>
    <row r="2830" spans="11:14" ht="15" customHeight="1" x14ac:dyDescent="0.25">
      <c r="K2830" s="26"/>
      <c r="L2830" s="26"/>
      <c r="M2830" s="26"/>
      <c r="N2830" s="27"/>
    </row>
    <row r="2831" spans="11:14" ht="15" customHeight="1" x14ac:dyDescent="0.25">
      <c r="K2831" s="26"/>
      <c r="L2831" s="26"/>
      <c r="M2831" s="26"/>
      <c r="N2831" s="27"/>
    </row>
    <row r="2832" spans="11:14" ht="15" customHeight="1" x14ac:dyDescent="0.25">
      <c r="K2832" s="26"/>
      <c r="L2832" s="26"/>
      <c r="M2832" s="26"/>
      <c r="N2832" s="27"/>
    </row>
    <row r="2833" spans="11:14" ht="15" customHeight="1" x14ac:dyDescent="0.25">
      <c r="K2833" s="26"/>
      <c r="L2833" s="26"/>
      <c r="M2833" s="26"/>
      <c r="N2833" s="27"/>
    </row>
    <row r="2834" spans="11:14" ht="15" customHeight="1" x14ac:dyDescent="0.25">
      <c r="K2834" s="26"/>
      <c r="L2834" s="26"/>
      <c r="M2834" s="26"/>
      <c r="N2834" s="27"/>
    </row>
    <row r="2835" spans="11:14" ht="15" customHeight="1" x14ac:dyDescent="0.25">
      <c r="K2835" s="26"/>
      <c r="L2835" s="26"/>
      <c r="M2835" s="26"/>
      <c r="N2835" s="27"/>
    </row>
    <row r="2836" spans="11:14" ht="15" customHeight="1" x14ac:dyDescent="0.25">
      <c r="K2836" s="26"/>
      <c r="L2836" s="26"/>
      <c r="M2836" s="26"/>
      <c r="N2836" s="27"/>
    </row>
    <row r="2837" spans="11:14" ht="15" customHeight="1" x14ac:dyDescent="0.25">
      <c r="K2837" s="26"/>
      <c r="L2837" s="26"/>
      <c r="M2837" s="26"/>
      <c r="N2837" s="27"/>
    </row>
    <row r="2838" spans="11:14" ht="15" customHeight="1" x14ac:dyDescent="0.25">
      <c r="K2838" s="26"/>
      <c r="L2838" s="26"/>
      <c r="M2838" s="26"/>
      <c r="N2838" s="27"/>
    </row>
    <row r="2839" spans="11:14" ht="15" customHeight="1" x14ac:dyDescent="0.25">
      <c r="K2839" s="26"/>
      <c r="L2839" s="26"/>
      <c r="M2839" s="26"/>
      <c r="N2839" s="27"/>
    </row>
    <row r="2840" spans="11:14" ht="15" customHeight="1" x14ac:dyDescent="0.25">
      <c r="K2840" s="26"/>
      <c r="L2840" s="26"/>
      <c r="M2840" s="26"/>
      <c r="N2840" s="27"/>
    </row>
    <row r="2841" spans="11:14" ht="15" customHeight="1" x14ac:dyDescent="0.25">
      <c r="K2841" s="26"/>
      <c r="L2841" s="26"/>
      <c r="M2841" s="26"/>
      <c r="N2841" s="27"/>
    </row>
    <row r="2842" spans="11:14" ht="15" customHeight="1" x14ac:dyDescent="0.25">
      <c r="K2842" s="26"/>
      <c r="L2842" s="26"/>
      <c r="M2842" s="26"/>
      <c r="N2842" s="27"/>
    </row>
    <row r="2843" spans="11:14" ht="15" customHeight="1" x14ac:dyDescent="0.25">
      <c r="K2843" s="26"/>
      <c r="L2843" s="26"/>
      <c r="M2843" s="26"/>
      <c r="N2843" s="27"/>
    </row>
    <row r="2844" spans="11:14" ht="15" customHeight="1" x14ac:dyDescent="0.25">
      <c r="K2844" s="26"/>
      <c r="L2844" s="26"/>
      <c r="M2844" s="26"/>
      <c r="N2844" s="27"/>
    </row>
    <row r="2845" spans="11:14" ht="15" customHeight="1" x14ac:dyDescent="0.25">
      <c r="K2845" s="26"/>
      <c r="L2845" s="26"/>
      <c r="M2845" s="26"/>
      <c r="N2845" s="27"/>
    </row>
    <row r="2846" spans="11:14" ht="15" customHeight="1" x14ac:dyDescent="0.25">
      <c r="K2846" s="26"/>
      <c r="L2846" s="26"/>
      <c r="M2846" s="26"/>
      <c r="N2846" s="27"/>
    </row>
    <row r="2847" spans="11:14" ht="15" customHeight="1" x14ac:dyDescent="0.25">
      <c r="K2847" s="26"/>
      <c r="L2847" s="26"/>
      <c r="M2847" s="26"/>
      <c r="N2847" s="27"/>
    </row>
    <row r="2848" spans="11:14" ht="15" customHeight="1" x14ac:dyDescent="0.25">
      <c r="K2848" s="26"/>
      <c r="L2848" s="26"/>
      <c r="M2848" s="26"/>
      <c r="N2848" s="27"/>
    </row>
    <row r="2849" spans="11:14" ht="15" customHeight="1" x14ac:dyDescent="0.25">
      <c r="K2849" s="26"/>
      <c r="L2849" s="26"/>
      <c r="M2849" s="26"/>
      <c r="N2849" s="27"/>
    </row>
    <row r="2850" spans="11:14" ht="15" customHeight="1" x14ac:dyDescent="0.25">
      <c r="K2850" s="26"/>
      <c r="L2850" s="26"/>
      <c r="M2850" s="26"/>
      <c r="N2850" s="27"/>
    </row>
    <row r="2851" spans="11:14" ht="15" customHeight="1" x14ac:dyDescent="0.25">
      <c r="K2851" s="26"/>
      <c r="L2851" s="26"/>
      <c r="M2851" s="26"/>
      <c r="N2851" s="27"/>
    </row>
    <row r="2852" spans="11:14" ht="15" customHeight="1" x14ac:dyDescent="0.25">
      <c r="K2852" s="26"/>
      <c r="L2852" s="26"/>
      <c r="M2852" s="26"/>
      <c r="N2852" s="27"/>
    </row>
    <row r="2853" spans="11:14" ht="15" customHeight="1" x14ac:dyDescent="0.25">
      <c r="K2853" s="26"/>
      <c r="L2853" s="26"/>
      <c r="M2853" s="26"/>
      <c r="N2853" s="27"/>
    </row>
    <row r="2854" spans="11:14" ht="15" customHeight="1" x14ac:dyDescent="0.25">
      <c r="K2854" s="26"/>
      <c r="L2854" s="26"/>
      <c r="M2854" s="26"/>
      <c r="N2854" s="27"/>
    </row>
    <row r="2855" spans="11:14" ht="15" customHeight="1" x14ac:dyDescent="0.25">
      <c r="K2855" s="26"/>
      <c r="L2855" s="26"/>
      <c r="M2855" s="26"/>
      <c r="N2855" s="27"/>
    </row>
    <row r="2856" spans="11:14" ht="15" customHeight="1" x14ac:dyDescent="0.25">
      <c r="K2856" s="26"/>
      <c r="L2856" s="26"/>
      <c r="M2856" s="26"/>
      <c r="N2856" s="27"/>
    </row>
    <row r="2857" spans="11:14" ht="15" customHeight="1" x14ac:dyDescent="0.25">
      <c r="K2857" s="26"/>
      <c r="L2857" s="26"/>
      <c r="M2857" s="26"/>
      <c r="N2857" s="27"/>
    </row>
    <row r="2858" spans="11:14" ht="15" customHeight="1" x14ac:dyDescent="0.25">
      <c r="K2858" s="26"/>
      <c r="L2858" s="26"/>
      <c r="M2858" s="26"/>
      <c r="N2858" s="27"/>
    </row>
    <row r="2859" spans="11:14" ht="15" customHeight="1" x14ac:dyDescent="0.25">
      <c r="K2859" s="26"/>
      <c r="L2859" s="26"/>
      <c r="M2859" s="26"/>
      <c r="N2859" s="27"/>
    </row>
    <row r="2860" spans="11:14" ht="15" customHeight="1" x14ac:dyDescent="0.25">
      <c r="K2860" s="26"/>
      <c r="L2860" s="26"/>
      <c r="M2860" s="26"/>
      <c r="N2860" s="27"/>
    </row>
    <row r="2861" spans="11:14" ht="15" customHeight="1" x14ac:dyDescent="0.25">
      <c r="K2861" s="26"/>
      <c r="L2861" s="26"/>
      <c r="M2861" s="26"/>
      <c r="N2861" s="27"/>
    </row>
    <row r="2862" spans="11:14" ht="15" customHeight="1" x14ac:dyDescent="0.25">
      <c r="K2862" s="26"/>
      <c r="L2862" s="26"/>
      <c r="M2862" s="26"/>
      <c r="N2862" s="27"/>
    </row>
    <row r="2863" spans="11:14" ht="15" customHeight="1" x14ac:dyDescent="0.25">
      <c r="K2863" s="26"/>
      <c r="L2863" s="26"/>
      <c r="M2863" s="26"/>
      <c r="N2863" s="27"/>
    </row>
    <row r="2864" spans="11:14" ht="15" customHeight="1" x14ac:dyDescent="0.25">
      <c r="K2864" s="26"/>
      <c r="L2864" s="26"/>
      <c r="M2864" s="26"/>
      <c r="N2864" s="27"/>
    </row>
    <row r="2865" spans="11:14" ht="15" customHeight="1" x14ac:dyDescent="0.25">
      <c r="K2865" s="26"/>
      <c r="L2865" s="26"/>
      <c r="M2865" s="26"/>
      <c r="N2865" s="27"/>
    </row>
    <row r="2866" spans="11:14" ht="15" customHeight="1" x14ac:dyDescent="0.25">
      <c r="K2866" s="26"/>
      <c r="L2866" s="26"/>
      <c r="M2866" s="26"/>
      <c r="N2866" s="27"/>
    </row>
    <row r="2867" spans="11:14" ht="15" customHeight="1" x14ac:dyDescent="0.25">
      <c r="K2867" s="26"/>
      <c r="L2867" s="26"/>
      <c r="M2867" s="26"/>
      <c r="N2867" s="27"/>
    </row>
    <row r="2868" spans="11:14" ht="15" customHeight="1" x14ac:dyDescent="0.25">
      <c r="K2868" s="26"/>
      <c r="L2868" s="26"/>
      <c r="M2868" s="26"/>
      <c r="N2868" s="27"/>
    </row>
    <row r="2869" spans="11:14" ht="15" customHeight="1" x14ac:dyDescent="0.25">
      <c r="K2869" s="26"/>
      <c r="L2869" s="26"/>
      <c r="M2869" s="26"/>
      <c r="N2869" s="27"/>
    </row>
    <row r="2870" spans="11:14" ht="15" customHeight="1" x14ac:dyDescent="0.25">
      <c r="K2870" s="26"/>
      <c r="L2870" s="26"/>
      <c r="M2870" s="26"/>
      <c r="N2870" s="27"/>
    </row>
    <row r="2871" spans="11:14" ht="15" customHeight="1" x14ac:dyDescent="0.25">
      <c r="K2871" s="26"/>
      <c r="L2871" s="26"/>
      <c r="M2871" s="26"/>
      <c r="N2871" s="27"/>
    </row>
    <row r="2872" spans="11:14" ht="15" customHeight="1" x14ac:dyDescent="0.25">
      <c r="K2872" s="26"/>
      <c r="L2872" s="26"/>
      <c r="M2872" s="26"/>
      <c r="N2872" s="27"/>
    </row>
    <row r="2873" spans="11:14" ht="15" customHeight="1" x14ac:dyDescent="0.25">
      <c r="K2873" s="26"/>
      <c r="L2873" s="26"/>
      <c r="M2873" s="26"/>
      <c r="N2873" s="27"/>
    </row>
    <row r="2874" spans="11:14" ht="15" customHeight="1" x14ac:dyDescent="0.25">
      <c r="K2874" s="26"/>
      <c r="L2874" s="26"/>
      <c r="M2874" s="26"/>
      <c r="N2874" s="27"/>
    </row>
    <row r="2875" spans="11:14" ht="15" customHeight="1" x14ac:dyDescent="0.25">
      <c r="K2875" s="26"/>
      <c r="L2875" s="26"/>
      <c r="M2875" s="26"/>
      <c r="N2875" s="27"/>
    </row>
    <row r="2876" spans="11:14" ht="15" customHeight="1" x14ac:dyDescent="0.25">
      <c r="K2876" s="26"/>
      <c r="L2876" s="26"/>
      <c r="M2876" s="26"/>
      <c r="N2876" s="27"/>
    </row>
    <row r="2877" spans="11:14" ht="15" customHeight="1" x14ac:dyDescent="0.25">
      <c r="K2877" s="26"/>
      <c r="L2877" s="26"/>
      <c r="M2877" s="26"/>
      <c r="N2877" s="27"/>
    </row>
    <row r="2878" spans="11:14" ht="15" customHeight="1" x14ac:dyDescent="0.25">
      <c r="K2878" s="26"/>
      <c r="L2878" s="26"/>
      <c r="M2878" s="26"/>
      <c r="N2878" s="27"/>
    </row>
    <row r="2879" spans="11:14" ht="15" customHeight="1" x14ac:dyDescent="0.25">
      <c r="K2879" s="26"/>
      <c r="L2879" s="26"/>
      <c r="M2879" s="26"/>
      <c r="N2879" s="27"/>
    </row>
    <row r="2880" spans="11:14" ht="15" customHeight="1" x14ac:dyDescent="0.25">
      <c r="K2880" s="26"/>
      <c r="L2880" s="26"/>
      <c r="M2880" s="26"/>
      <c r="N2880" s="27"/>
    </row>
    <row r="2881" spans="11:14" ht="15" customHeight="1" x14ac:dyDescent="0.25">
      <c r="K2881" s="26"/>
      <c r="L2881" s="26"/>
      <c r="M2881" s="26"/>
      <c r="N2881" s="27"/>
    </row>
    <row r="2882" spans="11:14" ht="15" customHeight="1" x14ac:dyDescent="0.25">
      <c r="K2882" s="26"/>
      <c r="L2882" s="26"/>
      <c r="M2882" s="26"/>
      <c r="N2882" s="27"/>
    </row>
    <row r="2883" spans="11:14" ht="15" customHeight="1" x14ac:dyDescent="0.25">
      <c r="K2883" s="26"/>
      <c r="L2883" s="26"/>
      <c r="M2883" s="26"/>
      <c r="N2883" s="27"/>
    </row>
    <row r="2884" spans="11:14" ht="15" customHeight="1" x14ac:dyDescent="0.25">
      <c r="K2884" s="26"/>
      <c r="L2884" s="26"/>
      <c r="M2884" s="26"/>
      <c r="N2884" s="27"/>
    </row>
    <row r="2885" spans="11:14" ht="15" customHeight="1" x14ac:dyDescent="0.25">
      <c r="K2885" s="26"/>
      <c r="L2885" s="26"/>
      <c r="M2885" s="26"/>
      <c r="N2885" s="27"/>
    </row>
    <row r="2886" spans="11:14" ht="15" customHeight="1" x14ac:dyDescent="0.25">
      <c r="K2886" s="26"/>
      <c r="L2886" s="26"/>
      <c r="M2886" s="26"/>
      <c r="N2886" s="27"/>
    </row>
    <row r="2887" spans="11:14" ht="15" customHeight="1" x14ac:dyDescent="0.25">
      <c r="K2887" s="26"/>
      <c r="L2887" s="26"/>
      <c r="M2887" s="26"/>
      <c r="N2887" s="27"/>
    </row>
    <row r="2888" spans="11:14" ht="15" customHeight="1" x14ac:dyDescent="0.25">
      <c r="K2888" s="26"/>
      <c r="L2888" s="26"/>
      <c r="M2888" s="26"/>
      <c r="N2888" s="27"/>
    </row>
    <row r="2889" spans="11:14" ht="15" customHeight="1" x14ac:dyDescent="0.25">
      <c r="K2889" s="26"/>
      <c r="L2889" s="26"/>
      <c r="M2889" s="26"/>
      <c r="N2889" s="27"/>
    </row>
    <row r="2890" spans="11:14" ht="15" customHeight="1" x14ac:dyDescent="0.25">
      <c r="K2890" s="26"/>
      <c r="L2890" s="26"/>
      <c r="M2890" s="26"/>
      <c r="N2890" s="27"/>
    </row>
    <row r="2891" spans="11:14" ht="15" customHeight="1" x14ac:dyDescent="0.25">
      <c r="K2891" s="26"/>
      <c r="L2891" s="26"/>
      <c r="M2891" s="26"/>
      <c r="N2891" s="27"/>
    </row>
    <row r="2892" spans="11:14" ht="15" customHeight="1" x14ac:dyDescent="0.25">
      <c r="K2892" s="26"/>
      <c r="L2892" s="26"/>
      <c r="M2892" s="26"/>
      <c r="N2892" s="27"/>
    </row>
    <row r="2893" spans="11:14" ht="15" customHeight="1" x14ac:dyDescent="0.25">
      <c r="K2893" s="26"/>
      <c r="L2893" s="26"/>
      <c r="M2893" s="26"/>
      <c r="N2893" s="27"/>
    </row>
    <row r="2894" spans="11:14" ht="15" customHeight="1" x14ac:dyDescent="0.25">
      <c r="K2894" s="26"/>
      <c r="L2894" s="26"/>
      <c r="M2894" s="26"/>
      <c r="N2894" s="27"/>
    </row>
    <row r="2895" spans="11:14" ht="15" customHeight="1" x14ac:dyDescent="0.25">
      <c r="K2895" s="26"/>
      <c r="L2895" s="26"/>
      <c r="M2895" s="26"/>
      <c r="N2895" s="27"/>
    </row>
    <row r="2896" spans="11:14" ht="15" customHeight="1" x14ac:dyDescent="0.25">
      <c r="K2896" s="26"/>
      <c r="L2896" s="26"/>
      <c r="M2896" s="26"/>
      <c r="N2896" s="27"/>
    </row>
    <row r="2897" spans="11:14" ht="15" customHeight="1" x14ac:dyDescent="0.25">
      <c r="K2897" s="26"/>
      <c r="L2897" s="26"/>
      <c r="M2897" s="26"/>
      <c r="N2897" s="27"/>
    </row>
    <row r="2898" spans="11:14" ht="15" customHeight="1" x14ac:dyDescent="0.25">
      <c r="K2898" s="26"/>
      <c r="L2898" s="26"/>
      <c r="M2898" s="26"/>
      <c r="N2898" s="27"/>
    </row>
    <row r="2899" spans="11:14" ht="15" customHeight="1" x14ac:dyDescent="0.25">
      <c r="K2899" s="26"/>
      <c r="L2899" s="26"/>
      <c r="M2899" s="26"/>
      <c r="N2899" s="27"/>
    </row>
    <row r="2900" spans="11:14" ht="15" customHeight="1" x14ac:dyDescent="0.25">
      <c r="K2900" s="26"/>
      <c r="L2900" s="26"/>
      <c r="M2900" s="26"/>
      <c r="N2900" s="27"/>
    </row>
    <row r="2901" spans="11:14" ht="15" customHeight="1" x14ac:dyDescent="0.25">
      <c r="K2901" s="26"/>
      <c r="L2901" s="26"/>
      <c r="M2901" s="26"/>
      <c r="N2901" s="27"/>
    </row>
    <row r="2902" spans="11:14" ht="15" customHeight="1" x14ac:dyDescent="0.25">
      <c r="K2902" s="26"/>
      <c r="L2902" s="26"/>
      <c r="M2902" s="26"/>
      <c r="N2902" s="27"/>
    </row>
    <row r="2903" spans="11:14" ht="15" customHeight="1" x14ac:dyDescent="0.25">
      <c r="K2903" s="26"/>
      <c r="L2903" s="26"/>
      <c r="M2903" s="26"/>
      <c r="N2903" s="27"/>
    </row>
    <row r="2904" spans="11:14" ht="15" customHeight="1" x14ac:dyDescent="0.25">
      <c r="K2904" s="26"/>
      <c r="L2904" s="26"/>
      <c r="M2904" s="26"/>
      <c r="N2904" s="27"/>
    </row>
    <row r="2905" spans="11:14" ht="15" customHeight="1" x14ac:dyDescent="0.25">
      <c r="K2905" s="26"/>
      <c r="L2905" s="26"/>
      <c r="M2905" s="26"/>
      <c r="N2905" s="27"/>
    </row>
    <row r="2906" spans="11:14" ht="15" customHeight="1" x14ac:dyDescent="0.25">
      <c r="K2906" s="26"/>
      <c r="L2906" s="26"/>
      <c r="M2906" s="26"/>
      <c r="N2906" s="27"/>
    </row>
    <row r="2907" spans="11:14" ht="15" customHeight="1" x14ac:dyDescent="0.25">
      <c r="K2907" s="26"/>
      <c r="L2907" s="26"/>
      <c r="M2907" s="26"/>
      <c r="N2907" s="27"/>
    </row>
    <row r="2908" spans="11:14" ht="15" customHeight="1" x14ac:dyDescent="0.25">
      <c r="K2908" s="26"/>
      <c r="L2908" s="26"/>
      <c r="M2908" s="26"/>
      <c r="N2908" s="27"/>
    </row>
    <row r="2909" spans="11:14" ht="15" customHeight="1" x14ac:dyDescent="0.25">
      <c r="K2909" s="26"/>
      <c r="L2909" s="26"/>
      <c r="M2909" s="26"/>
      <c r="N2909" s="27"/>
    </row>
    <row r="2910" spans="11:14" ht="15" customHeight="1" x14ac:dyDescent="0.25">
      <c r="K2910" s="26"/>
      <c r="L2910" s="26"/>
      <c r="M2910" s="26"/>
      <c r="N2910" s="27"/>
    </row>
    <row r="2911" spans="11:14" ht="15" customHeight="1" x14ac:dyDescent="0.25">
      <c r="K2911" s="26"/>
      <c r="L2911" s="26"/>
      <c r="M2911" s="26"/>
      <c r="N2911" s="27"/>
    </row>
    <row r="2912" spans="11:14" ht="15" customHeight="1" x14ac:dyDescent="0.25">
      <c r="K2912" s="26"/>
      <c r="L2912" s="26"/>
      <c r="M2912" s="26"/>
      <c r="N2912" s="27"/>
    </row>
    <row r="2913" spans="11:14" ht="15" customHeight="1" x14ac:dyDescent="0.25">
      <c r="K2913" s="26"/>
      <c r="L2913" s="26"/>
      <c r="M2913" s="26"/>
      <c r="N2913" s="27"/>
    </row>
    <row r="2914" spans="11:14" ht="15" customHeight="1" x14ac:dyDescent="0.25">
      <c r="K2914" s="26"/>
      <c r="L2914" s="26"/>
      <c r="M2914" s="26"/>
      <c r="N2914" s="27"/>
    </row>
    <row r="2915" spans="11:14" ht="15" customHeight="1" x14ac:dyDescent="0.25">
      <c r="K2915" s="26"/>
      <c r="L2915" s="26"/>
      <c r="M2915" s="26"/>
      <c r="N2915" s="27"/>
    </row>
    <row r="2916" spans="11:14" ht="15" customHeight="1" x14ac:dyDescent="0.25">
      <c r="K2916" s="26"/>
      <c r="L2916" s="26"/>
      <c r="M2916" s="26"/>
      <c r="N2916" s="27"/>
    </row>
    <row r="2917" spans="11:14" ht="15" customHeight="1" x14ac:dyDescent="0.25">
      <c r="K2917" s="26"/>
      <c r="L2917" s="26"/>
      <c r="M2917" s="26"/>
      <c r="N2917" s="27"/>
    </row>
    <row r="2918" spans="11:14" ht="15" customHeight="1" x14ac:dyDescent="0.25">
      <c r="K2918" s="26"/>
      <c r="L2918" s="26"/>
      <c r="M2918" s="26"/>
      <c r="N2918" s="27"/>
    </row>
    <row r="2919" spans="11:14" ht="15" customHeight="1" x14ac:dyDescent="0.25">
      <c r="K2919" s="26"/>
      <c r="L2919" s="26"/>
      <c r="M2919" s="26"/>
      <c r="N2919" s="27"/>
    </row>
    <row r="2920" spans="11:14" ht="15" customHeight="1" x14ac:dyDescent="0.25">
      <c r="K2920" s="26"/>
      <c r="L2920" s="26"/>
      <c r="M2920" s="26"/>
      <c r="N2920" s="27"/>
    </row>
    <row r="2921" spans="11:14" ht="15" customHeight="1" x14ac:dyDescent="0.25">
      <c r="K2921" s="26"/>
      <c r="L2921" s="26"/>
      <c r="M2921" s="26"/>
      <c r="N2921" s="27"/>
    </row>
    <row r="2922" spans="11:14" ht="15" customHeight="1" x14ac:dyDescent="0.25">
      <c r="K2922" s="26"/>
      <c r="L2922" s="26"/>
      <c r="M2922" s="26"/>
      <c r="N2922" s="27"/>
    </row>
    <row r="2923" spans="11:14" ht="15" customHeight="1" x14ac:dyDescent="0.25">
      <c r="K2923" s="26"/>
      <c r="L2923" s="26"/>
      <c r="M2923" s="26"/>
      <c r="N2923" s="27"/>
    </row>
    <row r="2924" spans="11:14" ht="15" customHeight="1" x14ac:dyDescent="0.25">
      <c r="K2924" s="26"/>
      <c r="L2924" s="26"/>
      <c r="M2924" s="26"/>
      <c r="N2924" s="27"/>
    </row>
    <row r="2925" spans="11:14" ht="15" customHeight="1" x14ac:dyDescent="0.25">
      <c r="K2925" s="26"/>
      <c r="L2925" s="26"/>
      <c r="M2925" s="26"/>
      <c r="N2925" s="27"/>
    </row>
    <row r="2926" spans="11:14" ht="15" customHeight="1" x14ac:dyDescent="0.25">
      <c r="K2926" s="26"/>
      <c r="L2926" s="26"/>
      <c r="M2926" s="26"/>
      <c r="N2926" s="27"/>
    </row>
    <row r="2927" spans="11:14" ht="15" customHeight="1" x14ac:dyDescent="0.25">
      <c r="K2927" s="26"/>
      <c r="L2927" s="26"/>
      <c r="M2927" s="26"/>
      <c r="N2927" s="27"/>
    </row>
    <row r="2928" spans="11:14" ht="15" customHeight="1" x14ac:dyDescent="0.25">
      <c r="K2928" s="26"/>
      <c r="L2928" s="26"/>
      <c r="M2928" s="26"/>
      <c r="N2928" s="27"/>
    </row>
    <row r="2929" spans="11:14" ht="15" customHeight="1" x14ac:dyDescent="0.25">
      <c r="K2929" s="26"/>
      <c r="L2929" s="26"/>
      <c r="M2929" s="26"/>
      <c r="N2929" s="27"/>
    </row>
    <row r="2930" spans="11:14" ht="15" customHeight="1" x14ac:dyDescent="0.25">
      <c r="K2930" s="26"/>
      <c r="L2930" s="26"/>
      <c r="M2930" s="26"/>
      <c r="N2930" s="27"/>
    </row>
    <row r="2931" spans="11:14" ht="15" customHeight="1" x14ac:dyDescent="0.25">
      <c r="K2931" s="26"/>
      <c r="L2931" s="26"/>
      <c r="M2931" s="26"/>
      <c r="N2931" s="27"/>
    </row>
    <row r="2932" spans="11:14" ht="15" customHeight="1" x14ac:dyDescent="0.25">
      <c r="K2932" s="26"/>
      <c r="L2932" s="26"/>
      <c r="M2932" s="26"/>
      <c r="N2932" s="27"/>
    </row>
    <row r="2933" spans="11:14" ht="15" customHeight="1" x14ac:dyDescent="0.25">
      <c r="K2933" s="26"/>
      <c r="L2933" s="26"/>
      <c r="M2933" s="26"/>
      <c r="N2933" s="27"/>
    </row>
    <row r="2934" spans="11:14" ht="15" customHeight="1" x14ac:dyDescent="0.25">
      <c r="K2934" s="26"/>
      <c r="L2934" s="26"/>
      <c r="M2934" s="26"/>
      <c r="N2934" s="27"/>
    </row>
    <row r="2935" spans="11:14" ht="15" customHeight="1" x14ac:dyDescent="0.25">
      <c r="K2935" s="26"/>
      <c r="L2935" s="26"/>
      <c r="M2935" s="26"/>
      <c r="N2935" s="27"/>
    </row>
    <row r="2936" spans="11:14" ht="15" customHeight="1" x14ac:dyDescent="0.25">
      <c r="K2936" s="26"/>
      <c r="L2936" s="26"/>
      <c r="M2936" s="26"/>
      <c r="N2936" s="27"/>
    </row>
    <row r="2937" spans="11:14" ht="15" customHeight="1" x14ac:dyDescent="0.25">
      <c r="K2937" s="26"/>
      <c r="L2937" s="26"/>
      <c r="M2937" s="26"/>
      <c r="N2937" s="27"/>
    </row>
    <row r="2938" spans="11:14" ht="15" customHeight="1" x14ac:dyDescent="0.25">
      <c r="K2938" s="26"/>
      <c r="L2938" s="26"/>
      <c r="M2938" s="26"/>
      <c r="N2938" s="27"/>
    </row>
    <row r="2939" spans="11:14" ht="15" customHeight="1" x14ac:dyDescent="0.25">
      <c r="K2939" s="26"/>
      <c r="L2939" s="26"/>
      <c r="M2939" s="26"/>
      <c r="N2939" s="27"/>
    </row>
    <row r="2940" spans="11:14" ht="15" customHeight="1" x14ac:dyDescent="0.25">
      <c r="K2940" s="26"/>
      <c r="L2940" s="26"/>
      <c r="M2940" s="26"/>
      <c r="N2940" s="27"/>
    </row>
    <row r="2941" spans="11:14" ht="15" customHeight="1" x14ac:dyDescent="0.25">
      <c r="K2941" s="26"/>
      <c r="L2941" s="26"/>
      <c r="M2941" s="26"/>
      <c r="N2941" s="27"/>
    </row>
    <row r="2942" spans="11:14" ht="15" customHeight="1" x14ac:dyDescent="0.25">
      <c r="K2942" s="26"/>
      <c r="L2942" s="26"/>
      <c r="M2942" s="26"/>
      <c r="N2942" s="27"/>
    </row>
    <row r="2943" spans="11:14" ht="15" customHeight="1" x14ac:dyDescent="0.25">
      <c r="K2943" s="26"/>
      <c r="L2943" s="26"/>
      <c r="M2943" s="26"/>
      <c r="N2943" s="27"/>
    </row>
    <row r="2944" spans="11:14" ht="15" customHeight="1" x14ac:dyDescent="0.25">
      <c r="K2944" s="26"/>
      <c r="L2944" s="26"/>
      <c r="M2944" s="26"/>
      <c r="N2944" s="27"/>
    </row>
    <row r="2945" spans="11:14" ht="15" customHeight="1" x14ac:dyDescent="0.25">
      <c r="K2945" s="26"/>
      <c r="L2945" s="26"/>
      <c r="M2945" s="26"/>
      <c r="N2945" s="27"/>
    </row>
    <row r="2946" spans="11:14" ht="15" customHeight="1" x14ac:dyDescent="0.25">
      <c r="K2946" s="26"/>
      <c r="L2946" s="26"/>
      <c r="M2946" s="26"/>
      <c r="N2946" s="27"/>
    </row>
    <row r="2947" spans="11:14" ht="15" customHeight="1" x14ac:dyDescent="0.25">
      <c r="K2947" s="26"/>
      <c r="L2947" s="26"/>
      <c r="M2947" s="26"/>
      <c r="N2947" s="27"/>
    </row>
    <row r="2948" spans="11:14" ht="15" customHeight="1" x14ac:dyDescent="0.25">
      <c r="K2948" s="26"/>
      <c r="L2948" s="26"/>
      <c r="M2948" s="26"/>
      <c r="N2948" s="27"/>
    </row>
    <row r="2949" spans="11:14" ht="15" customHeight="1" x14ac:dyDescent="0.25">
      <c r="K2949" s="26"/>
      <c r="L2949" s="26"/>
      <c r="M2949" s="26"/>
      <c r="N2949" s="27"/>
    </row>
    <row r="2950" spans="11:14" ht="15" customHeight="1" x14ac:dyDescent="0.25">
      <c r="K2950" s="26"/>
      <c r="L2950" s="26"/>
      <c r="M2950" s="26"/>
      <c r="N2950" s="27"/>
    </row>
    <row r="2951" spans="11:14" ht="15" customHeight="1" x14ac:dyDescent="0.25">
      <c r="K2951" s="26"/>
      <c r="L2951" s="26"/>
      <c r="M2951" s="26"/>
      <c r="N2951" s="27"/>
    </row>
    <row r="2952" spans="11:14" ht="15" customHeight="1" x14ac:dyDescent="0.25">
      <c r="K2952" s="26"/>
      <c r="L2952" s="26"/>
      <c r="M2952" s="26"/>
      <c r="N2952" s="27"/>
    </row>
    <row r="2953" spans="11:14" ht="15" customHeight="1" x14ac:dyDescent="0.25">
      <c r="K2953" s="26"/>
      <c r="L2953" s="26"/>
      <c r="M2953" s="26"/>
      <c r="N2953" s="27"/>
    </row>
    <row r="2954" spans="11:14" ht="15" customHeight="1" x14ac:dyDescent="0.25">
      <c r="K2954" s="26"/>
      <c r="L2954" s="26"/>
      <c r="M2954" s="26"/>
      <c r="N2954" s="27"/>
    </row>
    <row r="2955" spans="11:14" ht="15" customHeight="1" x14ac:dyDescent="0.25">
      <c r="K2955" s="26"/>
      <c r="L2955" s="26"/>
      <c r="M2955" s="26"/>
      <c r="N2955" s="27"/>
    </row>
    <row r="2956" spans="11:14" ht="15" customHeight="1" x14ac:dyDescent="0.25">
      <c r="K2956" s="26"/>
      <c r="L2956" s="26"/>
      <c r="M2956" s="26"/>
      <c r="N2956" s="27"/>
    </row>
    <row r="2957" spans="11:14" ht="15" customHeight="1" x14ac:dyDescent="0.25">
      <c r="K2957" s="26"/>
      <c r="L2957" s="26"/>
      <c r="M2957" s="26"/>
      <c r="N2957" s="27"/>
    </row>
    <row r="2958" spans="11:14" ht="15" customHeight="1" x14ac:dyDescent="0.25">
      <c r="K2958" s="26"/>
      <c r="L2958" s="26"/>
      <c r="M2958" s="26"/>
      <c r="N2958" s="27"/>
    </row>
    <row r="2959" spans="11:14" ht="15" customHeight="1" x14ac:dyDescent="0.25">
      <c r="K2959" s="26"/>
      <c r="L2959" s="26"/>
      <c r="M2959" s="26"/>
      <c r="N2959" s="27"/>
    </row>
    <row r="2960" spans="11:14" ht="15" customHeight="1" x14ac:dyDescent="0.25">
      <c r="K2960" s="26"/>
      <c r="L2960" s="26"/>
      <c r="M2960" s="26"/>
      <c r="N2960" s="27"/>
    </row>
    <row r="2961" spans="11:14" ht="15" customHeight="1" x14ac:dyDescent="0.25">
      <c r="K2961" s="26"/>
      <c r="L2961" s="26"/>
      <c r="M2961" s="26"/>
      <c r="N2961" s="27"/>
    </row>
    <row r="2962" spans="11:14" ht="15" customHeight="1" x14ac:dyDescent="0.25">
      <c r="K2962" s="26"/>
      <c r="L2962" s="26"/>
      <c r="M2962" s="26"/>
      <c r="N2962" s="27"/>
    </row>
    <row r="2963" spans="11:14" ht="15" customHeight="1" x14ac:dyDescent="0.25">
      <c r="K2963" s="26"/>
      <c r="L2963" s="26"/>
      <c r="M2963" s="26"/>
      <c r="N2963" s="27"/>
    </row>
    <row r="2964" spans="11:14" ht="15" customHeight="1" x14ac:dyDescent="0.25">
      <c r="K2964" s="26"/>
      <c r="L2964" s="26"/>
      <c r="M2964" s="26"/>
      <c r="N2964" s="27"/>
    </row>
    <row r="2965" spans="11:14" ht="15" customHeight="1" x14ac:dyDescent="0.25">
      <c r="K2965" s="26"/>
      <c r="L2965" s="26"/>
      <c r="M2965" s="26"/>
      <c r="N2965" s="27"/>
    </row>
    <row r="2966" spans="11:14" ht="15" customHeight="1" x14ac:dyDescent="0.25">
      <c r="K2966" s="26"/>
      <c r="L2966" s="26"/>
      <c r="M2966" s="26"/>
      <c r="N2966" s="27"/>
    </row>
    <row r="2967" spans="11:14" ht="15" customHeight="1" x14ac:dyDescent="0.25">
      <c r="K2967" s="26"/>
      <c r="L2967" s="26"/>
      <c r="M2967" s="26"/>
      <c r="N2967" s="27"/>
    </row>
    <row r="2968" spans="11:14" ht="15" customHeight="1" x14ac:dyDescent="0.25">
      <c r="K2968" s="26"/>
      <c r="L2968" s="26"/>
      <c r="M2968" s="26"/>
      <c r="N2968" s="27"/>
    </row>
    <row r="2969" spans="11:14" ht="15" customHeight="1" x14ac:dyDescent="0.25">
      <c r="K2969" s="26"/>
      <c r="L2969" s="26"/>
      <c r="M2969" s="26"/>
      <c r="N2969" s="27"/>
    </row>
    <row r="2970" spans="11:14" ht="15" customHeight="1" x14ac:dyDescent="0.25">
      <c r="K2970" s="26"/>
      <c r="L2970" s="26"/>
      <c r="M2970" s="26"/>
      <c r="N2970" s="27"/>
    </row>
    <row r="2971" spans="11:14" ht="15" customHeight="1" x14ac:dyDescent="0.25">
      <c r="K2971" s="26"/>
      <c r="L2971" s="26"/>
      <c r="M2971" s="26"/>
      <c r="N2971" s="27"/>
    </row>
    <row r="2972" spans="11:14" ht="15" customHeight="1" x14ac:dyDescent="0.25">
      <c r="K2972" s="26"/>
      <c r="L2972" s="26"/>
      <c r="M2972" s="26"/>
      <c r="N2972" s="27"/>
    </row>
    <row r="2973" spans="11:14" ht="15" customHeight="1" x14ac:dyDescent="0.25">
      <c r="K2973" s="26"/>
      <c r="L2973" s="26"/>
      <c r="M2973" s="26"/>
      <c r="N2973" s="27"/>
    </row>
    <row r="2974" spans="11:14" ht="15" customHeight="1" x14ac:dyDescent="0.25">
      <c r="K2974" s="26"/>
      <c r="L2974" s="26"/>
      <c r="M2974" s="26"/>
      <c r="N2974" s="27"/>
    </row>
    <row r="2975" spans="11:14" ht="15" customHeight="1" x14ac:dyDescent="0.25">
      <c r="K2975" s="26"/>
      <c r="L2975" s="26"/>
      <c r="M2975" s="26"/>
      <c r="N2975" s="27"/>
    </row>
    <row r="2976" spans="11:14" ht="15" customHeight="1" x14ac:dyDescent="0.25">
      <c r="K2976" s="26"/>
      <c r="L2976" s="26"/>
      <c r="M2976" s="26"/>
      <c r="N2976" s="27"/>
    </row>
    <row r="2977" spans="11:14" ht="15" customHeight="1" x14ac:dyDescent="0.25">
      <c r="K2977" s="26"/>
      <c r="L2977" s="26"/>
      <c r="M2977" s="26"/>
      <c r="N2977" s="27"/>
    </row>
    <row r="2978" spans="11:14" ht="15" customHeight="1" x14ac:dyDescent="0.25">
      <c r="K2978" s="26"/>
      <c r="L2978" s="26"/>
      <c r="M2978" s="26"/>
      <c r="N2978" s="27"/>
    </row>
    <row r="2979" spans="11:14" ht="15" customHeight="1" x14ac:dyDescent="0.25">
      <c r="K2979" s="26"/>
      <c r="L2979" s="26"/>
      <c r="M2979" s="26"/>
      <c r="N2979" s="27"/>
    </row>
    <row r="2980" spans="11:14" ht="15" customHeight="1" x14ac:dyDescent="0.25">
      <c r="K2980" s="26"/>
      <c r="L2980" s="26"/>
      <c r="M2980" s="26"/>
      <c r="N2980" s="27"/>
    </row>
    <row r="2981" spans="11:14" ht="15" customHeight="1" x14ac:dyDescent="0.25">
      <c r="K2981" s="26"/>
      <c r="L2981" s="26"/>
      <c r="M2981" s="26"/>
      <c r="N2981" s="27"/>
    </row>
    <row r="2982" spans="11:14" ht="15" customHeight="1" x14ac:dyDescent="0.25">
      <c r="K2982" s="26"/>
      <c r="L2982" s="26"/>
      <c r="M2982" s="26"/>
      <c r="N2982" s="27"/>
    </row>
    <row r="2983" spans="11:14" ht="15" customHeight="1" x14ac:dyDescent="0.25">
      <c r="K2983" s="26"/>
      <c r="L2983" s="26"/>
      <c r="M2983" s="26"/>
      <c r="N2983" s="27"/>
    </row>
    <row r="2984" spans="11:14" ht="15" customHeight="1" x14ac:dyDescent="0.25">
      <c r="K2984" s="26"/>
      <c r="L2984" s="26"/>
      <c r="M2984" s="26"/>
      <c r="N2984" s="27"/>
    </row>
    <row r="2985" spans="11:14" ht="15" customHeight="1" x14ac:dyDescent="0.25">
      <c r="K2985" s="26"/>
      <c r="L2985" s="26"/>
      <c r="M2985" s="26"/>
      <c r="N2985" s="27"/>
    </row>
    <row r="2986" spans="11:14" ht="15" customHeight="1" x14ac:dyDescent="0.25">
      <c r="K2986" s="26"/>
      <c r="L2986" s="26"/>
      <c r="M2986" s="26"/>
      <c r="N2986" s="27"/>
    </row>
    <row r="2987" spans="11:14" ht="15" customHeight="1" x14ac:dyDescent="0.25">
      <c r="K2987" s="26"/>
      <c r="L2987" s="26"/>
      <c r="M2987" s="26"/>
      <c r="N2987" s="27"/>
    </row>
    <row r="2988" spans="11:14" ht="15" customHeight="1" x14ac:dyDescent="0.25">
      <c r="K2988" s="26"/>
      <c r="L2988" s="26"/>
      <c r="M2988" s="26"/>
      <c r="N2988" s="27"/>
    </row>
    <row r="2989" spans="11:14" ht="15" customHeight="1" x14ac:dyDescent="0.25">
      <c r="K2989" s="26"/>
      <c r="L2989" s="26"/>
      <c r="M2989" s="26"/>
      <c r="N2989" s="27"/>
    </row>
    <row r="2990" spans="11:14" ht="15" customHeight="1" x14ac:dyDescent="0.25">
      <c r="K2990" s="26"/>
      <c r="L2990" s="26"/>
      <c r="M2990" s="26"/>
      <c r="N2990" s="27"/>
    </row>
    <row r="2991" spans="11:14" ht="15" customHeight="1" x14ac:dyDescent="0.25">
      <c r="K2991" s="26"/>
      <c r="L2991" s="26"/>
      <c r="M2991" s="26"/>
      <c r="N2991" s="27"/>
    </row>
    <row r="2992" spans="11:14" ht="15" customHeight="1" x14ac:dyDescent="0.25">
      <c r="K2992" s="26"/>
      <c r="L2992" s="26"/>
      <c r="M2992" s="26"/>
      <c r="N2992" s="27"/>
    </row>
    <row r="2993" spans="11:14" ht="15" customHeight="1" x14ac:dyDescent="0.25">
      <c r="K2993" s="26"/>
      <c r="L2993" s="26"/>
      <c r="M2993" s="26"/>
      <c r="N2993" s="27"/>
    </row>
    <row r="2994" spans="11:14" ht="15" customHeight="1" x14ac:dyDescent="0.25">
      <c r="K2994" s="26"/>
      <c r="L2994" s="26"/>
      <c r="M2994" s="26"/>
      <c r="N2994" s="27"/>
    </row>
    <row r="2995" spans="11:14" ht="15" customHeight="1" x14ac:dyDescent="0.25">
      <c r="K2995" s="26"/>
      <c r="L2995" s="26"/>
      <c r="M2995" s="26"/>
      <c r="N2995" s="27"/>
    </row>
    <row r="2996" spans="11:14" ht="15" customHeight="1" x14ac:dyDescent="0.25">
      <c r="K2996" s="26"/>
      <c r="L2996" s="26"/>
      <c r="M2996" s="26"/>
      <c r="N2996" s="27"/>
    </row>
    <row r="2997" spans="11:14" ht="15" customHeight="1" x14ac:dyDescent="0.25">
      <c r="K2997" s="26"/>
      <c r="L2997" s="26"/>
      <c r="M2997" s="26"/>
      <c r="N2997" s="27"/>
    </row>
    <row r="2998" spans="11:14" ht="15" customHeight="1" x14ac:dyDescent="0.25">
      <c r="K2998" s="26"/>
      <c r="L2998" s="26"/>
      <c r="M2998" s="26"/>
      <c r="N2998" s="27"/>
    </row>
    <row r="2999" spans="11:14" ht="15" customHeight="1" x14ac:dyDescent="0.25">
      <c r="K2999" s="26"/>
      <c r="L2999" s="26"/>
      <c r="M2999" s="26"/>
      <c r="N2999" s="27"/>
    </row>
    <row r="3000" spans="11:14" ht="15" customHeight="1" x14ac:dyDescent="0.25">
      <c r="K3000" s="26"/>
      <c r="L3000" s="26"/>
      <c r="M3000" s="26"/>
      <c r="N3000" s="27"/>
    </row>
  </sheetData>
  <mergeCells count="2">
    <mergeCell ref="A2:N2"/>
    <mergeCell ref="A1:N1"/>
  </mergeCells>
  <conditionalFormatting sqref="N5:N6168">
    <cfRule type="cellIs" dxfId="1" priority="2" operator="equal">
      <formula>"YES"</formula>
    </cfRule>
    <cfRule type="cellIs" dxfId="0" priority="3" operator="equal">
      <formula>"NO"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55"/>
  <sheetViews>
    <sheetView workbookViewId="0">
      <pane ySplit="4" topLeftCell="A5" activePane="bottomLeft" state="frozen"/>
      <selection pane="bottomLeft" activeCell="F31" sqref="F31"/>
    </sheetView>
  </sheetViews>
  <sheetFormatPr defaultRowHeight="15" x14ac:dyDescent="0.25"/>
  <cols>
    <col min="1" max="1" width="164.140625" bestFit="1" customWidth="1"/>
    <col min="2" max="2" width="35" bestFit="1" customWidth="1"/>
    <col min="3" max="3" width="8.42578125" bestFit="1" customWidth="1"/>
    <col min="4" max="4" width="6.42578125" bestFit="1" customWidth="1"/>
    <col min="5" max="5" width="10.7109375" bestFit="1" customWidth="1"/>
    <col min="6" max="6" width="12.7109375" bestFit="1" customWidth="1"/>
    <col min="7" max="8" width="10.140625" bestFit="1" customWidth="1"/>
    <col min="9" max="9" width="8.7109375" bestFit="1" customWidth="1"/>
    <col min="10" max="10" width="9.7109375" bestFit="1" customWidth="1"/>
    <col min="11" max="11" width="9.85546875" bestFit="1" customWidth="1"/>
    <col min="12" max="12" width="10.85546875" bestFit="1" customWidth="1"/>
    <col min="13" max="13" width="20.140625" bestFit="1" customWidth="1"/>
    <col min="14" max="14" width="21.140625" bestFit="1" customWidth="1"/>
    <col min="15" max="15" width="43.140625" bestFit="1" customWidth="1"/>
    <col min="16" max="16" width="10.28515625" bestFit="1" customWidth="1"/>
  </cols>
  <sheetData>
    <row r="1" spans="1:16" ht="15.75" x14ac:dyDescent="0.25">
      <c r="A1" s="47" t="s">
        <v>129</v>
      </c>
    </row>
    <row r="2" spans="1:16" x14ac:dyDescent="0.25">
      <c r="A2" s="48" t="s">
        <v>130</v>
      </c>
    </row>
    <row r="4" spans="1:16" x14ac:dyDescent="0.25">
      <c r="A4" s="49" t="s">
        <v>131</v>
      </c>
      <c r="B4" s="49" t="s">
        <v>82</v>
      </c>
      <c r="C4" s="49" t="s">
        <v>83</v>
      </c>
      <c r="D4" s="49" t="s">
        <v>85</v>
      </c>
      <c r="E4" s="49" t="s">
        <v>70</v>
      </c>
      <c r="F4" s="49" t="s">
        <v>86</v>
      </c>
      <c r="G4" s="49" t="s">
        <v>132</v>
      </c>
      <c r="H4" s="49" t="s">
        <v>133</v>
      </c>
      <c r="I4" s="49" t="s">
        <v>87</v>
      </c>
      <c r="J4" s="49" t="s">
        <v>88</v>
      </c>
      <c r="K4" s="49" t="s">
        <v>90</v>
      </c>
      <c r="L4" s="49" t="s">
        <v>91</v>
      </c>
      <c r="M4" s="49" t="s">
        <v>93</v>
      </c>
      <c r="N4" s="49" t="s">
        <v>134</v>
      </c>
      <c r="O4" s="49" t="s">
        <v>135</v>
      </c>
      <c r="P4" s="49" t="s">
        <v>136</v>
      </c>
    </row>
    <row r="5" spans="1:16" x14ac:dyDescent="0.25">
      <c r="A5" s="50">
        <v>46161</v>
      </c>
      <c r="B5" s="51" t="s">
        <v>122</v>
      </c>
      <c r="C5" s="52" t="s">
        <v>119</v>
      </c>
      <c r="D5" s="53">
        <v>0.62</v>
      </c>
      <c r="E5" s="54" t="s">
        <v>56</v>
      </c>
      <c r="F5" s="55">
        <v>220.58</v>
      </c>
      <c r="G5" s="50">
        <v>46169</v>
      </c>
      <c r="H5" s="50">
        <v>46176</v>
      </c>
      <c r="I5" s="55">
        <v>212.6</v>
      </c>
      <c r="J5" s="55">
        <v>214.75</v>
      </c>
      <c r="K5" s="56">
        <f t="shared" ref="K5:K24" si="0">IF(I5&lt;&gt;"",I5/F5-1,"")</f>
        <v>-3.6177350621089954E-2</v>
      </c>
      <c r="L5" s="56">
        <f t="shared" ref="L5:L24" si="1">IF(J5&lt;&gt;"",J5/F5-1,"")</f>
        <v>-2.6430320065282453E-2</v>
      </c>
      <c r="M5" s="54" t="str">
        <f t="shared" ref="M5:M24" si="2">IF(K5&lt;&gt;"",IF(K5&gt;0,"YES","NO"),"")</f>
        <v>NO</v>
      </c>
      <c r="N5" s="54" t="str">
        <f t="shared" ref="N5:N24" si="3">IF(L5&lt;&gt;"",IF(L5&gt;0,"YES","NO"),"")</f>
        <v>NO</v>
      </c>
      <c r="O5" s="52" t="s">
        <v>125</v>
      </c>
      <c r="P5" s="57" t="s">
        <v>137</v>
      </c>
    </row>
    <row r="6" spans="1:16" x14ac:dyDescent="0.25">
      <c r="A6" s="50">
        <v>46163</v>
      </c>
      <c r="B6" s="51" t="s">
        <v>102</v>
      </c>
      <c r="C6" s="52" t="s">
        <v>99</v>
      </c>
      <c r="D6" s="53">
        <v>0.68</v>
      </c>
      <c r="E6" s="54" t="s">
        <v>55</v>
      </c>
      <c r="F6" s="55">
        <v>32.109000000000002</v>
      </c>
      <c r="G6" s="50">
        <v>46171</v>
      </c>
      <c r="H6" s="50">
        <v>46178</v>
      </c>
      <c r="I6" s="55">
        <v>32.5</v>
      </c>
      <c r="J6" s="55">
        <v>32.299999999999997</v>
      </c>
      <c r="K6" s="56">
        <f t="shared" si="0"/>
        <v>1.2177271170076942E-2</v>
      </c>
      <c r="L6" s="56">
        <f t="shared" si="1"/>
        <v>5.948487962876392E-3</v>
      </c>
      <c r="M6" s="54" t="str">
        <f t="shared" si="2"/>
        <v>YES</v>
      </c>
      <c r="N6" s="54" t="str">
        <f t="shared" si="3"/>
        <v>YES</v>
      </c>
      <c r="O6" s="52"/>
      <c r="P6" s="57" t="s">
        <v>137</v>
      </c>
    </row>
    <row r="7" spans="1:16" x14ac:dyDescent="0.25">
      <c r="A7" s="50">
        <v>46164</v>
      </c>
      <c r="B7" s="51" t="s">
        <v>122</v>
      </c>
      <c r="C7" s="52" t="s">
        <v>119</v>
      </c>
      <c r="D7" s="53">
        <v>0.62</v>
      </c>
      <c r="E7" s="54" t="s">
        <v>56</v>
      </c>
      <c r="F7" s="55">
        <v>216.76499999999999</v>
      </c>
      <c r="G7" s="50">
        <v>46174</v>
      </c>
      <c r="H7" s="50">
        <v>46181</v>
      </c>
      <c r="I7" s="55">
        <v>224.36</v>
      </c>
      <c r="J7" s="55">
        <v>208.64</v>
      </c>
      <c r="K7" s="56">
        <f t="shared" si="0"/>
        <v>3.5037944317579006E-2</v>
      </c>
      <c r="L7" s="56">
        <f t="shared" si="1"/>
        <v>-3.748298848983922E-2</v>
      </c>
      <c r="M7" s="54" t="str">
        <f t="shared" si="2"/>
        <v>YES</v>
      </c>
      <c r="N7" s="54" t="str">
        <f t="shared" si="3"/>
        <v>NO</v>
      </c>
      <c r="O7" s="52"/>
      <c r="P7" s="57" t="s">
        <v>137</v>
      </c>
    </row>
    <row r="8" spans="1:16" x14ac:dyDescent="0.25">
      <c r="A8" s="50">
        <v>46168</v>
      </c>
      <c r="B8" s="51" t="s">
        <v>121</v>
      </c>
      <c r="C8" s="52" t="s">
        <v>119</v>
      </c>
      <c r="D8" s="53">
        <v>0.68</v>
      </c>
      <c r="E8" s="54" t="s">
        <v>55</v>
      </c>
      <c r="F8" s="55">
        <v>370.15</v>
      </c>
      <c r="G8" s="50">
        <v>46175</v>
      </c>
      <c r="H8" s="50">
        <v>46182</v>
      </c>
      <c r="I8" s="55">
        <v>374.36</v>
      </c>
      <c r="J8" s="55">
        <v>363.67</v>
      </c>
      <c r="K8" s="56">
        <f t="shared" si="0"/>
        <v>1.1373767391598122E-2</v>
      </c>
      <c r="L8" s="56">
        <f t="shared" si="1"/>
        <v>-1.7506416317708884E-2</v>
      </c>
      <c r="M8" s="54" t="str">
        <f t="shared" si="2"/>
        <v>YES</v>
      </c>
      <c r="N8" s="54" t="str">
        <f t="shared" si="3"/>
        <v>NO</v>
      </c>
      <c r="O8" s="52"/>
      <c r="P8" s="57" t="s">
        <v>137</v>
      </c>
    </row>
    <row r="9" spans="1:16" x14ac:dyDescent="0.25">
      <c r="A9" s="50">
        <v>46169</v>
      </c>
      <c r="B9" s="51" t="s">
        <v>122</v>
      </c>
      <c r="C9" s="52" t="s">
        <v>119</v>
      </c>
      <c r="D9" s="53">
        <v>0.63</v>
      </c>
      <c r="E9" s="54" t="s">
        <v>56</v>
      </c>
      <c r="F9" s="55">
        <v>209.84</v>
      </c>
      <c r="G9" s="50">
        <v>46176</v>
      </c>
      <c r="H9" s="50">
        <v>46183</v>
      </c>
      <c r="I9" s="55">
        <v>214.75</v>
      </c>
      <c r="J9" s="55">
        <v>200.42</v>
      </c>
      <c r="K9" s="56">
        <f t="shared" si="0"/>
        <v>2.3398780022874544E-2</v>
      </c>
      <c r="L9" s="56">
        <f t="shared" si="1"/>
        <v>-4.4891345787266612E-2</v>
      </c>
      <c r="M9" s="54" t="str">
        <f t="shared" si="2"/>
        <v>YES</v>
      </c>
      <c r="N9" s="54" t="str">
        <f t="shared" si="3"/>
        <v>NO</v>
      </c>
      <c r="O9" s="52"/>
      <c r="P9" s="57" t="s">
        <v>137</v>
      </c>
    </row>
    <row r="10" spans="1:16" x14ac:dyDescent="0.25">
      <c r="A10" s="50">
        <v>46171</v>
      </c>
      <c r="B10" s="51" t="s">
        <v>122</v>
      </c>
      <c r="C10" s="52" t="s">
        <v>119</v>
      </c>
      <c r="D10" s="53">
        <v>0.68</v>
      </c>
      <c r="E10" s="54" t="s">
        <v>56</v>
      </c>
      <c r="F10" s="55">
        <v>215.95</v>
      </c>
      <c r="G10" s="50">
        <v>46178</v>
      </c>
      <c r="H10" s="50">
        <v>46185</v>
      </c>
      <c r="I10" s="55">
        <v>205.1</v>
      </c>
      <c r="J10" s="55">
        <v>205.19</v>
      </c>
      <c r="K10" s="56">
        <f t="shared" si="0"/>
        <v>-5.0243111831442477E-2</v>
      </c>
      <c r="L10" s="56">
        <f t="shared" si="1"/>
        <v>-4.9826348691826783E-2</v>
      </c>
      <c r="M10" s="54" t="str">
        <f t="shared" si="2"/>
        <v>NO</v>
      </c>
      <c r="N10" s="54" t="str">
        <f t="shared" si="3"/>
        <v>NO</v>
      </c>
      <c r="O10" s="52"/>
      <c r="P10" s="57" t="s">
        <v>137</v>
      </c>
    </row>
    <row r="11" spans="1:16" x14ac:dyDescent="0.25">
      <c r="A11" s="50">
        <v>46174</v>
      </c>
      <c r="B11" s="51" t="s">
        <v>122</v>
      </c>
      <c r="C11" s="52" t="s">
        <v>119</v>
      </c>
      <c r="D11" s="53">
        <v>0.68</v>
      </c>
      <c r="E11" s="54" t="s">
        <v>56</v>
      </c>
      <c r="F11" s="55">
        <v>221.58500000000001</v>
      </c>
      <c r="G11" s="50">
        <v>46181</v>
      </c>
      <c r="H11" s="50">
        <v>46188</v>
      </c>
      <c r="I11" s="55">
        <v>208.64</v>
      </c>
      <c r="J11" s="55">
        <v>212.45</v>
      </c>
      <c r="K11" s="56">
        <f t="shared" si="0"/>
        <v>-5.8420019405645784E-2</v>
      </c>
      <c r="L11" s="56">
        <f t="shared" si="1"/>
        <v>-4.1225714737008423E-2</v>
      </c>
      <c r="M11" s="54" t="str">
        <f t="shared" si="2"/>
        <v>NO</v>
      </c>
      <c r="N11" s="54" t="str">
        <f t="shared" si="3"/>
        <v>NO</v>
      </c>
      <c r="O11" s="52"/>
      <c r="P11" s="57" t="s">
        <v>137</v>
      </c>
    </row>
    <row r="12" spans="1:16" x14ac:dyDescent="0.25">
      <c r="A12" s="58">
        <v>46175</v>
      </c>
      <c r="B12" s="59" t="s">
        <v>122</v>
      </c>
      <c r="C12" s="60" t="s">
        <v>119</v>
      </c>
      <c r="D12" s="61">
        <v>0.68</v>
      </c>
      <c r="E12" s="62" t="s">
        <v>56</v>
      </c>
      <c r="F12" s="63">
        <v>227.93</v>
      </c>
      <c r="G12" s="58">
        <v>46182</v>
      </c>
      <c r="H12" s="58">
        <v>46189</v>
      </c>
      <c r="I12" s="63">
        <v>208.19</v>
      </c>
      <c r="J12" s="63">
        <v>207.41</v>
      </c>
      <c r="K12" s="64">
        <f t="shared" si="0"/>
        <v>-8.6605536787610293E-2</v>
      </c>
      <c r="L12" s="64">
        <f t="shared" si="1"/>
        <v>-9.0027640064932246E-2</v>
      </c>
      <c r="M12" s="62" t="str">
        <f t="shared" si="2"/>
        <v>NO</v>
      </c>
      <c r="N12" s="62" t="str">
        <f t="shared" si="3"/>
        <v>NO</v>
      </c>
      <c r="O12" s="60"/>
      <c r="P12" s="65" t="s">
        <v>138</v>
      </c>
    </row>
    <row r="13" spans="1:16" x14ac:dyDescent="0.25">
      <c r="A13" s="58">
        <v>46176</v>
      </c>
      <c r="B13" s="59" t="s">
        <v>123</v>
      </c>
      <c r="C13" s="60" t="s">
        <v>119</v>
      </c>
      <c r="D13" s="61">
        <v>0.62</v>
      </c>
      <c r="E13" s="62" t="s">
        <v>56</v>
      </c>
      <c r="F13" s="63">
        <v>408.5</v>
      </c>
      <c r="G13" s="58">
        <v>46183</v>
      </c>
      <c r="H13" s="58">
        <v>46190</v>
      </c>
      <c r="I13" s="63">
        <v>374.58</v>
      </c>
      <c r="J13" s="63">
        <v>388.6</v>
      </c>
      <c r="K13" s="64">
        <f t="shared" si="0"/>
        <v>-8.3035495716034302E-2</v>
      </c>
      <c r="L13" s="64">
        <f t="shared" si="1"/>
        <v>-4.8714810281517695E-2</v>
      </c>
      <c r="M13" s="62" t="str">
        <f t="shared" si="2"/>
        <v>NO</v>
      </c>
      <c r="N13" s="62" t="str">
        <f t="shared" si="3"/>
        <v>NO</v>
      </c>
      <c r="O13" s="60"/>
      <c r="P13" s="65" t="s">
        <v>138</v>
      </c>
    </row>
    <row r="14" spans="1:16" x14ac:dyDescent="0.25">
      <c r="A14" s="58">
        <v>46176</v>
      </c>
      <c r="B14" s="59" t="s">
        <v>122</v>
      </c>
      <c r="C14" s="60" t="s">
        <v>119</v>
      </c>
      <c r="D14" s="61">
        <v>0.66</v>
      </c>
      <c r="E14" s="62" t="s">
        <v>56</v>
      </c>
      <c r="F14" s="63">
        <v>215.1283</v>
      </c>
      <c r="G14" s="58">
        <v>46183</v>
      </c>
      <c r="H14" s="58">
        <v>46190</v>
      </c>
      <c r="I14" s="63">
        <v>200.42</v>
      </c>
      <c r="J14" s="63">
        <v>204.65</v>
      </c>
      <c r="K14" s="64">
        <f t="shared" si="0"/>
        <v>-6.8369898335086554E-2</v>
      </c>
      <c r="L14" s="64">
        <f t="shared" si="1"/>
        <v>-4.8707213323398113E-2</v>
      </c>
      <c r="M14" s="62" t="str">
        <f t="shared" si="2"/>
        <v>NO</v>
      </c>
      <c r="N14" s="62" t="str">
        <f t="shared" si="3"/>
        <v>NO</v>
      </c>
      <c r="O14" s="60"/>
      <c r="P14" s="65" t="s">
        <v>138</v>
      </c>
    </row>
    <row r="15" spans="1:16" x14ac:dyDescent="0.25">
      <c r="A15" s="58">
        <v>46177</v>
      </c>
      <c r="B15" s="59" t="s">
        <v>122</v>
      </c>
      <c r="C15" s="60" t="s">
        <v>119</v>
      </c>
      <c r="D15" s="61">
        <v>0.65</v>
      </c>
      <c r="E15" s="62" t="s">
        <v>56</v>
      </c>
      <c r="F15" s="63">
        <v>213.785</v>
      </c>
      <c r="G15" s="58">
        <v>46184</v>
      </c>
      <c r="H15" s="58">
        <v>46191</v>
      </c>
      <c r="I15" s="63">
        <v>204.87</v>
      </c>
      <c r="J15" s="63">
        <v>210.15</v>
      </c>
      <c r="K15" s="64">
        <f t="shared" si="0"/>
        <v>-4.1700774142245711E-2</v>
      </c>
      <c r="L15" s="64">
        <f t="shared" si="1"/>
        <v>-1.7003063825806297E-2</v>
      </c>
      <c r="M15" s="62" t="str">
        <f t="shared" si="2"/>
        <v>NO</v>
      </c>
      <c r="N15" s="62" t="str">
        <f t="shared" si="3"/>
        <v>NO</v>
      </c>
      <c r="O15" s="60"/>
      <c r="P15" s="65" t="s">
        <v>138</v>
      </c>
    </row>
    <row r="16" spans="1:16" x14ac:dyDescent="0.25">
      <c r="A16" s="58">
        <v>46178</v>
      </c>
      <c r="B16" s="59" t="s">
        <v>122</v>
      </c>
      <c r="C16" s="60" t="s">
        <v>119</v>
      </c>
      <c r="D16" s="61">
        <v>0.65</v>
      </c>
      <c r="E16" s="62" t="s">
        <v>56</v>
      </c>
      <c r="F16" s="63">
        <v>211.97499999999999</v>
      </c>
      <c r="G16" s="58">
        <v>46185</v>
      </c>
      <c r="H16" s="58">
        <v>46195</v>
      </c>
      <c r="I16" s="63">
        <v>205.19</v>
      </c>
      <c r="J16" s="63">
        <v>208.65</v>
      </c>
      <c r="K16" s="64">
        <f t="shared" si="0"/>
        <v>-3.200849156740182E-2</v>
      </c>
      <c r="L16" s="64">
        <f t="shared" si="1"/>
        <v>-1.5685812006132727E-2</v>
      </c>
      <c r="M16" s="62" t="str">
        <f t="shared" si="2"/>
        <v>NO</v>
      </c>
      <c r="N16" s="62" t="str">
        <f t="shared" si="3"/>
        <v>NO</v>
      </c>
      <c r="O16" s="60"/>
      <c r="P16" s="65" t="s">
        <v>138</v>
      </c>
    </row>
    <row r="17" spans="1:16" x14ac:dyDescent="0.25">
      <c r="A17" s="58">
        <v>46181</v>
      </c>
      <c r="B17" s="59" t="s">
        <v>122</v>
      </c>
      <c r="C17" s="60" t="s">
        <v>119</v>
      </c>
      <c r="D17" s="61">
        <v>0.68</v>
      </c>
      <c r="E17" s="62" t="s">
        <v>56</v>
      </c>
      <c r="F17" s="63">
        <v>208.405</v>
      </c>
      <c r="G17" s="58">
        <v>46188</v>
      </c>
      <c r="H17" s="58">
        <v>46196</v>
      </c>
      <c r="I17" s="63">
        <v>212.45</v>
      </c>
      <c r="J17" s="63">
        <v>200.04</v>
      </c>
      <c r="K17" s="64">
        <f t="shared" si="0"/>
        <v>1.9409323192821626E-2</v>
      </c>
      <c r="L17" s="64">
        <f t="shared" si="1"/>
        <v>-4.0138192461793176E-2</v>
      </c>
      <c r="M17" s="62" t="str">
        <f t="shared" si="2"/>
        <v>YES</v>
      </c>
      <c r="N17" s="62" t="str">
        <f t="shared" si="3"/>
        <v>NO</v>
      </c>
      <c r="O17" s="60"/>
      <c r="P17" s="65" t="s">
        <v>138</v>
      </c>
    </row>
    <row r="18" spans="1:16" x14ac:dyDescent="0.25">
      <c r="A18" s="58">
        <v>46182</v>
      </c>
      <c r="B18" s="59" t="s">
        <v>122</v>
      </c>
      <c r="C18" s="60" t="s">
        <v>119</v>
      </c>
      <c r="D18" s="61">
        <v>0.68</v>
      </c>
      <c r="E18" s="62" t="s">
        <v>56</v>
      </c>
      <c r="F18" s="63">
        <v>207.40010000000001</v>
      </c>
      <c r="G18" s="58">
        <v>46189</v>
      </c>
      <c r="H18" s="58">
        <v>46197</v>
      </c>
      <c r="I18" s="63">
        <v>207.41</v>
      </c>
      <c r="J18" s="63">
        <v>199</v>
      </c>
      <c r="K18" s="64">
        <f t="shared" si="0"/>
        <v>4.7733824622087084E-5</v>
      </c>
      <c r="L18" s="64">
        <f t="shared" si="1"/>
        <v>-4.0501909111904988E-2</v>
      </c>
      <c r="M18" s="62" t="str">
        <f t="shared" si="2"/>
        <v>YES</v>
      </c>
      <c r="N18" s="62" t="str">
        <f t="shared" si="3"/>
        <v>NO</v>
      </c>
      <c r="O18" s="60"/>
      <c r="P18" s="65" t="s">
        <v>138</v>
      </c>
    </row>
    <row r="19" spans="1:16" x14ac:dyDescent="0.25">
      <c r="A19" s="58">
        <v>46184</v>
      </c>
      <c r="B19" s="59" t="s">
        <v>122</v>
      </c>
      <c r="C19" s="60" t="s">
        <v>119</v>
      </c>
      <c r="D19" s="61">
        <v>0.65</v>
      </c>
      <c r="E19" s="62" t="s">
        <v>56</v>
      </c>
      <c r="F19" s="63">
        <v>199.94</v>
      </c>
      <c r="G19" s="58">
        <v>46191</v>
      </c>
      <c r="H19" s="58">
        <v>46199</v>
      </c>
      <c r="I19" s="63">
        <v>210.15</v>
      </c>
      <c r="J19" s="63">
        <v>192.53</v>
      </c>
      <c r="K19" s="64">
        <f t="shared" si="0"/>
        <v>5.1065319595878789E-2</v>
      </c>
      <c r="L19" s="64">
        <f t="shared" si="1"/>
        <v>-3.7061118335500631E-2</v>
      </c>
      <c r="M19" s="62" t="str">
        <f t="shared" si="2"/>
        <v>YES</v>
      </c>
      <c r="N19" s="62" t="str">
        <f t="shared" si="3"/>
        <v>NO</v>
      </c>
      <c r="O19" s="60"/>
      <c r="P19" s="65" t="s">
        <v>138</v>
      </c>
    </row>
    <row r="20" spans="1:16" x14ac:dyDescent="0.25">
      <c r="A20" s="58">
        <v>46185</v>
      </c>
      <c r="B20" s="59" t="s">
        <v>122</v>
      </c>
      <c r="C20" s="60" t="s">
        <v>119</v>
      </c>
      <c r="D20" s="61">
        <v>0.62</v>
      </c>
      <c r="E20" s="62" t="s">
        <v>56</v>
      </c>
      <c r="F20" s="63">
        <v>205.59700000000001</v>
      </c>
      <c r="G20" s="58">
        <v>46195</v>
      </c>
      <c r="H20" s="58">
        <v>46202</v>
      </c>
      <c r="I20" s="63">
        <v>208.65</v>
      </c>
      <c r="J20" s="63">
        <v>194.97</v>
      </c>
      <c r="K20" s="64">
        <f t="shared" si="0"/>
        <v>1.4849438464568987E-2</v>
      </c>
      <c r="L20" s="64">
        <f t="shared" si="1"/>
        <v>-5.1688497400253941E-2</v>
      </c>
      <c r="M20" s="62" t="str">
        <f t="shared" si="2"/>
        <v>YES</v>
      </c>
      <c r="N20" s="62" t="str">
        <f t="shared" si="3"/>
        <v>NO</v>
      </c>
      <c r="O20" s="60"/>
      <c r="P20" s="65" t="s">
        <v>138</v>
      </c>
    </row>
    <row r="21" spans="1:16" x14ac:dyDescent="0.25">
      <c r="A21" s="58">
        <v>46185</v>
      </c>
      <c r="B21" s="59" t="s">
        <v>121</v>
      </c>
      <c r="C21" s="60" t="s">
        <v>119</v>
      </c>
      <c r="D21" s="61">
        <v>0.68</v>
      </c>
      <c r="E21" s="62" t="s">
        <v>55</v>
      </c>
      <c r="F21" s="63">
        <v>365.62</v>
      </c>
      <c r="G21" s="58">
        <v>46195</v>
      </c>
      <c r="H21" s="58">
        <v>46202</v>
      </c>
      <c r="I21" s="63">
        <v>368.81</v>
      </c>
      <c r="J21" s="63">
        <v>367.12</v>
      </c>
      <c r="K21" s="64">
        <f t="shared" si="0"/>
        <v>8.7249056397351588E-3</v>
      </c>
      <c r="L21" s="64">
        <f t="shared" si="1"/>
        <v>4.1026202067719897E-3</v>
      </c>
      <c r="M21" s="62" t="str">
        <f t="shared" si="2"/>
        <v>YES</v>
      </c>
      <c r="N21" s="62" t="str">
        <f t="shared" si="3"/>
        <v>YES</v>
      </c>
      <c r="O21" s="60"/>
      <c r="P21" s="65" t="s">
        <v>138</v>
      </c>
    </row>
    <row r="22" spans="1:16" x14ac:dyDescent="0.25">
      <c r="A22" s="58">
        <v>46189</v>
      </c>
      <c r="B22" s="59" t="s">
        <v>122</v>
      </c>
      <c r="C22" s="60" t="s">
        <v>119</v>
      </c>
      <c r="D22" s="61">
        <v>0.65</v>
      </c>
      <c r="E22" s="62" t="s">
        <v>56</v>
      </c>
      <c r="F22" s="63">
        <v>209.12</v>
      </c>
      <c r="G22" s="58">
        <v>46197</v>
      </c>
      <c r="H22" s="58">
        <v>46204</v>
      </c>
      <c r="I22" s="63">
        <v>199</v>
      </c>
      <c r="J22" s="63">
        <v>197.58</v>
      </c>
      <c r="K22" s="64">
        <f t="shared" si="0"/>
        <v>-4.8393267023718489E-2</v>
      </c>
      <c r="L22" s="64">
        <f t="shared" si="1"/>
        <v>-5.5183626625860738E-2</v>
      </c>
      <c r="M22" s="62" t="str">
        <f t="shared" si="2"/>
        <v>NO</v>
      </c>
      <c r="N22" s="62" t="str">
        <f t="shared" si="3"/>
        <v>NO</v>
      </c>
      <c r="O22" s="60"/>
      <c r="P22" s="65" t="s">
        <v>138</v>
      </c>
    </row>
    <row r="23" spans="1:16" x14ac:dyDescent="0.25">
      <c r="A23" s="58">
        <v>46189</v>
      </c>
      <c r="B23" s="59" t="s">
        <v>121</v>
      </c>
      <c r="C23" s="60" t="s">
        <v>119</v>
      </c>
      <c r="D23" s="61">
        <v>0.68</v>
      </c>
      <c r="E23" s="62" t="s">
        <v>55</v>
      </c>
      <c r="F23" s="63">
        <v>372.15</v>
      </c>
      <c r="G23" s="58">
        <v>46197</v>
      </c>
      <c r="H23" s="58">
        <v>46204</v>
      </c>
      <c r="I23" s="63">
        <v>363.65</v>
      </c>
      <c r="J23" s="63">
        <v>369.27</v>
      </c>
      <c r="K23" s="64">
        <f t="shared" si="0"/>
        <v>-2.2840252586322718E-2</v>
      </c>
      <c r="L23" s="64">
        <f t="shared" si="1"/>
        <v>-7.738814993954013E-3</v>
      </c>
      <c r="M23" s="62" t="str">
        <f t="shared" si="2"/>
        <v>NO</v>
      </c>
      <c r="N23" s="62" t="str">
        <f t="shared" si="3"/>
        <v>NO</v>
      </c>
      <c r="O23" s="60"/>
      <c r="P23" s="65" t="s">
        <v>138</v>
      </c>
    </row>
    <row r="24" spans="1:16" x14ac:dyDescent="0.25">
      <c r="A24" s="58">
        <v>46204</v>
      </c>
      <c r="B24" s="59" t="s">
        <v>123</v>
      </c>
      <c r="C24" s="60" t="s">
        <v>119</v>
      </c>
      <c r="D24" s="61">
        <v>0.65</v>
      </c>
      <c r="E24" s="62" t="s">
        <v>55</v>
      </c>
      <c r="F24" s="63">
        <v>375.1</v>
      </c>
      <c r="G24" s="58">
        <v>46212</v>
      </c>
      <c r="H24" s="58">
        <v>46219</v>
      </c>
      <c r="I24" s="63"/>
      <c r="J24" s="63"/>
      <c r="K24" s="64" t="str">
        <f t="shared" si="0"/>
        <v/>
      </c>
      <c r="L24" s="64" t="str">
        <f t="shared" si="1"/>
        <v/>
      </c>
      <c r="M24" s="62" t="str">
        <f t="shared" si="2"/>
        <v/>
      </c>
      <c r="N24" s="62" t="str">
        <f t="shared" si="3"/>
        <v/>
      </c>
      <c r="O24" s="60"/>
      <c r="P24" s="65" t="s">
        <v>138</v>
      </c>
    </row>
    <row r="26" spans="1:16" x14ac:dyDescent="0.25">
      <c r="A26" s="66" t="s">
        <v>139</v>
      </c>
      <c r="B26" s="67" t="s">
        <v>140</v>
      </c>
    </row>
    <row r="27" spans="1:16" x14ac:dyDescent="0.25">
      <c r="A27" s="68" t="s">
        <v>141</v>
      </c>
      <c r="B27" s="69">
        <f>COUNTIF(P5:P24,"LOCKED")</f>
        <v>7</v>
      </c>
    </row>
    <row r="28" spans="1:16" x14ac:dyDescent="0.25">
      <c r="A28" s="68" t="s">
        <v>142</v>
      </c>
      <c r="B28" s="69">
        <f>COUNTIFS(P5:P24,"LOCKED",I5:I24,"&lt;&gt;")</f>
        <v>7</v>
      </c>
    </row>
    <row r="29" spans="1:16" x14ac:dyDescent="0.25">
      <c r="A29" s="68" t="s">
        <v>143</v>
      </c>
      <c r="B29" s="69">
        <f>COUNTIFS(P5:P24,"LOCKED",M5:M24,"YES")</f>
        <v>4</v>
      </c>
    </row>
    <row r="30" spans="1:16" x14ac:dyDescent="0.25">
      <c r="A30" s="68" t="s">
        <v>144</v>
      </c>
      <c r="B30" s="70">
        <f>IFERROR(COUNTIFS(P5:P24,"LOCKED",M5:M24,"YES")/COUNTIFS(P5:P24,"LOCKED",I5:I24,"&lt;&gt;"),"—")</f>
        <v>0.5714285714285714</v>
      </c>
    </row>
    <row r="31" spans="1:16" x14ac:dyDescent="0.25">
      <c r="A31" s="68" t="s">
        <v>145</v>
      </c>
      <c r="B31" s="71">
        <f>IFERROR(AVERAGEIFS(K5:K24,P5:P24,"LOCKED",I5:I24,"&lt;&gt;"),"—")</f>
        <v>-8.9789598508642297E-3</v>
      </c>
    </row>
    <row r="32" spans="1:16" x14ac:dyDescent="0.25">
      <c r="A32" s="68" t="s">
        <v>146</v>
      </c>
      <c r="B32" s="69">
        <f>COUNTIFS(P5:P24,"LOCKED",J5:J24,"&lt;&gt;")</f>
        <v>7</v>
      </c>
    </row>
    <row r="33" spans="1:2" x14ac:dyDescent="0.25">
      <c r="A33" s="68" t="s">
        <v>147</v>
      </c>
      <c r="B33" s="69">
        <f>COUNTIFS(P5:P24,"LOCKED",N5:N24,"YES")</f>
        <v>1</v>
      </c>
    </row>
    <row r="34" spans="1:2" x14ac:dyDescent="0.25">
      <c r="A34" s="68" t="s">
        <v>148</v>
      </c>
      <c r="B34" s="70">
        <f>IFERROR(COUNTIFS(P5:P24,"LOCKED",N5:N24,"YES")/COUNTIFS(P5:P24,"LOCKED",J5:J24,"&lt;&gt;"),"—")</f>
        <v>0.14285714285714285</v>
      </c>
    </row>
    <row r="35" spans="1:2" x14ac:dyDescent="0.25">
      <c r="A35" s="68" t="s">
        <v>149</v>
      </c>
      <c r="B35" s="71">
        <f>IFERROR(AVERAGEIFS(L5:L24,P5:P24,"LOCKED",J5:J24,"&lt;&gt;"),"—")</f>
        <v>-3.0202092303722283E-2</v>
      </c>
    </row>
    <row r="37" spans="1:2" x14ac:dyDescent="0.25">
      <c r="A37" s="66" t="s">
        <v>150</v>
      </c>
      <c r="B37" s="67" t="s">
        <v>151</v>
      </c>
    </row>
    <row r="38" spans="1:2" x14ac:dyDescent="0.25">
      <c r="A38" s="68" t="s">
        <v>141</v>
      </c>
      <c r="B38" s="69">
        <f>COUNTIF(P5:P24,"EXTENDED")</f>
        <v>13</v>
      </c>
    </row>
    <row r="39" spans="1:2" x14ac:dyDescent="0.25">
      <c r="A39" s="68" t="s">
        <v>142</v>
      </c>
      <c r="B39" s="69">
        <f>COUNTIFS(P5:P24,"EXTENDED",I5:I24,"&lt;&gt;")</f>
        <v>12</v>
      </c>
    </row>
    <row r="40" spans="1:2" x14ac:dyDescent="0.25">
      <c r="A40" s="68" t="s">
        <v>143</v>
      </c>
      <c r="B40" s="69">
        <f>COUNTIFS(P5:P24,"EXTENDED",M5:M24,"YES")</f>
        <v>5</v>
      </c>
    </row>
    <row r="41" spans="1:2" x14ac:dyDescent="0.25">
      <c r="A41" s="68" t="s">
        <v>144</v>
      </c>
      <c r="B41" s="70">
        <f>IFERROR(COUNTIFS(P5:P24,"EXTENDED",M5:M24,"YES")/COUNTIFS(P5:P24,"EXTENDED",I5:I24,"&lt;&gt;"),"—")</f>
        <v>0.41666666666666669</v>
      </c>
    </row>
    <row r="42" spans="1:2" x14ac:dyDescent="0.25">
      <c r="A42" s="68" t="s">
        <v>145</v>
      </c>
      <c r="B42" s="71">
        <f>IFERROR(AVERAGEIFS(K5:K24,P5:P24,"EXTENDED",I5:I24,"&lt;&gt;"),"—")</f>
        <v>-2.4071416286732771E-2</v>
      </c>
    </row>
    <row r="43" spans="1:2" x14ac:dyDescent="0.25">
      <c r="A43" s="68" t="s">
        <v>146</v>
      </c>
      <c r="B43" s="69">
        <f>COUNTIFS(P5:P24,"EXTENDED",J5:J24,"&lt;&gt;")</f>
        <v>12</v>
      </c>
    </row>
    <row r="44" spans="1:2" x14ac:dyDescent="0.25">
      <c r="A44" s="68" t="s">
        <v>147</v>
      </c>
      <c r="B44" s="69">
        <f>COUNTIFS(P5:P24,"EXTENDED",N5:N24,"YES")</f>
        <v>1</v>
      </c>
    </row>
    <row r="45" spans="1:2" x14ac:dyDescent="0.25">
      <c r="A45" s="68" t="s">
        <v>148</v>
      </c>
      <c r="B45" s="70">
        <f>IFERROR(COUNTIFS(P5:P24,"EXTENDED",N5:N24,"YES")/COUNTIFS(P5:P24,"EXTENDED",J5:J24,"&lt;&gt;"),"—")</f>
        <v>8.3333333333333329E-2</v>
      </c>
    </row>
    <row r="46" spans="1:2" x14ac:dyDescent="0.25">
      <c r="A46" s="68" t="s">
        <v>149</v>
      </c>
      <c r="B46" s="71">
        <f>IFERROR(AVERAGEIFS(L5:L24,P5:P24,"EXTENDED",J5:J24,"&lt;&gt;"),"—")</f>
        <v>-3.736233985202355E-2</v>
      </c>
    </row>
    <row r="48" spans="1:2" x14ac:dyDescent="0.25">
      <c r="A48" s="72" t="s">
        <v>152</v>
      </c>
      <c r="B48" s="73">
        <f>COUNTA(A5:A24)</f>
        <v>20</v>
      </c>
    </row>
    <row r="50" spans="1:1" x14ac:dyDescent="0.25">
      <c r="A50" s="66" t="s">
        <v>153</v>
      </c>
    </row>
    <row r="51" spans="1:1" x14ac:dyDescent="0.25">
      <c r="A51" s="74" t="s">
        <v>154</v>
      </c>
    </row>
    <row r="52" spans="1:1" x14ac:dyDescent="0.25">
      <c r="A52" s="48" t="s">
        <v>155</v>
      </c>
    </row>
    <row r="53" spans="1:1" x14ac:dyDescent="0.25">
      <c r="A53" s="67" t="s">
        <v>156</v>
      </c>
    </row>
    <row r="55" spans="1:1" x14ac:dyDescent="0.25">
      <c r="A55" s="75" t="s">
        <v>157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6"/>
  <sheetViews>
    <sheetView topLeftCell="A48" zoomScaleNormal="100" workbookViewId="0">
      <selection activeCell="N54" sqref="N54"/>
    </sheetView>
  </sheetViews>
  <sheetFormatPr defaultColWidth="8.7109375" defaultRowHeight="15" x14ac:dyDescent="0.25"/>
  <cols>
    <col min="1" max="1" width="13" customWidth="1"/>
    <col min="2" max="3" width="16" customWidth="1"/>
    <col min="4" max="4" width="11" customWidth="1"/>
    <col min="5" max="5" width="16" customWidth="1"/>
    <col min="6" max="6" width="11" customWidth="1"/>
    <col min="7" max="7" width="16" customWidth="1"/>
    <col min="8" max="8" width="11" customWidth="1"/>
    <col min="9" max="9" width="18" customWidth="1"/>
  </cols>
  <sheetData>
    <row r="1" spans="1:9" ht="18.75" customHeight="1" x14ac:dyDescent="0.3">
      <c r="A1" s="96" t="s">
        <v>158</v>
      </c>
      <c r="B1" s="93"/>
      <c r="C1" s="93"/>
      <c r="D1" s="93"/>
      <c r="E1" s="93"/>
      <c r="F1" s="93"/>
      <c r="G1" s="93"/>
      <c r="H1" s="93"/>
      <c r="I1" s="93"/>
    </row>
    <row r="2" spans="1:9" ht="31.5" customHeight="1" x14ac:dyDescent="0.25">
      <c r="A2" s="104" t="s">
        <v>159</v>
      </c>
      <c r="B2" s="93"/>
      <c r="C2" s="93"/>
      <c r="D2" s="93"/>
      <c r="E2" s="93"/>
      <c r="F2" s="93"/>
      <c r="G2" s="93"/>
      <c r="H2" s="93"/>
      <c r="I2" s="93"/>
    </row>
    <row r="4" spans="1:9" ht="15.75" customHeight="1" x14ac:dyDescent="0.25">
      <c r="A4" s="105" t="s">
        <v>160</v>
      </c>
      <c r="B4" s="93"/>
      <c r="C4" s="93"/>
      <c r="D4" s="93"/>
      <c r="E4" s="93"/>
      <c r="F4" s="93"/>
      <c r="G4" s="93"/>
      <c r="H4" s="93"/>
      <c r="I4" s="93"/>
    </row>
    <row r="5" spans="1:9" ht="31.5" customHeight="1" x14ac:dyDescent="0.25">
      <c r="A5" s="35" t="s">
        <v>161</v>
      </c>
      <c r="B5" s="35" t="s">
        <v>162</v>
      </c>
      <c r="C5" s="35" t="s">
        <v>163</v>
      </c>
      <c r="D5" s="35" t="s">
        <v>164</v>
      </c>
      <c r="E5" s="35" t="s">
        <v>165</v>
      </c>
      <c r="F5" s="35" t="s">
        <v>166</v>
      </c>
      <c r="G5" s="35" t="s">
        <v>167</v>
      </c>
      <c r="H5" s="35" t="s">
        <v>168</v>
      </c>
      <c r="I5" s="35" t="s">
        <v>169</v>
      </c>
    </row>
    <row r="6" spans="1:9" ht="21.75" customHeight="1" x14ac:dyDescent="0.25">
      <c r="A6" s="1" t="s">
        <v>170</v>
      </c>
      <c r="B6" s="36">
        <f>COUNTIFS(Signals!$A:$A,$A$6,Signals!$N:$N,"YES")+COUNTIFS(Signals!$A:$A,$A$6,Signals!$N:$N,"NO")</f>
        <v>24</v>
      </c>
      <c r="C6" s="37">
        <f>IFERROR(COUNTIFS(Signals!$A:$A,$A$6,Signals!$E:$E,"&gt;=0.40",Signals!$E:$E,"&lt;0.50",Signals!$N:$N,"YES")/(COUNTIFS(Signals!$A:$A,$A$6,Signals!$E:$E,"&gt;=0.40",Signals!$E:$E,"&lt;0.50",Signals!$N:$N,"YES")+COUNTIFS(Signals!$A:$A,$A$6,Signals!$E:$E,"&gt;=0.40",Signals!$E:$E,"&lt;0.50",Signals!$N:$N,"NO")),"")</f>
        <v>0.33333333333333331</v>
      </c>
      <c r="D6" s="36">
        <f>COUNTIFS(Signals!$A:$A,$A$6,Signals!$E:$E,"&gt;=0.40",Signals!$E:$E,"&lt;0.50",Signals!$N:$N,"YES")+COUNTIFS(Signals!$A:$A,$A$6,Signals!$E:$E,"&gt;=0.40",Signals!$E:$E,"&lt;0.50",Signals!$N:$N,"NO")</f>
        <v>6</v>
      </c>
      <c r="E6" s="37">
        <f>IFERROR(COUNTIFS(Signals!$A:$A,$A$6,Signals!$E:$E,"&gt;=0.50",Signals!$E:$E,"&lt;0.60",Signals!$N:$N,"YES")/(COUNTIFS(Signals!$A:$A,$A$6,Signals!$E:$E,"&gt;=0.50",Signals!$E:$E,"&lt;0.60",Signals!$N:$N,"YES")+COUNTIFS(Signals!$A:$A,$A$6,Signals!$E:$E,"&gt;=0.50",Signals!$E:$E,"&lt;0.60",Signals!$N:$N,"NO")),"")</f>
        <v>0.5714285714285714</v>
      </c>
      <c r="F6" s="36">
        <f>COUNTIFS(Signals!$A:$A,$A$6,Signals!$E:$E,"&gt;=0.50",Signals!$E:$E,"&lt;0.60",Signals!$N:$N,"YES")+COUNTIFS(Signals!$A:$A,$A$6,Signals!$E:$E,"&gt;=0.50",Signals!$E:$E,"&lt;0.60",Signals!$N:$N,"NO")</f>
        <v>14</v>
      </c>
      <c r="G6" s="37">
        <f>IFERROR(COUNTIFS(Signals!$A:$A,$A$6,Signals!$E:$E,"&gt;=0.60",Signals!$E:$E,"&lt;0.70",Signals!$N:$N,"YES")/(COUNTIFS(Signals!$A:$A,$A$6,Signals!$E:$E,"&gt;=0.60",Signals!$E:$E,"&lt;0.70",Signals!$N:$N,"YES")+COUNTIFS(Signals!$A:$A,$A$6,Signals!$E:$E,"&gt;=0.60",Signals!$E:$E,"&lt;0.70",Signals!$N:$N,"NO")),"")</f>
        <v>0.5</v>
      </c>
      <c r="H6" s="36">
        <f>COUNTIFS(Signals!$A:$A,$A$6,Signals!$E:$E,"&gt;=0.60",Signals!$E:$E,"&lt;0.70",Signals!$N:$N,"YES")+COUNTIFS(Signals!$A:$A,$A$6,Signals!$E:$E,"&gt;=0.60",Signals!$E:$E,"&lt;0.70",Signals!$N:$N,"NO")</f>
        <v>4</v>
      </c>
      <c r="I6" s="38" t="str">
        <f t="shared" ref="I6:I24" si="0">IF(B6=0,"insufficient data",IF(AND(E6&gt;C6,E6&gt;G6),"✓ YES","NO"))</f>
        <v>✓ YES</v>
      </c>
    </row>
    <row r="7" spans="1:9" ht="21.75" customHeight="1" x14ac:dyDescent="0.25">
      <c r="A7" s="1" t="s">
        <v>171</v>
      </c>
      <c r="B7" s="36">
        <f>COUNTIFS(Signals!$A:$A,$A$7,Signals!$N:$N,"YES")+COUNTIFS(Signals!$A:$A,$A$7,Signals!$N:$N,"NO")</f>
        <v>24</v>
      </c>
      <c r="C7" s="37">
        <f>IFERROR(COUNTIFS(Signals!$A:$A,$A$7,Signals!$E:$E,"&gt;=0.40",Signals!$E:$E,"&lt;0.50",Signals!$N:$N,"YES")/(COUNTIFS(Signals!$A:$A,$A$7,Signals!$E:$E,"&gt;=0.40",Signals!$E:$E,"&lt;0.50",Signals!$N:$N,"YES")+COUNTIFS(Signals!$A:$A,$A$7,Signals!$E:$E,"&gt;=0.40",Signals!$E:$E,"&lt;0.50",Signals!$N:$N,"NO")),"")</f>
        <v>0.42857142857142855</v>
      </c>
      <c r="D7" s="36">
        <f>COUNTIFS(Signals!$A:$A,$A$7,Signals!$E:$E,"&gt;=0.40",Signals!$E:$E,"&lt;0.50",Signals!$N:$N,"YES")+COUNTIFS(Signals!$A:$A,$A$7,Signals!$E:$E,"&gt;=0.40",Signals!$E:$E,"&lt;0.50",Signals!$N:$N,"NO")</f>
        <v>7</v>
      </c>
      <c r="E7" s="37">
        <f>IFERROR(COUNTIFS(Signals!$A:$A,$A$7,Signals!$E:$E,"&gt;=0.50",Signals!$E:$E,"&lt;0.60",Signals!$N:$N,"YES")/(COUNTIFS(Signals!$A:$A,$A$7,Signals!$E:$E,"&gt;=0.50",Signals!$E:$E,"&lt;0.60",Signals!$N:$N,"YES")+COUNTIFS(Signals!$A:$A,$A$7,Signals!$E:$E,"&gt;=0.50",Signals!$E:$E,"&lt;0.60",Signals!$N:$N,"NO")),"")</f>
        <v>0.5</v>
      </c>
      <c r="F7" s="36">
        <f>COUNTIFS(Signals!$A:$A,$A$7,Signals!$E:$E,"&gt;=0.50",Signals!$E:$E,"&lt;0.60",Signals!$N:$N,"YES")+COUNTIFS(Signals!$A:$A,$A$7,Signals!$E:$E,"&gt;=0.50",Signals!$E:$E,"&lt;0.60",Signals!$N:$N,"NO")</f>
        <v>10</v>
      </c>
      <c r="G7" s="37">
        <f>IFERROR(COUNTIFS(Signals!$A:$A,$A$7,Signals!$E:$E,"&gt;=0.60",Signals!$E:$E,"&lt;0.70",Signals!$N:$N,"YES")/(COUNTIFS(Signals!$A:$A,$A$7,Signals!$E:$E,"&gt;=0.60",Signals!$E:$E,"&lt;0.70",Signals!$N:$N,"YES")+COUNTIFS(Signals!$A:$A,$A$7,Signals!$E:$E,"&gt;=0.60",Signals!$E:$E,"&lt;0.70",Signals!$N:$N,"NO")),"")</f>
        <v>0.14285714285714285</v>
      </c>
      <c r="H7" s="36">
        <f>COUNTIFS(Signals!$A:$A,$A$7,Signals!$E:$E,"&gt;=0.60",Signals!$E:$E,"&lt;0.70",Signals!$N:$N,"YES")+COUNTIFS(Signals!$A:$A,$A$7,Signals!$E:$E,"&gt;=0.60",Signals!$E:$E,"&lt;0.70",Signals!$N:$N,"NO")</f>
        <v>7</v>
      </c>
      <c r="I7" s="38" t="str">
        <f t="shared" si="0"/>
        <v>✓ YES</v>
      </c>
    </row>
    <row r="8" spans="1:9" ht="21.75" customHeight="1" x14ac:dyDescent="0.25">
      <c r="A8" s="1" t="s">
        <v>172</v>
      </c>
      <c r="B8" s="36">
        <f>COUNTIFS(Signals!$A:$A,$A$8,Signals!$N:$N,"YES")+COUNTIFS(Signals!$A:$A,$A$8,Signals!$N:$N,"NO")</f>
        <v>24</v>
      </c>
      <c r="C8" s="37">
        <f>IFERROR(COUNTIFS(Signals!$A:$A,$A$8,Signals!$E:$E,"&gt;=0.40",Signals!$E:$E,"&lt;0.50",Signals!$N:$N,"YES")/(COUNTIFS(Signals!$A:$A,$A$8,Signals!$E:$E,"&gt;=0.40",Signals!$E:$E,"&lt;0.50",Signals!$N:$N,"YES")+COUNTIFS(Signals!$A:$A,$A$8,Signals!$E:$E,"&gt;=0.40",Signals!$E:$E,"&lt;0.50",Signals!$N:$N,"NO")),"")</f>
        <v>0.35714285714285715</v>
      </c>
      <c r="D8" s="36">
        <f>COUNTIFS(Signals!$A:$A,$A$8,Signals!$E:$E,"&gt;=0.40",Signals!$E:$E,"&lt;0.50",Signals!$N:$N,"YES")+COUNTIFS(Signals!$A:$A,$A$8,Signals!$E:$E,"&gt;=0.40",Signals!$E:$E,"&lt;0.50",Signals!$N:$N,"NO")</f>
        <v>14</v>
      </c>
      <c r="E8" s="37">
        <f>IFERROR(COUNTIFS(Signals!$A:$A,$A$8,Signals!$E:$E,"&gt;=0.50",Signals!$E:$E,"&lt;0.60",Signals!$N:$N,"YES")/(COUNTIFS(Signals!$A:$A,$A$8,Signals!$E:$E,"&gt;=0.50",Signals!$E:$E,"&lt;0.60",Signals!$N:$N,"YES")+COUNTIFS(Signals!$A:$A,$A$8,Signals!$E:$E,"&gt;=0.50",Signals!$E:$E,"&lt;0.60",Signals!$N:$N,"NO")),"")</f>
        <v>0.42857142857142855</v>
      </c>
      <c r="F8" s="36">
        <f>COUNTIFS(Signals!$A:$A,$A$8,Signals!$E:$E,"&gt;=0.50",Signals!$E:$E,"&lt;0.60",Signals!$N:$N,"YES")+COUNTIFS(Signals!$A:$A,$A$8,Signals!$E:$E,"&gt;=0.50",Signals!$E:$E,"&lt;0.60",Signals!$N:$N,"NO")</f>
        <v>7</v>
      </c>
      <c r="G8" s="37">
        <f>IFERROR(COUNTIFS(Signals!$A:$A,$A$8,Signals!$E:$E,"&gt;=0.60",Signals!$E:$E,"&lt;0.70",Signals!$N:$N,"YES")/(COUNTIFS(Signals!$A:$A,$A$8,Signals!$E:$E,"&gt;=0.60",Signals!$E:$E,"&lt;0.70",Signals!$N:$N,"YES")+COUNTIFS(Signals!$A:$A,$A$8,Signals!$E:$E,"&gt;=0.60",Signals!$E:$E,"&lt;0.70",Signals!$N:$N,"NO")),"")</f>
        <v>0.33333333333333331</v>
      </c>
      <c r="H8" s="36">
        <f>COUNTIFS(Signals!$A:$A,$A$8,Signals!$E:$E,"&gt;=0.60",Signals!$E:$E,"&lt;0.70",Signals!$N:$N,"YES")+COUNTIFS(Signals!$A:$A,$A$8,Signals!$E:$E,"&gt;=0.60",Signals!$E:$E,"&lt;0.70",Signals!$N:$N,"NO")</f>
        <v>3</v>
      </c>
      <c r="I8" s="38" t="str">
        <f t="shared" si="0"/>
        <v>✓ YES</v>
      </c>
    </row>
    <row r="9" spans="1:9" ht="21.75" customHeight="1" x14ac:dyDescent="0.25">
      <c r="A9" s="1" t="s">
        <v>173</v>
      </c>
      <c r="B9" s="36">
        <f>COUNTIFS(Signals!$A:$A,$A$9,Signals!$N:$N,"YES")+COUNTIFS(Signals!$A:$A,$A$9,Signals!$N:$N,"NO")</f>
        <v>24</v>
      </c>
      <c r="C9" s="37">
        <f>IFERROR(COUNTIFS(Signals!$A:$A,$A$9,Signals!$E:$E,"&gt;=0.40",Signals!$E:$E,"&lt;0.50",Signals!$N:$N,"YES")/(COUNTIFS(Signals!$A:$A,$A$9,Signals!$E:$E,"&gt;=0.40",Signals!$E:$E,"&lt;0.50",Signals!$N:$N,"YES")+COUNTIFS(Signals!$A:$A,$A$9,Signals!$E:$E,"&gt;=0.40",Signals!$E:$E,"&lt;0.50",Signals!$N:$N,"NO")),"")</f>
        <v>0.33333333333333331</v>
      </c>
      <c r="D9" s="36">
        <f>COUNTIFS(Signals!$A:$A,$A$9,Signals!$E:$E,"&gt;=0.40",Signals!$E:$E,"&lt;0.50",Signals!$N:$N,"YES")+COUNTIFS(Signals!$A:$A,$A$9,Signals!$E:$E,"&gt;=0.40",Signals!$E:$E,"&lt;0.50",Signals!$N:$N,"NO")</f>
        <v>9</v>
      </c>
      <c r="E9" s="37">
        <f>IFERROR(COUNTIFS(Signals!$A:$A,$A$9,Signals!$E:$E,"&gt;=0.50",Signals!$E:$E,"&lt;0.60",Signals!$N:$N,"YES")/(COUNTIFS(Signals!$A:$A,$A$9,Signals!$E:$E,"&gt;=0.50",Signals!$E:$E,"&lt;0.60",Signals!$N:$N,"YES")+COUNTIFS(Signals!$A:$A,$A$9,Signals!$E:$E,"&gt;=0.50",Signals!$E:$E,"&lt;0.60",Signals!$N:$N,"NO")),"")</f>
        <v>0.41666666666666669</v>
      </c>
      <c r="F9" s="36">
        <f>COUNTIFS(Signals!$A:$A,$A$9,Signals!$E:$E,"&gt;=0.50",Signals!$E:$E,"&lt;0.60",Signals!$N:$N,"YES")+COUNTIFS(Signals!$A:$A,$A$9,Signals!$E:$E,"&gt;=0.50",Signals!$E:$E,"&lt;0.60",Signals!$N:$N,"NO")</f>
        <v>12</v>
      </c>
      <c r="G9" s="37">
        <f>IFERROR(COUNTIFS(Signals!$A:$A,$A$9,Signals!$E:$E,"&gt;=0.60",Signals!$E:$E,"&lt;0.70",Signals!$N:$N,"YES")/(COUNTIFS(Signals!$A:$A,$A$9,Signals!$E:$E,"&gt;=0.60",Signals!$E:$E,"&lt;0.70",Signals!$N:$N,"YES")+COUNTIFS(Signals!$A:$A,$A$9,Signals!$E:$E,"&gt;=0.60",Signals!$E:$E,"&lt;0.70",Signals!$N:$N,"NO")),"")</f>
        <v>0.66666666666666663</v>
      </c>
      <c r="H9" s="36">
        <f>COUNTIFS(Signals!$A:$A,$A$9,Signals!$E:$E,"&gt;=0.60",Signals!$E:$E,"&lt;0.70",Signals!$N:$N,"YES")+COUNTIFS(Signals!$A:$A,$A$9,Signals!$E:$E,"&gt;=0.60",Signals!$E:$E,"&lt;0.70",Signals!$N:$N,"NO")</f>
        <v>3</v>
      </c>
      <c r="I9" s="38" t="str">
        <f t="shared" si="0"/>
        <v>NO</v>
      </c>
    </row>
    <row r="10" spans="1:9" ht="21.75" customHeight="1" x14ac:dyDescent="0.25">
      <c r="A10" s="1" t="s">
        <v>174</v>
      </c>
      <c r="B10" s="36">
        <f>COUNTIFS(Signals!$A:$A,$A$10,Signals!$N:$N,"YES")+COUNTIFS(Signals!$A:$A,$A$10,Signals!$N:$N,"NO")</f>
        <v>24</v>
      </c>
      <c r="C10" s="37">
        <f>IFERROR(COUNTIFS(Signals!$A:$A,$A$10,Signals!$E:$E,"&gt;=0.40",Signals!$E:$E,"&lt;0.50",Signals!$N:$N,"YES")/(COUNTIFS(Signals!$A:$A,$A$10,Signals!$E:$E,"&gt;=0.40",Signals!$E:$E,"&lt;0.50",Signals!$N:$N,"YES")+COUNTIFS(Signals!$A:$A,$A$10,Signals!$E:$E,"&gt;=0.40",Signals!$E:$E,"&lt;0.50",Signals!$N:$N,"NO")),"")</f>
        <v>0.375</v>
      </c>
      <c r="D10" s="36">
        <f>COUNTIFS(Signals!$A:$A,$A$10,Signals!$E:$E,"&gt;=0.40",Signals!$E:$E,"&lt;0.50",Signals!$N:$N,"YES")+COUNTIFS(Signals!$A:$A,$A$10,Signals!$E:$E,"&gt;=0.40",Signals!$E:$E,"&lt;0.50",Signals!$N:$N,"NO")</f>
        <v>8</v>
      </c>
      <c r="E10" s="37">
        <f>IFERROR(COUNTIFS(Signals!$A:$A,$A$10,Signals!$E:$E,"&gt;=0.50",Signals!$E:$E,"&lt;0.60",Signals!$N:$N,"YES")/(COUNTIFS(Signals!$A:$A,$A$10,Signals!$E:$E,"&gt;=0.50",Signals!$E:$E,"&lt;0.60",Signals!$N:$N,"YES")+COUNTIFS(Signals!$A:$A,$A$10,Signals!$E:$E,"&gt;=0.50",Signals!$E:$E,"&lt;0.60",Signals!$N:$N,"NO")),"")</f>
        <v>0.5</v>
      </c>
      <c r="F10" s="36">
        <f>COUNTIFS(Signals!$A:$A,$A$10,Signals!$E:$E,"&gt;=0.50",Signals!$E:$E,"&lt;0.60",Signals!$N:$N,"YES")+COUNTIFS(Signals!$A:$A,$A$10,Signals!$E:$E,"&gt;=0.50",Signals!$E:$E,"&lt;0.60",Signals!$N:$N,"NO")</f>
        <v>12</v>
      </c>
      <c r="G10" s="37">
        <f>IFERROR(COUNTIFS(Signals!$A:$A,$A$10,Signals!$E:$E,"&gt;=0.60",Signals!$E:$E,"&lt;0.70",Signals!$N:$N,"YES")/(COUNTIFS(Signals!$A:$A,$A$10,Signals!$E:$E,"&gt;=0.60",Signals!$E:$E,"&lt;0.70",Signals!$N:$N,"YES")+COUNTIFS(Signals!$A:$A,$A$10,Signals!$E:$E,"&gt;=0.60",Signals!$E:$E,"&lt;0.70",Signals!$N:$N,"NO")),"")</f>
        <v>0.5</v>
      </c>
      <c r="H10" s="36">
        <f>COUNTIFS(Signals!$A:$A,$A$10,Signals!$E:$E,"&gt;=0.60",Signals!$E:$E,"&lt;0.70",Signals!$N:$N,"YES")+COUNTIFS(Signals!$A:$A,$A$10,Signals!$E:$E,"&gt;=0.60",Signals!$E:$E,"&lt;0.70",Signals!$N:$N,"NO")</f>
        <v>4</v>
      </c>
      <c r="I10" s="38" t="str">
        <f t="shared" si="0"/>
        <v>NO</v>
      </c>
    </row>
    <row r="11" spans="1:9" ht="21.75" customHeight="1" x14ac:dyDescent="0.25">
      <c r="A11" s="1" t="s">
        <v>175</v>
      </c>
      <c r="B11" s="36">
        <f>COUNTIFS(Signals!$A:$A,$A$11,Signals!$N:$N,"YES")+COUNTIFS(Signals!$A:$A,$A$11,Signals!$N:$N,"NO")</f>
        <v>24</v>
      </c>
      <c r="C11" s="37">
        <f>IFERROR(COUNTIFS(Signals!$A:$A,$A$11,Signals!$E:$E,"&gt;=0.40",Signals!$E:$E,"&lt;0.50",Signals!$N:$N,"YES")/(COUNTIFS(Signals!$A:$A,$A$11,Signals!$E:$E,"&gt;=0.40",Signals!$E:$E,"&lt;0.50",Signals!$N:$N,"YES")+COUNTIFS(Signals!$A:$A,$A$11,Signals!$E:$E,"&gt;=0.40",Signals!$E:$E,"&lt;0.50",Signals!$N:$N,"NO")),"")</f>
        <v>0.83333333333333337</v>
      </c>
      <c r="D11" s="36">
        <f>COUNTIFS(Signals!$A:$A,$A$11,Signals!$E:$E,"&gt;=0.40",Signals!$E:$E,"&lt;0.50",Signals!$N:$N,"YES")+COUNTIFS(Signals!$A:$A,$A$11,Signals!$E:$E,"&gt;=0.40",Signals!$E:$E,"&lt;0.50",Signals!$N:$N,"NO")</f>
        <v>6</v>
      </c>
      <c r="E11" s="37">
        <f>IFERROR(COUNTIFS(Signals!$A:$A,$A$11,Signals!$E:$E,"&gt;=0.50",Signals!$E:$E,"&lt;0.60",Signals!$N:$N,"YES")/(COUNTIFS(Signals!$A:$A,$A$11,Signals!$E:$E,"&gt;=0.50",Signals!$E:$E,"&lt;0.60",Signals!$N:$N,"YES")+COUNTIFS(Signals!$A:$A,$A$11,Signals!$E:$E,"&gt;=0.50",Signals!$E:$E,"&lt;0.60",Signals!$N:$N,"NO")),"")</f>
        <v>0.6428571428571429</v>
      </c>
      <c r="F11" s="36">
        <f>COUNTIFS(Signals!$A:$A,$A$11,Signals!$E:$E,"&gt;=0.50",Signals!$E:$E,"&lt;0.60",Signals!$N:$N,"YES")+COUNTIFS(Signals!$A:$A,$A$11,Signals!$E:$E,"&gt;=0.50",Signals!$E:$E,"&lt;0.60",Signals!$N:$N,"NO")</f>
        <v>14</v>
      </c>
      <c r="G11" s="37">
        <f>IFERROR(COUNTIFS(Signals!$A:$A,$A$11,Signals!$E:$E,"&gt;=0.60",Signals!$E:$E,"&lt;0.70",Signals!$N:$N,"YES")/(COUNTIFS(Signals!$A:$A,$A$11,Signals!$E:$E,"&gt;=0.60",Signals!$E:$E,"&lt;0.70",Signals!$N:$N,"YES")+COUNTIFS(Signals!$A:$A,$A$11,Signals!$E:$E,"&gt;=0.60",Signals!$E:$E,"&lt;0.70",Signals!$N:$N,"NO")),"")</f>
        <v>0.5</v>
      </c>
      <c r="H11" s="36">
        <f>COUNTIFS(Signals!$A:$A,$A$11,Signals!$E:$E,"&gt;=0.60",Signals!$E:$E,"&lt;0.70",Signals!$N:$N,"YES")+COUNTIFS(Signals!$A:$A,$A$11,Signals!$E:$E,"&gt;=0.60",Signals!$E:$E,"&lt;0.70",Signals!$N:$N,"NO")</f>
        <v>4</v>
      </c>
      <c r="I11" s="38" t="str">
        <f t="shared" si="0"/>
        <v>NO</v>
      </c>
    </row>
    <row r="12" spans="1:9" ht="21.75" customHeight="1" x14ac:dyDescent="0.25">
      <c r="A12" s="1" t="s">
        <v>176</v>
      </c>
      <c r="B12" s="36">
        <f>COUNTIFS(Signals!$A:$A,$A$12,Signals!$N:$N,"YES")+COUNTIFS(Signals!$A:$A,$A$12,Signals!$N:$N,"NO")</f>
        <v>24</v>
      </c>
      <c r="C12" s="37">
        <f>IFERROR(COUNTIFS(Signals!$A:$A,$A$12,Signals!$E:$E,"&gt;=0.40",Signals!$E:$E,"&lt;0.50",Signals!$N:$N,"YES")/(COUNTIFS(Signals!$A:$A,$A$12,Signals!$E:$E,"&gt;=0.40",Signals!$E:$E,"&lt;0.50",Signals!$N:$N,"YES")+COUNTIFS(Signals!$A:$A,$A$12,Signals!$E:$E,"&gt;=0.40",Signals!$E:$E,"&lt;0.50",Signals!$N:$N,"NO")),"")</f>
        <v>0.66666666666666663</v>
      </c>
      <c r="D12" s="36">
        <f>COUNTIFS(Signals!$A:$A,$A$12,Signals!$E:$E,"&gt;=0.40",Signals!$E:$E,"&lt;0.50",Signals!$N:$N,"YES")+COUNTIFS(Signals!$A:$A,$A$12,Signals!$E:$E,"&gt;=0.40",Signals!$E:$E,"&lt;0.50",Signals!$N:$N,"NO")</f>
        <v>6</v>
      </c>
      <c r="E12" s="37">
        <f>IFERROR(COUNTIFS(Signals!$A:$A,$A$12,Signals!$E:$E,"&gt;=0.50",Signals!$E:$E,"&lt;0.60",Signals!$N:$N,"YES")/(COUNTIFS(Signals!$A:$A,$A$12,Signals!$E:$E,"&gt;=0.50",Signals!$E:$E,"&lt;0.60",Signals!$N:$N,"YES")+COUNTIFS(Signals!$A:$A,$A$12,Signals!$E:$E,"&gt;=0.50",Signals!$E:$E,"&lt;0.60",Signals!$N:$N,"NO")),"")</f>
        <v>0.84615384615384615</v>
      </c>
      <c r="F12" s="36">
        <f>COUNTIFS(Signals!$A:$A,$A$12,Signals!$E:$E,"&gt;=0.50",Signals!$E:$E,"&lt;0.60",Signals!$N:$N,"YES")+COUNTIFS(Signals!$A:$A,$A$12,Signals!$E:$E,"&gt;=0.50",Signals!$E:$E,"&lt;0.60",Signals!$N:$N,"NO")</f>
        <v>13</v>
      </c>
      <c r="G12" s="37">
        <f>IFERROR(COUNTIFS(Signals!$A:$A,$A$12,Signals!$E:$E,"&gt;=0.60",Signals!$E:$E,"&lt;0.70",Signals!$N:$N,"YES")/(COUNTIFS(Signals!$A:$A,$A$12,Signals!$E:$E,"&gt;=0.60",Signals!$E:$E,"&lt;0.70",Signals!$N:$N,"YES")+COUNTIFS(Signals!$A:$A,$A$12,Signals!$E:$E,"&gt;=0.60",Signals!$E:$E,"&lt;0.70",Signals!$N:$N,"NO")),"")</f>
        <v>0.8</v>
      </c>
      <c r="H12" s="36">
        <f>COUNTIFS(Signals!$A:$A,$A$12,Signals!$E:$E,"&gt;=0.60",Signals!$E:$E,"&lt;0.70",Signals!$N:$N,"YES")+COUNTIFS(Signals!$A:$A,$A$12,Signals!$E:$E,"&gt;=0.60",Signals!$E:$E,"&lt;0.70",Signals!$N:$N,"NO")</f>
        <v>5</v>
      </c>
      <c r="I12" s="38" t="str">
        <f t="shared" si="0"/>
        <v>✓ YES</v>
      </c>
    </row>
    <row r="13" spans="1:9" ht="15" customHeight="1" x14ac:dyDescent="0.25">
      <c r="A13" s="1" t="s">
        <v>177</v>
      </c>
      <c r="B13" s="36">
        <f>COUNTIFS(Signals!$A:$A,$A$13,Signals!$N:$N,"YES")+COUNTIFS(Signals!$A:$A,$A$13,Signals!$N:$N,"NO")</f>
        <v>24</v>
      </c>
      <c r="C13" s="37">
        <f>IFERROR(COUNTIFS(Signals!$A:$A,$A$13,Signals!$E:$E,"&gt;=0.40",Signals!$E:$E,"&lt;0.50",Signals!$N:$N,"YES")/(COUNTIFS(Signals!$A:$A,$A$13,Signals!$E:$E,"&gt;=0.40",Signals!$E:$E,"&lt;0.50",Signals!$N:$N,"YES")+COUNTIFS(Signals!$A:$A,$A$13,Signals!$E:$E,"&gt;=0.40",Signals!$E:$E,"&lt;0.50",Signals!$N:$N,"NO")),"")</f>
        <v>0.55555555555555558</v>
      </c>
      <c r="D13" s="36">
        <f>COUNTIFS(Signals!$A:$A,$A$13,Signals!$E:$E,"&gt;=0.40",Signals!$E:$E,"&lt;0.50",Signals!$N:$N,"YES")+COUNTIFS(Signals!$A:$A,$A$13,Signals!$E:$E,"&gt;=0.40",Signals!$E:$E,"&lt;0.50",Signals!$N:$N,"NO")</f>
        <v>9</v>
      </c>
      <c r="E13" s="37">
        <f>IFERROR(COUNTIFS(Signals!$A:$A,$A$13,Signals!$E:$E,"&gt;=0.50",Signals!$E:$E,"&lt;0.60",Signals!$N:$N,"YES")/(COUNTIFS(Signals!$A:$A,$A$13,Signals!$E:$E,"&gt;=0.50",Signals!$E:$E,"&lt;0.60",Signals!$N:$N,"YES")+COUNTIFS(Signals!$A:$A,$A$13,Signals!$E:$E,"&gt;=0.50",Signals!$E:$E,"&lt;0.60",Signals!$N:$N,"NO")),"")</f>
        <v>0.76923076923076927</v>
      </c>
      <c r="F13" s="36">
        <f>COUNTIFS(Signals!$A:$A,$A$13,Signals!$E:$E,"&gt;=0.50",Signals!$E:$E,"&lt;0.60",Signals!$N:$N,"YES")+COUNTIFS(Signals!$A:$A,$A$13,Signals!$E:$E,"&gt;=0.50",Signals!$E:$E,"&lt;0.60",Signals!$N:$N,"NO")</f>
        <v>13</v>
      </c>
      <c r="G13" s="37">
        <f>IFERROR(COUNTIFS(Signals!$A:$A,$A$13,Signals!$E:$E,"&gt;=0.60",Signals!$E:$E,"&lt;0.70",Signals!$N:$N,"YES")/(COUNTIFS(Signals!$A:$A,$A$13,Signals!$E:$E,"&gt;=0.60",Signals!$E:$E,"&lt;0.70",Signals!$N:$N,"YES")+COUNTIFS(Signals!$A:$A,$A$13,Signals!$E:$E,"&gt;=0.60",Signals!$E:$E,"&lt;0.70",Signals!$N:$N,"NO")),"")</f>
        <v>0.5</v>
      </c>
      <c r="H13" s="36">
        <f>COUNTIFS(Signals!$A:$A,$A$13,Signals!$E:$E,"&gt;=0.60",Signals!$E:$E,"&lt;0.70",Signals!$N:$N,"YES")+COUNTIFS(Signals!$A:$A,$A$13,Signals!$E:$E,"&gt;=0.60",Signals!$E:$E,"&lt;0.70",Signals!$N:$N,"NO")</f>
        <v>2</v>
      </c>
      <c r="I13" s="38" t="str">
        <f t="shared" si="0"/>
        <v>✓ YES</v>
      </c>
    </row>
    <row r="14" spans="1:9" ht="30" customHeight="1" x14ac:dyDescent="0.25">
      <c r="A14" s="1" t="s">
        <v>178</v>
      </c>
      <c r="B14" s="36">
        <f>COUNTIFS(Signals!$A:$A,$A$14,Signals!$N:$N,"YES")+COUNTIFS(Signals!$A:$A,$A$14,Signals!$N:$N,"NO")</f>
        <v>24</v>
      </c>
      <c r="C14" s="37">
        <f>IFERROR(COUNTIFS(Signals!$A:$A,$A$14,Signals!$E:$E,"&gt;=0.40",Signals!$E:$E,"&lt;0.50",Signals!$N:$N,"YES")/(COUNTIFS(Signals!$A:$A,$A$14,Signals!$E:$E,"&gt;=0.40",Signals!$E:$E,"&lt;0.50",Signals!$N:$N,"YES")+COUNTIFS(Signals!$A:$A,$A$14,Signals!$E:$E,"&gt;=0.40",Signals!$E:$E,"&lt;0.50",Signals!$N:$N,"NO")),"")</f>
        <v>0.14285714285714285</v>
      </c>
      <c r="D14" s="36">
        <f>COUNTIFS(Signals!$A:$A,$A$14,Signals!$E:$E,"&gt;=0.40",Signals!$E:$E,"&lt;0.50",Signals!$N:$N,"YES")+COUNTIFS(Signals!$A:$A,$A$14,Signals!$E:$E,"&gt;=0.40",Signals!$E:$E,"&lt;0.50",Signals!$N:$N,"NO")</f>
        <v>7</v>
      </c>
      <c r="E14" s="37">
        <f>IFERROR(COUNTIFS(Signals!$A:$A,$A$14,Signals!$E:$E,"&gt;=0.50",Signals!$E:$E,"&lt;0.60",Signals!$N:$N,"YES")/(COUNTIFS(Signals!$A:$A,$A$14,Signals!$E:$E,"&gt;=0.50",Signals!$E:$E,"&lt;0.60",Signals!$N:$N,"YES")+COUNTIFS(Signals!$A:$A,$A$14,Signals!$E:$E,"&gt;=0.50",Signals!$E:$E,"&lt;0.60",Signals!$N:$N,"NO")),"")</f>
        <v>0.72727272727272729</v>
      </c>
      <c r="F14" s="36">
        <f>COUNTIFS(Signals!$A:$A,$A$14,Signals!$E:$E,"&gt;=0.50",Signals!$E:$E,"&lt;0.60",Signals!$N:$N,"YES")+COUNTIFS(Signals!$A:$A,$A$14,Signals!$E:$E,"&gt;=0.50",Signals!$E:$E,"&lt;0.60",Signals!$N:$N,"NO")</f>
        <v>11</v>
      </c>
      <c r="G14" s="37">
        <f>IFERROR(COUNTIFS(Signals!$A:$A,$A$14,Signals!$E:$E,"&gt;=0.60",Signals!$E:$E,"&lt;0.70",Signals!$N:$N,"YES")/(COUNTIFS(Signals!$A:$A,$A$14,Signals!$E:$E,"&gt;=0.60",Signals!$E:$E,"&lt;0.70",Signals!$N:$N,"YES")+COUNTIFS(Signals!$A:$A,$A$14,Signals!$E:$E,"&gt;=0.60",Signals!$E:$E,"&lt;0.70",Signals!$N:$N,"NO")),"")</f>
        <v>0.66666666666666663</v>
      </c>
      <c r="H14" s="36">
        <f>COUNTIFS(Signals!$A:$A,$A$14,Signals!$E:$E,"&gt;=0.60",Signals!$E:$E,"&lt;0.70",Signals!$N:$N,"YES")+COUNTIFS(Signals!$A:$A,$A$14,Signals!$E:$E,"&gt;=0.60",Signals!$E:$E,"&lt;0.70",Signals!$N:$N,"NO")</f>
        <v>6</v>
      </c>
      <c r="I14" s="38" t="str">
        <f t="shared" si="0"/>
        <v>✓ YES</v>
      </c>
    </row>
    <row r="15" spans="1:9" ht="15" customHeight="1" x14ac:dyDescent="0.25">
      <c r="A15" s="1" t="s">
        <v>179</v>
      </c>
      <c r="B15" s="36">
        <f>COUNTIFS(Signals!$A:$A,$A$15,Signals!$N:$N,"YES")+COUNTIFS(Signals!$A:$A,$A$15,Signals!$N:$N,"NO")</f>
        <v>22</v>
      </c>
      <c r="C15" s="37">
        <f>IFERROR(COUNTIFS(Signals!$A:$A,$A$15,Signals!$E:$E,"&gt;=0.40",Signals!$E:$E,"&lt;0.50",Signals!$N:$N,"YES")/(COUNTIFS(Signals!$A:$A,$A$15,Signals!$E:$E,"&gt;=0.40",Signals!$E:$E,"&lt;0.50",Signals!$N:$N,"YES")+COUNTIFS(Signals!$A:$A,$A$15,Signals!$E:$E,"&gt;=0.40",Signals!$E:$E,"&lt;0.50",Signals!$N:$N,"NO")),"")</f>
        <v>0.5</v>
      </c>
      <c r="D15" s="36">
        <f>COUNTIFS(Signals!$A:$A,$A$15,Signals!$E:$E,"&gt;=0.40",Signals!$E:$E,"&lt;0.50",Signals!$N:$N,"YES")+COUNTIFS(Signals!$A:$A,$A$15,Signals!$E:$E,"&gt;=0.40",Signals!$E:$E,"&lt;0.50",Signals!$N:$N,"NO")</f>
        <v>6</v>
      </c>
      <c r="E15" s="37">
        <f>IFERROR(COUNTIFS(Signals!$A:$A,$A$15,Signals!$E:$E,"&gt;=0.50",Signals!$E:$E,"&lt;0.60",Signals!$N:$N,"YES")/(COUNTIFS(Signals!$A:$A,$A$15,Signals!$E:$E,"&gt;=0.50",Signals!$E:$E,"&lt;0.60",Signals!$N:$N,"YES")+COUNTIFS(Signals!$A:$A,$A$15,Signals!$E:$E,"&gt;=0.50",Signals!$E:$E,"&lt;0.60",Signals!$N:$N,"NO")),"")</f>
        <v>0.75</v>
      </c>
      <c r="F15" s="36">
        <f>COUNTIFS(Signals!$A:$A,$A$15,Signals!$E:$E,"&gt;=0.50",Signals!$E:$E,"&lt;0.60",Signals!$N:$N,"YES")+COUNTIFS(Signals!$A:$A,$A$15,Signals!$E:$E,"&gt;=0.50",Signals!$E:$E,"&lt;0.60",Signals!$N:$N,"NO")</f>
        <v>8</v>
      </c>
      <c r="G15" s="37">
        <f>IFERROR(COUNTIFS(Signals!$A:$A,$A$15,Signals!$E:$E,"&gt;=0.60",Signals!$E:$E,"&lt;0.70",Signals!$N:$N,"YES")/(COUNTIFS(Signals!$A:$A,$A$15,Signals!$E:$E,"&gt;=0.60",Signals!$E:$E,"&lt;0.70",Signals!$N:$N,"YES")+COUNTIFS(Signals!$A:$A,$A$15,Signals!$E:$E,"&gt;=0.60",Signals!$E:$E,"&lt;0.70",Signals!$N:$N,"NO")),"")</f>
        <v>0.5</v>
      </c>
      <c r="H15" s="36">
        <f>COUNTIFS(Signals!$A:$A,$A$15,Signals!$E:$E,"&gt;=0.60",Signals!$E:$E,"&lt;0.70",Signals!$N:$N,"YES")+COUNTIFS(Signals!$A:$A,$A$15,Signals!$E:$E,"&gt;=0.60",Signals!$E:$E,"&lt;0.70",Signals!$N:$N,"NO")</f>
        <v>6</v>
      </c>
      <c r="I15" s="38" t="str">
        <f t="shared" si="0"/>
        <v>✓ YES</v>
      </c>
    </row>
    <row r="16" spans="1:9" ht="15" customHeight="1" x14ac:dyDescent="0.25">
      <c r="A16" s="1" t="s">
        <v>180</v>
      </c>
      <c r="B16" s="36">
        <f>COUNTIFS(Signals!$A:$A,$A$16,Signals!$N:$N,"YES")+COUNTIFS(Signals!$A:$A,$A$16,Signals!$N:$N,"NO")</f>
        <v>21</v>
      </c>
      <c r="C16" s="37">
        <f>IFERROR(COUNTIFS(Signals!$A:$A,$A$16,Signals!$E:$E,"&gt;=0.40",Signals!$E:$E,"&lt;0.50",Signals!$N:$N,"YES")/(COUNTIFS(Signals!$A:$A,$A$16,Signals!$E:$E,"&gt;=0.40",Signals!$E:$E,"&lt;0.50",Signals!$N:$N,"YES")+COUNTIFS(Signals!$A:$A,$A$16,Signals!$E:$E,"&gt;=0.40",Signals!$E:$E,"&lt;0.50",Signals!$N:$N,"NO")),"")</f>
        <v>0.375</v>
      </c>
      <c r="D16" s="36">
        <f>COUNTIFS(Signals!$A:$A,$A$16,Signals!$E:$E,"&gt;=0.40",Signals!$E:$E,"&lt;0.50",Signals!$N:$N,"YES")+COUNTIFS(Signals!$A:$A,$A$16,Signals!$E:$E,"&gt;=0.40",Signals!$E:$E,"&lt;0.50",Signals!$N:$N,"NO")</f>
        <v>8</v>
      </c>
      <c r="E16" s="37">
        <f>IFERROR(COUNTIFS(Signals!$A:$A,$A$16,Signals!$E:$E,"&gt;=0.50",Signals!$E:$E,"&lt;0.60",Signals!$N:$N,"YES")/(COUNTIFS(Signals!$A:$A,$A$16,Signals!$E:$E,"&gt;=0.50",Signals!$E:$E,"&lt;0.60",Signals!$N:$N,"YES")+COUNTIFS(Signals!$A:$A,$A$16,Signals!$E:$E,"&gt;=0.50",Signals!$E:$E,"&lt;0.60",Signals!$N:$N,"NO")),"")</f>
        <v>0.3</v>
      </c>
      <c r="F16" s="36">
        <f>COUNTIFS(Signals!$A:$A,$A$16,Signals!$E:$E,"&gt;=0.50",Signals!$E:$E,"&lt;0.60",Signals!$N:$N,"YES")+COUNTIFS(Signals!$A:$A,$A$16,Signals!$E:$E,"&gt;=0.50",Signals!$E:$E,"&lt;0.60",Signals!$N:$N,"NO")</f>
        <v>10</v>
      </c>
      <c r="G16" s="37">
        <f>IFERROR(COUNTIFS(Signals!$A:$A,$A$16,Signals!$E:$E,"&gt;=0.60",Signals!$E:$E,"&lt;0.70",Signals!$N:$N,"YES")/(COUNTIFS(Signals!$A:$A,$A$16,Signals!$E:$E,"&gt;=0.60",Signals!$E:$E,"&lt;0.70",Signals!$N:$N,"YES")+COUNTIFS(Signals!$A:$A,$A$16,Signals!$E:$E,"&gt;=0.60",Signals!$E:$E,"&lt;0.70",Signals!$N:$N,"NO")),"")</f>
        <v>0.66666666666666663</v>
      </c>
      <c r="H16" s="36">
        <f>COUNTIFS(Signals!$A:$A,$A$16,Signals!$E:$E,"&gt;=0.60",Signals!$E:$E,"&lt;0.70",Signals!$N:$N,"YES")+COUNTIFS(Signals!$A:$A,$A$16,Signals!$E:$E,"&gt;=0.60",Signals!$E:$E,"&lt;0.70",Signals!$N:$N,"NO")</f>
        <v>3</v>
      </c>
      <c r="I16" s="38" t="str">
        <f t="shared" si="0"/>
        <v>NO</v>
      </c>
    </row>
    <row r="17" spans="1:9" ht="15" customHeight="1" x14ac:dyDescent="0.25">
      <c r="A17" s="1" t="s">
        <v>181</v>
      </c>
      <c r="B17" s="36">
        <f>COUNTIFS(Signals!$A:$A,$A$17,Signals!$N:$N,"YES")+COUNTIFS(Signals!$A:$A,$A$17,Signals!$N:$N,"NO")</f>
        <v>22</v>
      </c>
      <c r="C17" s="37">
        <f>IFERROR(COUNTIFS(Signals!$A:$A,$A$17,Signals!$E:$E,"&gt;=0.40",Signals!$E:$E,"&lt;0.50",Signals!$N:$N,"YES")/(COUNTIFS(Signals!$A:$A,$A$17,Signals!$E:$E,"&gt;=0.40",Signals!$E:$E,"&lt;0.50",Signals!$N:$N,"YES")+COUNTIFS(Signals!$A:$A,$A$17,Signals!$E:$E,"&gt;=0.40",Signals!$E:$E,"&lt;0.50",Signals!$N:$N,"NO")),"")</f>
        <v>0</v>
      </c>
      <c r="D17" s="36">
        <f>COUNTIFS(Signals!$A:$A,$A$17,Signals!$E:$E,"&gt;=0.40",Signals!$E:$E,"&lt;0.50",Signals!$N:$N,"YES")+COUNTIFS(Signals!$A:$A,$A$17,Signals!$E:$E,"&gt;=0.40",Signals!$E:$E,"&lt;0.50",Signals!$N:$N,"NO")</f>
        <v>5</v>
      </c>
      <c r="E17" s="37">
        <f>IFERROR(COUNTIFS(Signals!$A:$A,$A$17,Signals!$E:$E,"&gt;=0.50",Signals!$E:$E,"&lt;0.60",Signals!$N:$N,"YES")/(COUNTIFS(Signals!$A:$A,$A$17,Signals!$E:$E,"&gt;=0.50",Signals!$E:$E,"&lt;0.60",Signals!$N:$N,"YES")+COUNTIFS(Signals!$A:$A,$A$17,Signals!$E:$E,"&gt;=0.50",Signals!$E:$E,"&lt;0.60",Signals!$N:$N,"NO")),"")</f>
        <v>0.36363636363636365</v>
      </c>
      <c r="F17" s="36">
        <f>COUNTIFS(Signals!$A:$A,$A$17,Signals!$E:$E,"&gt;=0.50",Signals!$E:$E,"&lt;0.60",Signals!$N:$N,"YES")+COUNTIFS(Signals!$A:$A,$A$17,Signals!$E:$E,"&gt;=0.50",Signals!$E:$E,"&lt;0.60",Signals!$N:$N,"NO")</f>
        <v>11</v>
      </c>
      <c r="G17" s="37">
        <f>IFERROR(COUNTIFS(Signals!$A:$A,$A$17,Signals!$E:$E,"&gt;=0.60",Signals!$E:$E,"&lt;0.70",Signals!$N:$N,"YES")/(COUNTIFS(Signals!$A:$A,$A$17,Signals!$E:$E,"&gt;=0.60",Signals!$E:$E,"&lt;0.70",Signals!$N:$N,"YES")+COUNTIFS(Signals!$A:$A,$A$17,Signals!$E:$E,"&gt;=0.60",Signals!$E:$E,"&lt;0.70",Signals!$N:$N,"NO")),"")</f>
        <v>0.2</v>
      </c>
      <c r="H17" s="36">
        <f>COUNTIFS(Signals!$A:$A,$A$17,Signals!$E:$E,"&gt;=0.60",Signals!$E:$E,"&lt;0.70",Signals!$N:$N,"YES")+COUNTIFS(Signals!$A:$A,$A$17,Signals!$E:$E,"&gt;=0.60",Signals!$E:$E,"&lt;0.70",Signals!$N:$N,"NO")</f>
        <v>5</v>
      </c>
      <c r="I17" s="38" t="str">
        <f t="shared" si="0"/>
        <v>✓ YES</v>
      </c>
    </row>
    <row r="18" spans="1:9" ht="30" customHeight="1" x14ac:dyDescent="0.25">
      <c r="A18" s="1" t="s">
        <v>182</v>
      </c>
      <c r="B18" s="36">
        <f>COUNTIFS(Signals!$A:$A,$A$18,Signals!$N:$N,"YES")+COUNTIFS(Signals!$A:$A,$A$18,Signals!$N:$N,"NO")</f>
        <v>24</v>
      </c>
      <c r="C18" s="37">
        <f>IFERROR(COUNTIFS(Signals!$A:$A,$A$18,Signals!$E:$E,"&gt;=0.40",Signals!$E:$E,"&lt;0.50",Signals!$N:$N,"YES")/(COUNTIFS(Signals!$A:$A,$A$18,Signals!$E:$E,"&gt;=0.40",Signals!$E:$E,"&lt;0.50",Signals!$N:$N,"YES")+COUNTIFS(Signals!$A:$A,$A$18,Signals!$E:$E,"&gt;=0.40",Signals!$E:$E,"&lt;0.50",Signals!$N:$N,"NO")),"")</f>
        <v>0.4</v>
      </c>
      <c r="D18" s="36">
        <f>COUNTIFS(Signals!$A:$A,$A$18,Signals!$E:$E,"&gt;=0.40",Signals!$E:$E,"&lt;0.50",Signals!$N:$N,"YES")+COUNTIFS(Signals!$A:$A,$A$18,Signals!$E:$E,"&gt;=0.40",Signals!$E:$E,"&lt;0.50",Signals!$N:$N,"NO")</f>
        <v>5</v>
      </c>
      <c r="E18" s="37">
        <f>IFERROR(COUNTIFS(Signals!$A:$A,$A$18,Signals!$E:$E,"&gt;=0.50",Signals!$E:$E,"&lt;0.60",Signals!$N:$N,"YES")/(COUNTIFS(Signals!$A:$A,$A$18,Signals!$E:$E,"&gt;=0.50",Signals!$E:$E,"&lt;0.60",Signals!$N:$N,"YES")+COUNTIFS(Signals!$A:$A,$A$18,Signals!$E:$E,"&gt;=0.50",Signals!$E:$E,"&lt;0.60",Signals!$N:$N,"NO")),"")</f>
        <v>0.53846153846153844</v>
      </c>
      <c r="F18" s="36">
        <f>COUNTIFS(Signals!$A:$A,$A$18,Signals!$E:$E,"&gt;=0.50",Signals!$E:$E,"&lt;0.60",Signals!$N:$N,"YES")+COUNTIFS(Signals!$A:$A,$A$18,Signals!$E:$E,"&gt;=0.50",Signals!$E:$E,"&lt;0.60",Signals!$N:$N,"NO")</f>
        <v>13</v>
      </c>
      <c r="G18" s="37">
        <f>IFERROR(COUNTIFS(Signals!$A:$A,$A$18,Signals!$E:$E,"&gt;=0.60",Signals!$E:$E,"&lt;0.70",Signals!$N:$N,"YES")/(COUNTIFS(Signals!$A:$A,$A$18,Signals!$E:$E,"&gt;=0.60",Signals!$E:$E,"&lt;0.70",Signals!$N:$N,"YES")+COUNTIFS(Signals!$A:$A,$A$18,Signals!$E:$E,"&gt;=0.60",Signals!$E:$E,"&lt;0.70",Signals!$N:$N,"NO")),"")</f>
        <v>0.5</v>
      </c>
      <c r="H18" s="36">
        <f>COUNTIFS(Signals!$A:$A,$A$18,Signals!$E:$E,"&gt;=0.60",Signals!$E:$E,"&lt;0.70",Signals!$N:$N,"YES")+COUNTIFS(Signals!$A:$A,$A$18,Signals!$E:$E,"&gt;=0.60",Signals!$E:$E,"&lt;0.70",Signals!$N:$N,"NO")</f>
        <v>4</v>
      </c>
      <c r="I18" s="38" t="str">
        <f t="shared" si="0"/>
        <v>✓ YES</v>
      </c>
    </row>
    <row r="19" spans="1:9" ht="60" customHeight="1" x14ac:dyDescent="0.25">
      <c r="A19" s="1" t="s">
        <v>183</v>
      </c>
      <c r="B19" s="36">
        <f>COUNTIFS(Signals!$A:$A,$A$19,Signals!$N:$N,"YES")+COUNTIFS(Signals!$A:$A,$A$19,Signals!$N:$N,"NO")</f>
        <v>24</v>
      </c>
      <c r="C19" s="37">
        <f>IFERROR(COUNTIFS(Signals!$A:$A,$A$19,Signals!$E:$E,"&gt;=0.40",Signals!$E:$E,"&lt;0.50",Signals!$N:$N,"YES")/(COUNTIFS(Signals!$A:$A,$A$19,Signals!$E:$E,"&gt;=0.40",Signals!$E:$E,"&lt;0.50",Signals!$N:$N,"YES")+COUNTIFS(Signals!$A:$A,$A$19,Signals!$E:$E,"&gt;=0.40",Signals!$E:$E,"&lt;0.50",Signals!$N:$N,"NO")),"")</f>
        <v>0.875</v>
      </c>
      <c r="D19" s="36">
        <f>COUNTIFS(Signals!$A:$A,$A$19,Signals!$E:$E,"&gt;=0.40",Signals!$E:$E,"&lt;0.50",Signals!$N:$N,"YES")+COUNTIFS(Signals!$A:$A,$A$19,Signals!$E:$E,"&gt;=0.40",Signals!$E:$E,"&lt;0.50",Signals!$N:$N,"NO")</f>
        <v>8</v>
      </c>
      <c r="E19" s="37">
        <f>IFERROR(COUNTIFS(Signals!$A:$A,$A$19,Signals!$E:$E,"&gt;=0.50",Signals!$E:$E,"&lt;0.60",Signals!$N:$N,"YES")/(COUNTIFS(Signals!$A:$A,$A$19,Signals!$E:$E,"&gt;=0.50",Signals!$E:$E,"&lt;0.60",Signals!$N:$N,"YES")+COUNTIFS(Signals!$A:$A,$A$19,Signals!$E:$E,"&gt;=0.50",Signals!$E:$E,"&lt;0.60",Signals!$N:$N,"NO")),"")</f>
        <v>0.63636363636363635</v>
      </c>
      <c r="F19" s="36">
        <f>COUNTIFS(Signals!$A:$A,$A$19,Signals!$E:$E,"&gt;=0.50",Signals!$E:$E,"&lt;0.60",Signals!$N:$N,"YES")+COUNTIFS(Signals!$A:$A,$A$19,Signals!$E:$E,"&gt;=0.50",Signals!$E:$E,"&lt;0.60",Signals!$N:$N,"NO")</f>
        <v>11</v>
      </c>
      <c r="G19" s="37">
        <f>IFERROR(COUNTIFS(Signals!$A:$A,$A$19,Signals!$E:$E,"&gt;=0.60",Signals!$E:$E,"&lt;0.70",Signals!$N:$N,"YES")/(COUNTIFS(Signals!$A:$A,$A$19,Signals!$E:$E,"&gt;=0.60",Signals!$E:$E,"&lt;0.70",Signals!$N:$N,"YES")+COUNTIFS(Signals!$A:$A,$A$19,Signals!$E:$E,"&gt;=0.60",Signals!$E:$E,"&lt;0.70",Signals!$N:$N,"NO")),"")</f>
        <v>0.4</v>
      </c>
      <c r="H19" s="36">
        <f>COUNTIFS(Signals!$A:$A,$A$19,Signals!$E:$E,"&gt;=0.60",Signals!$E:$E,"&lt;0.70",Signals!$N:$N,"YES")+COUNTIFS(Signals!$A:$A,$A$19,Signals!$E:$E,"&gt;=0.60",Signals!$E:$E,"&lt;0.70",Signals!$N:$N,"NO")</f>
        <v>5</v>
      </c>
      <c r="I19" s="38" t="str">
        <f t="shared" si="0"/>
        <v>NO</v>
      </c>
    </row>
    <row r="20" spans="1:9" ht="60" customHeight="1" x14ac:dyDescent="0.25">
      <c r="A20" s="1" t="s">
        <v>184</v>
      </c>
      <c r="B20" s="36">
        <f>COUNTIFS(Signals!$A:$A,$A$20,Signals!$N:$N,"YES")+COUNTIFS(Signals!$A:$A,$A$20,Signals!$N:$N,"NO")</f>
        <v>24</v>
      </c>
      <c r="C20" s="37">
        <f>IFERROR(COUNTIFS(Signals!$A:$A,$A$20,Signals!$E:$E,"&gt;=0.40",Signals!$E:$E,"&lt;0.50",Signals!$N:$N,"YES")/(COUNTIFS(Signals!$A:$A,$A$20,Signals!$E:$E,"&gt;=0.40",Signals!$E:$E,"&lt;0.50",Signals!$N:$N,"YES")+COUNTIFS(Signals!$A:$A,$A$20,Signals!$E:$E,"&gt;=0.40",Signals!$E:$E,"&lt;0.50",Signals!$N:$N,"NO")),"")</f>
        <v>0.375</v>
      </c>
      <c r="D20" s="36">
        <f>COUNTIFS(Signals!$A:$A,$A$20,Signals!$E:$E,"&gt;=0.40",Signals!$E:$E,"&lt;0.50",Signals!$N:$N,"YES")+COUNTIFS(Signals!$A:$A,$A$20,Signals!$E:$E,"&gt;=0.40",Signals!$E:$E,"&lt;0.50",Signals!$N:$N,"NO")</f>
        <v>8</v>
      </c>
      <c r="E20" s="37">
        <f>IFERROR(COUNTIFS(Signals!$A:$A,$A$20,Signals!$E:$E,"&gt;=0.50",Signals!$E:$E,"&lt;0.60",Signals!$N:$N,"YES")/(COUNTIFS(Signals!$A:$A,$A$20,Signals!$E:$E,"&gt;=0.50",Signals!$E:$E,"&lt;0.60",Signals!$N:$N,"YES")+COUNTIFS(Signals!$A:$A,$A$20,Signals!$E:$E,"&gt;=0.50",Signals!$E:$E,"&lt;0.60",Signals!$N:$N,"NO")),"")</f>
        <v>0.72727272727272729</v>
      </c>
      <c r="F20" s="36">
        <f>COUNTIFS(Signals!$A:$A,$A$20,Signals!$E:$E,"&gt;=0.50",Signals!$E:$E,"&lt;0.60",Signals!$N:$N,"YES")+COUNTIFS(Signals!$A:$A,$A$20,Signals!$E:$E,"&gt;=0.50",Signals!$E:$E,"&lt;0.60",Signals!$N:$N,"NO")</f>
        <v>11</v>
      </c>
      <c r="G20" s="37">
        <f>IFERROR(COUNTIFS(Signals!$A:$A,$A$20,Signals!$E:$E,"&gt;=0.60",Signals!$E:$E,"&lt;0.70",Signals!$N:$N,"YES")/(COUNTIFS(Signals!$A:$A,$A$20,Signals!$E:$E,"&gt;=0.60",Signals!$E:$E,"&lt;0.70",Signals!$N:$N,"YES")+COUNTIFS(Signals!$A:$A,$A$20,Signals!$E:$E,"&gt;=0.60",Signals!$E:$E,"&lt;0.70",Signals!$N:$N,"NO")),"")</f>
        <v>0.6</v>
      </c>
      <c r="H20" s="36">
        <f>COUNTIFS(Signals!$A:$A,$A$20,Signals!$E:$E,"&gt;=0.60",Signals!$E:$E,"&lt;0.70",Signals!$N:$N,"YES")+COUNTIFS(Signals!$A:$A,$A$20,Signals!$E:$E,"&gt;=0.60",Signals!$E:$E,"&lt;0.70",Signals!$N:$N,"NO")</f>
        <v>5</v>
      </c>
      <c r="I20" s="38" t="str">
        <f t="shared" si="0"/>
        <v>✓ YES</v>
      </c>
    </row>
    <row r="21" spans="1:9" ht="60" customHeight="1" x14ac:dyDescent="0.25">
      <c r="A21" s="1" t="s">
        <v>185</v>
      </c>
      <c r="B21" s="36">
        <f>COUNTIFS(Signals!$A:$A,$A$21,Signals!$N:$N,"YES")+COUNTIFS(Signals!$A:$A,$A$21,Signals!$N:$N,"NO")</f>
        <v>24</v>
      </c>
      <c r="C21" s="37">
        <f>IFERROR(COUNTIFS(Signals!$A:$A,$A$21,Signals!$E:$E,"&gt;=0.40",Signals!$E:$E,"&lt;0.50",Signals!$N:$N,"YES")/(COUNTIFS(Signals!$A:$A,$A$21,Signals!$E:$E,"&gt;=0.40",Signals!$E:$E,"&lt;0.50",Signals!$N:$N,"YES")+COUNTIFS(Signals!$A:$A,$A$21,Signals!$E:$E,"&gt;=0.40",Signals!$E:$E,"&lt;0.50",Signals!$N:$N,"NO")),"")</f>
        <v>0.6</v>
      </c>
      <c r="D21" s="36">
        <f>COUNTIFS(Signals!$A:$A,$A$21,Signals!$E:$E,"&gt;=0.40",Signals!$E:$E,"&lt;0.50",Signals!$N:$N,"YES")+COUNTIFS(Signals!$A:$A,$A$21,Signals!$E:$E,"&gt;=0.40",Signals!$E:$E,"&lt;0.50",Signals!$N:$N,"NO")</f>
        <v>5</v>
      </c>
      <c r="E21" s="37">
        <f>IFERROR(COUNTIFS(Signals!$A:$A,$A$21,Signals!$E:$E,"&gt;=0.50",Signals!$E:$E,"&lt;0.60",Signals!$N:$N,"YES")/(COUNTIFS(Signals!$A:$A,$A$21,Signals!$E:$E,"&gt;=0.50",Signals!$E:$E,"&lt;0.60",Signals!$N:$N,"YES")+COUNTIFS(Signals!$A:$A,$A$21,Signals!$E:$E,"&gt;=0.50",Signals!$E:$E,"&lt;0.60",Signals!$N:$N,"NO")),"")</f>
        <v>0.66666666666666663</v>
      </c>
      <c r="F21" s="36">
        <f>COUNTIFS(Signals!$A:$A,$A$21,Signals!$E:$E,"&gt;=0.50",Signals!$E:$E,"&lt;0.60",Signals!$N:$N,"YES")+COUNTIFS(Signals!$A:$A,$A$21,Signals!$E:$E,"&gt;=0.50",Signals!$E:$E,"&lt;0.60",Signals!$N:$N,"NO")</f>
        <v>12</v>
      </c>
      <c r="G21" s="37">
        <f>IFERROR(COUNTIFS(Signals!$A:$A,$A$21,Signals!$E:$E,"&gt;=0.60",Signals!$E:$E,"&lt;0.70",Signals!$N:$N,"YES")/(COUNTIFS(Signals!$A:$A,$A$21,Signals!$E:$E,"&gt;=0.60",Signals!$E:$E,"&lt;0.70",Signals!$N:$N,"YES")+COUNTIFS(Signals!$A:$A,$A$21,Signals!$E:$E,"&gt;=0.60",Signals!$E:$E,"&lt;0.70",Signals!$N:$N,"NO")),"")</f>
        <v>0.75</v>
      </c>
      <c r="H21" s="36">
        <f>COUNTIFS(Signals!$A:$A,$A$21,Signals!$E:$E,"&gt;=0.60",Signals!$E:$E,"&lt;0.70",Signals!$N:$N,"YES")+COUNTIFS(Signals!$A:$A,$A$21,Signals!$E:$E,"&gt;=0.60",Signals!$E:$E,"&lt;0.70",Signals!$N:$N,"NO")</f>
        <v>4</v>
      </c>
      <c r="I21" s="38" t="str">
        <f t="shared" si="0"/>
        <v>NO</v>
      </c>
    </row>
    <row r="22" spans="1:9" ht="15" customHeight="1" x14ac:dyDescent="0.25">
      <c r="A22" s="1" t="s">
        <v>186</v>
      </c>
      <c r="B22" s="36">
        <f>COUNTIFS(Signals!$A:$A,$A$22,Signals!$N:$N,"YES")+COUNTIFS(Signals!$A:$A,$A$22,Signals!$N:$N,"NO")</f>
        <v>24</v>
      </c>
      <c r="C22" s="37">
        <f>IFERROR(COUNTIFS(Signals!$A:$A,$A$22,Signals!$E:$E,"&gt;=0.40",Signals!$E:$E,"&lt;0.50",Signals!$N:$N,"YES")/(COUNTIFS(Signals!$A:$A,$A$22,Signals!$E:$E,"&gt;=0.40",Signals!$E:$E,"&lt;0.50",Signals!$N:$N,"YES")+COUNTIFS(Signals!$A:$A,$A$22,Signals!$E:$E,"&gt;=0.40",Signals!$E:$E,"&lt;0.50",Signals!$N:$N,"NO")),"")</f>
        <v>0.66666666666666663</v>
      </c>
      <c r="D22" s="36">
        <f>COUNTIFS(Signals!$A:$A,$A$22,Signals!$E:$E,"&gt;=0.40",Signals!$E:$E,"&lt;0.50",Signals!$N:$N,"YES")+COUNTIFS(Signals!$A:$A,$A$22,Signals!$E:$E,"&gt;=0.40",Signals!$E:$E,"&lt;0.50",Signals!$N:$N,"NO")</f>
        <v>9</v>
      </c>
      <c r="E22" s="37">
        <f>IFERROR(COUNTIFS(Signals!$A:$A,$A$22,Signals!$E:$E,"&gt;=0.50",Signals!$E:$E,"&lt;0.60",Signals!$N:$N,"YES")/(COUNTIFS(Signals!$A:$A,$A$22,Signals!$E:$E,"&gt;=0.50",Signals!$E:$E,"&lt;0.60",Signals!$N:$N,"YES")+COUNTIFS(Signals!$A:$A,$A$22,Signals!$E:$E,"&gt;=0.50",Signals!$E:$E,"&lt;0.60",Signals!$N:$N,"NO")),"")</f>
        <v>0.58333333333333337</v>
      </c>
      <c r="F22" s="36">
        <f>COUNTIFS(Signals!$A:$A,$A$22,Signals!$E:$E,"&gt;=0.50",Signals!$E:$E,"&lt;0.60",Signals!$N:$N,"YES")+COUNTIFS(Signals!$A:$A,$A$22,Signals!$E:$E,"&gt;=0.50",Signals!$E:$E,"&lt;0.60",Signals!$N:$N,"NO")</f>
        <v>12</v>
      </c>
      <c r="G22" s="37">
        <f>IFERROR(COUNTIFS(Signals!$A:$A,$A$22,Signals!$E:$E,"&gt;=0.60",Signals!$E:$E,"&lt;0.70",Signals!$N:$N,"YES")/(COUNTIFS(Signals!$A:$A,$A$22,Signals!$E:$E,"&gt;=0.60",Signals!$E:$E,"&lt;0.70",Signals!$N:$N,"YES")+COUNTIFS(Signals!$A:$A,$A$22,Signals!$E:$E,"&gt;=0.60",Signals!$E:$E,"&lt;0.70",Signals!$N:$N,"NO")),"")</f>
        <v>0.66666666666666663</v>
      </c>
      <c r="H22" s="36">
        <f>COUNTIFS(Signals!$A:$A,$A$22,Signals!$E:$E,"&gt;=0.60",Signals!$E:$E,"&lt;0.70",Signals!$N:$N,"YES")+COUNTIFS(Signals!$A:$A,$A$22,Signals!$E:$E,"&gt;=0.60",Signals!$E:$E,"&lt;0.70",Signals!$N:$N,"NO")</f>
        <v>3</v>
      </c>
      <c r="I22" s="38" t="str">
        <f t="shared" si="0"/>
        <v>NO</v>
      </c>
    </row>
    <row r="23" spans="1:9" ht="15" customHeight="1" x14ac:dyDescent="0.25">
      <c r="A23" s="1" t="s">
        <v>187</v>
      </c>
      <c r="B23" s="36">
        <f>COUNTIFS(Signals!$A:$A,$A$23,Signals!$N:$N,"YES")+COUNTIFS(Signals!$A:$A,$A$23,Signals!$N:$N,"NO")</f>
        <v>24</v>
      </c>
      <c r="C23" s="37">
        <f>IFERROR(COUNTIFS(Signals!$A:$A,$A$23,Signals!$E:$E,"&gt;=0.40",Signals!$E:$E,"&lt;0.50",Signals!$N:$N,"YES")/(COUNTIFS(Signals!$A:$A,$A$23,Signals!$E:$E,"&gt;=0.40",Signals!$E:$E,"&lt;0.50",Signals!$N:$N,"YES")+COUNTIFS(Signals!$A:$A,$A$23,Signals!$E:$E,"&gt;=0.40",Signals!$E:$E,"&lt;0.50",Signals!$N:$N,"NO")),"")</f>
        <v>0.25</v>
      </c>
      <c r="D23" s="36">
        <f>COUNTIFS(Signals!$A:$A,$A$23,Signals!$E:$E,"&gt;=0.40",Signals!$E:$E,"&lt;0.50",Signals!$N:$N,"YES")+COUNTIFS(Signals!$A:$A,$A$23,Signals!$E:$E,"&gt;=0.40",Signals!$E:$E,"&lt;0.50",Signals!$N:$N,"NO")</f>
        <v>8</v>
      </c>
      <c r="E23" s="37">
        <f>IFERROR(COUNTIFS(Signals!$A:$A,$A$23,Signals!$E:$E,"&gt;=0.50",Signals!$E:$E,"&lt;0.60",Signals!$N:$N,"YES")/(COUNTIFS(Signals!$A:$A,$A$23,Signals!$E:$E,"&gt;=0.50",Signals!$E:$E,"&lt;0.60",Signals!$N:$N,"YES")+COUNTIFS(Signals!$A:$A,$A$23,Signals!$E:$E,"&gt;=0.50",Signals!$E:$E,"&lt;0.60",Signals!$N:$N,"NO")),"")</f>
        <v>0.5</v>
      </c>
      <c r="F23" s="36">
        <f>COUNTIFS(Signals!$A:$A,$A$23,Signals!$E:$E,"&gt;=0.50",Signals!$E:$E,"&lt;0.60",Signals!$N:$N,"YES")+COUNTIFS(Signals!$A:$A,$A$23,Signals!$E:$E,"&gt;=0.50",Signals!$E:$E,"&lt;0.60",Signals!$N:$N,"NO")</f>
        <v>12</v>
      </c>
      <c r="G23" s="37">
        <f>IFERROR(COUNTIFS(Signals!$A:$A,$A$23,Signals!$E:$E,"&gt;=0.60",Signals!$E:$E,"&lt;0.70",Signals!$N:$N,"YES")/(COUNTIFS(Signals!$A:$A,$A$23,Signals!$E:$E,"&gt;=0.60",Signals!$E:$E,"&lt;0.70",Signals!$N:$N,"YES")+COUNTIFS(Signals!$A:$A,$A$23,Signals!$E:$E,"&gt;=0.60",Signals!$E:$E,"&lt;0.70",Signals!$N:$N,"NO")),"")</f>
        <v>0.66666666666666663</v>
      </c>
      <c r="H23" s="36">
        <f>COUNTIFS(Signals!$A:$A,$A$23,Signals!$E:$E,"&gt;=0.60",Signals!$E:$E,"&lt;0.70",Signals!$N:$N,"YES")+COUNTIFS(Signals!$A:$A,$A$23,Signals!$E:$E,"&gt;=0.60",Signals!$E:$E,"&lt;0.70",Signals!$N:$N,"NO")</f>
        <v>3</v>
      </c>
      <c r="I23" s="38" t="str">
        <f t="shared" si="0"/>
        <v>NO</v>
      </c>
    </row>
    <row r="24" spans="1:9" ht="15" customHeight="1" x14ac:dyDescent="0.25">
      <c r="A24" s="1" t="s">
        <v>188</v>
      </c>
      <c r="B24" s="36">
        <f>COUNTIFS(Signals!$A:$A,$A$24,Signals!$N:$N,"YES")+COUNTIFS(Signals!$A:$A,$A$24,Signals!$N:$N,"NO")</f>
        <v>24</v>
      </c>
      <c r="C24" s="37">
        <f>IFERROR(COUNTIFS(Signals!$A:$A,$A$24,Signals!$E:$E,"&gt;=0.40",Signals!$E:$E,"&lt;0.50",Signals!$N:$N,"YES")/(COUNTIFS(Signals!$A:$A,$A$24,Signals!$E:$E,"&gt;=0.40",Signals!$E:$E,"&lt;0.50",Signals!$N:$N,"YES")+COUNTIFS(Signals!$A:$A,$A$24,Signals!$E:$E,"&gt;=0.40",Signals!$E:$E,"&lt;0.50",Signals!$N:$N,"NO")),"")</f>
        <v>0.5</v>
      </c>
      <c r="D24" s="36">
        <f>COUNTIFS(Signals!$A:$A,$A$24,Signals!$E:$E,"&gt;=0.40",Signals!$E:$E,"&lt;0.50",Signals!$N:$N,"YES")+COUNTIFS(Signals!$A:$A,$A$24,Signals!$E:$E,"&gt;=0.40",Signals!$E:$E,"&lt;0.50",Signals!$N:$N,"NO")</f>
        <v>6</v>
      </c>
      <c r="E24" s="37">
        <f>IFERROR(COUNTIFS(Signals!$A:$A,$A$24,Signals!$E:$E,"&gt;=0.50",Signals!$E:$E,"&lt;0.60",Signals!$N:$N,"YES")/(COUNTIFS(Signals!$A:$A,$A$24,Signals!$E:$E,"&gt;=0.50",Signals!$E:$E,"&lt;0.60",Signals!$N:$N,"YES")+COUNTIFS(Signals!$A:$A,$A$24,Signals!$E:$E,"&gt;=0.50",Signals!$E:$E,"&lt;0.60",Signals!$N:$N,"NO")),"")</f>
        <v>0.6</v>
      </c>
      <c r="F24" s="36">
        <f>COUNTIFS(Signals!$A:$A,$A$24,Signals!$E:$E,"&gt;=0.50",Signals!$E:$E,"&lt;0.60",Signals!$N:$N,"YES")+COUNTIFS(Signals!$A:$A,$A$24,Signals!$E:$E,"&gt;=0.50",Signals!$E:$E,"&lt;0.60",Signals!$N:$N,"NO")</f>
        <v>10</v>
      </c>
      <c r="G24" s="37">
        <f>IFERROR(COUNTIFS(Signals!$A:$A,$A$24,Signals!$E:$E,"&gt;=0.60",Signals!$E:$E,"&lt;0.70",Signals!$N:$N,"YES")/(COUNTIFS(Signals!$A:$A,$A$24,Signals!$E:$E,"&gt;=0.60",Signals!$E:$E,"&lt;0.70",Signals!$N:$N,"YES")+COUNTIFS(Signals!$A:$A,$A$24,Signals!$E:$E,"&gt;=0.60",Signals!$E:$E,"&lt;0.70",Signals!$N:$N,"NO")),"")</f>
        <v>0.4</v>
      </c>
      <c r="H24" s="36">
        <f>COUNTIFS(Signals!$A:$A,$A$24,Signals!$E:$E,"&gt;=0.60",Signals!$E:$E,"&lt;0.70",Signals!$N:$N,"YES")+COUNTIFS(Signals!$A:$A,$A$24,Signals!$E:$E,"&gt;=0.60",Signals!$E:$E,"&lt;0.70",Signals!$N:$N,"NO")</f>
        <v>5</v>
      </c>
      <c r="I24" s="38" t="str">
        <f t="shared" si="0"/>
        <v>✓ YES</v>
      </c>
    </row>
    <row r="25" spans="1:9" ht="30" customHeight="1" x14ac:dyDescent="0.25"/>
    <row r="26" spans="1:9" ht="75" customHeight="1" x14ac:dyDescent="0.25">
      <c r="A26" s="39" t="s">
        <v>189</v>
      </c>
      <c r="B26" s="40">
        <f>SUM(B6:B24)</f>
        <v>449</v>
      </c>
      <c r="C26" s="41">
        <f>AVERAGE(C6:C24)</f>
        <v>0.45091896407685883</v>
      </c>
      <c r="D26" s="42"/>
      <c r="E26" s="41">
        <f>AVERAGE(E6:E24)</f>
        <v>0.58252186410081142</v>
      </c>
      <c r="F26" s="42"/>
      <c r="G26" s="41">
        <f>AVERAGE(G6:G24)</f>
        <v>0.52418546365914798</v>
      </c>
      <c r="H26" s="42"/>
      <c r="I26" s="43" t="str">
        <f>COUNTIF(I6:I24,"✓ YES") &amp; " of " &amp; (COUNTIF(I6:I24,"✓ YES")+COUNTIF(I6:I24,"NO")) &amp; " hold (cohorts w/ +5d data)"</f>
        <v>11 of 19 hold (cohorts w/ +5d data)</v>
      </c>
    </row>
    <row r="27" spans="1:9" ht="45" customHeight="1" x14ac:dyDescent="0.25"/>
    <row r="28" spans="1:9" ht="60" customHeight="1" x14ac:dyDescent="0.25"/>
    <row r="29" spans="1:9" ht="15" customHeight="1" x14ac:dyDescent="0.25">
      <c r="A29" s="101" t="s">
        <v>190</v>
      </c>
      <c r="B29" s="102"/>
      <c r="C29" s="102"/>
      <c r="D29" s="102"/>
      <c r="E29" s="102"/>
      <c r="F29" s="102"/>
      <c r="G29" s="102"/>
      <c r="H29" s="102"/>
      <c r="I29" s="103"/>
    </row>
    <row r="30" spans="1:9" ht="30" customHeight="1" x14ac:dyDescent="0.25">
      <c r="A30" s="35" t="s">
        <v>70</v>
      </c>
      <c r="B30" s="35" t="s">
        <v>162</v>
      </c>
      <c r="C30" s="35" t="s">
        <v>191</v>
      </c>
      <c r="D30" s="35" t="s">
        <v>63</v>
      </c>
      <c r="E30" s="35" t="s">
        <v>135</v>
      </c>
    </row>
    <row r="31" spans="1:9" ht="15" customHeight="1" x14ac:dyDescent="0.25">
      <c r="A31" s="1" t="s">
        <v>55</v>
      </c>
      <c r="B31">
        <f>COUNTIFS(Signals!$F:$F,"HIGH",Signals!$N:$N,"YES")+COUNTIFS(Signals!$F:$F,"HIGH",Signals!$N:$N,"NO")</f>
        <v>270</v>
      </c>
      <c r="C31">
        <f>COUNTIFS(Signals!$F:$F,"HIGH",Signals!$N:$N,"YES")</f>
        <v>156</v>
      </c>
      <c r="D31" s="18">
        <f>IFERROR(C31/B31,"")</f>
        <v>0.57777777777777772</v>
      </c>
    </row>
    <row r="32" spans="1:9" ht="19.5" customHeight="1" x14ac:dyDescent="0.25">
      <c r="A32" s="1" t="s">
        <v>56</v>
      </c>
      <c r="B32">
        <f>COUNTIFS(Signals!$F:$F,"MEDIUM",Signals!$N:$N,"YES")+COUNTIFS(Signals!$F:$F,"MEDIUM",Signals!$N:$N,"NO")</f>
        <v>374</v>
      </c>
      <c r="C32">
        <f>COUNTIFS(Signals!$F:$F,"MEDIUM",Signals!$N:$N,"YES")</f>
        <v>182</v>
      </c>
      <c r="D32" s="18">
        <f>IFERROR(C32/B32,"")</f>
        <v>0.48663101604278075</v>
      </c>
    </row>
    <row r="33" spans="1:9" ht="19.5" customHeight="1" x14ac:dyDescent="0.25">
      <c r="A33" s="1" t="s">
        <v>57</v>
      </c>
      <c r="B33">
        <f>COUNTIFS(Signals!$F:$F,"LOW",Signals!$N:$N,"YES")+COUNTIFS(Signals!$F:$F,"LOW",Signals!$N:$N,"NO")</f>
        <v>21</v>
      </c>
      <c r="C33">
        <f>COUNTIFS(Signals!$F:$F,"LOW",Signals!$N:$N,"YES")</f>
        <v>9</v>
      </c>
      <c r="D33" s="18">
        <f>IFERROR(C33/B33,"")</f>
        <v>0.42857142857142855</v>
      </c>
    </row>
    <row r="34" spans="1:9" ht="19.5" customHeight="1" x14ac:dyDescent="0.25"/>
    <row r="35" spans="1:9" ht="19.5" customHeight="1" x14ac:dyDescent="0.25"/>
    <row r="36" spans="1:9" ht="19.5" customHeight="1" x14ac:dyDescent="0.25">
      <c r="A36" s="101" t="s">
        <v>192</v>
      </c>
      <c r="B36" s="102"/>
      <c r="C36" s="102"/>
      <c r="D36" s="102"/>
      <c r="E36" s="102"/>
      <c r="F36" s="102"/>
      <c r="G36" s="102"/>
      <c r="H36" s="102"/>
      <c r="I36" s="103"/>
    </row>
    <row r="37" spans="1:9" ht="30" customHeight="1" x14ac:dyDescent="0.25">
      <c r="A37" s="35" t="s">
        <v>193</v>
      </c>
      <c r="B37" s="35" t="s">
        <v>162</v>
      </c>
      <c r="C37" s="35" t="s">
        <v>191</v>
      </c>
      <c r="D37" s="35" t="s">
        <v>63</v>
      </c>
      <c r="E37" s="35" t="s">
        <v>135</v>
      </c>
    </row>
    <row r="38" spans="1:9" ht="75" customHeight="1" x14ac:dyDescent="0.25">
      <c r="A38" s="1" t="s">
        <v>97</v>
      </c>
      <c r="B38" s="36">
        <f>COUNTIFS(Signals!$D:$D,"HOLD",Signals!$N:$N,"YES")+COUNTIFS(Signals!$D:$D,"HOLD",Signals!$N:$N,"NO")</f>
        <v>645</v>
      </c>
      <c r="C38" s="36">
        <f>COUNTIFS(Signals!$D:$D,"HOLD",Signals!$N:$N,"YES")</f>
        <v>338</v>
      </c>
      <c r="D38" s="37">
        <f>IFERROR(C38/B38,"")</f>
        <v>0.524031007751938</v>
      </c>
      <c r="E38" s="1" t="s">
        <v>194</v>
      </c>
    </row>
    <row r="39" spans="1:9" ht="45" customHeight="1" x14ac:dyDescent="0.25">
      <c r="A39" s="1" t="s">
        <v>124</v>
      </c>
      <c r="B39" s="36">
        <f>COUNTIFS(Signals!$D:$D,"BUY",Signals!$N:$N,"YES")+COUNTIFS(Signals!$D:$D,"BUY",Signals!$N:$N,"NO")</f>
        <v>19</v>
      </c>
      <c r="C39" s="36">
        <f>COUNTIFS(Signals!$D:$D,"BUY",Signals!$N:$N,"YES")</f>
        <v>9</v>
      </c>
      <c r="D39" s="37">
        <f>IFERROR(C39/B39,"")</f>
        <v>0.47368421052631576</v>
      </c>
      <c r="E39" s="1" t="s">
        <v>195</v>
      </c>
    </row>
    <row r="40" spans="1:9" ht="60" customHeight="1" x14ac:dyDescent="0.25">
      <c r="A40" s="1" t="s">
        <v>128</v>
      </c>
      <c r="B40" s="36">
        <f>COUNTIFS(Signals!$D:$D,"SELL",Signals!$N:$N,"YES")+COUNTIFS(Signals!$D:$D,"SELL",Signals!$N:$N,"NO")</f>
        <v>1</v>
      </c>
      <c r="C40" s="36">
        <f>COUNTIFS(Signals!$D:$D,"SELL",Signals!$N:$N,"YES")</f>
        <v>0</v>
      </c>
      <c r="D40" s="37">
        <f>IFERROR(C40/B40,"")</f>
        <v>0</v>
      </c>
      <c r="E40" s="1" t="s">
        <v>196</v>
      </c>
    </row>
    <row r="43" spans="1:9" ht="31.5" customHeight="1" x14ac:dyDescent="0.25">
      <c r="A43" s="2" t="s">
        <v>197</v>
      </c>
      <c r="B43" s="44"/>
      <c r="C43" s="44"/>
      <c r="D43" s="44"/>
      <c r="E43" s="44"/>
      <c r="F43" s="44"/>
      <c r="G43" s="44"/>
      <c r="H43" s="44"/>
      <c r="I43" s="45"/>
    </row>
    <row r="44" spans="1:9" ht="120" customHeight="1" x14ac:dyDescent="0.25">
      <c r="A44" s="1" t="s">
        <v>198</v>
      </c>
      <c r="B44" s="44"/>
      <c r="C44" s="44"/>
      <c r="D44" s="44"/>
      <c r="E44" s="44"/>
      <c r="F44" s="44"/>
      <c r="G44" s="44"/>
      <c r="H44" s="44"/>
      <c r="I44" s="45"/>
    </row>
    <row r="45" spans="1:9" ht="150" customHeight="1" x14ac:dyDescent="0.25">
      <c r="A45" s="1" t="s">
        <v>199</v>
      </c>
      <c r="B45" s="44"/>
      <c r="C45" s="44"/>
      <c r="D45" s="44"/>
      <c r="E45" s="44"/>
      <c r="F45" s="44"/>
      <c r="G45" s="44"/>
      <c r="H45" s="44"/>
      <c r="I45" s="45"/>
    </row>
    <row r="46" spans="1:9" ht="135" customHeight="1" x14ac:dyDescent="0.25">
      <c r="A46" s="1" t="s">
        <v>200</v>
      </c>
      <c r="B46" s="44"/>
      <c r="C46" s="44"/>
      <c r="D46" s="44"/>
      <c r="E46" s="44"/>
      <c r="F46" s="44"/>
      <c r="G46" s="44"/>
      <c r="H46" s="44"/>
      <c r="I46" s="45"/>
    </row>
    <row r="47" spans="1:9" ht="165" customHeight="1" x14ac:dyDescent="0.25">
      <c r="A47" s="1" t="s">
        <v>201</v>
      </c>
      <c r="B47" s="44"/>
      <c r="C47" s="44"/>
      <c r="D47" s="44"/>
      <c r="E47" s="44"/>
      <c r="F47" s="44"/>
      <c r="G47" s="44"/>
      <c r="H47" s="44"/>
      <c r="I47" s="45"/>
    </row>
    <row r="48" spans="1:9" ht="165" customHeight="1" x14ac:dyDescent="0.25">
      <c r="A48" s="1" t="s">
        <v>202</v>
      </c>
      <c r="B48" s="44"/>
      <c r="C48" s="44"/>
      <c r="D48" s="44"/>
      <c r="E48" s="44"/>
      <c r="F48" s="44"/>
      <c r="G48" s="44"/>
      <c r="H48" s="44"/>
      <c r="I48" s="45"/>
    </row>
    <row r="51" spans="1:9" ht="15.75" customHeight="1" x14ac:dyDescent="0.25">
      <c r="A51" s="105" t="s">
        <v>203</v>
      </c>
      <c r="B51" s="93"/>
      <c r="C51" s="93"/>
      <c r="D51" s="93"/>
      <c r="E51" s="93"/>
      <c r="F51" s="93"/>
      <c r="G51" s="93"/>
      <c r="H51" s="93"/>
      <c r="I51" s="93"/>
    </row>
    <row r="52" spans="1:9" ht="30" customHeight="1" x14ac:dyDescent="0.25">
      <c r="A52" s="35" t="s">
        <v>161</v>
      </c>
      <c r="B52" s="35" t="s">
        <v>162</v>
      </c>
      <c r="C52" s="35" t="s">
        <v>163</v>
      </c>
      <c r="D52" s="35" t="s">
        <v>164</v>
      </c>
      <c r="E52" s="35" t="s">
        <v>165</v>
      </c>
      <c r="F52" s="35" t="s">
        <v>166</v>
      </c>
      <c r="G52" s="35" t="s">
        <v>167</v>
      </c>
      <c r="H52" s="35" t="s">
        <v>168</v>
      </c>
      <c r="I52" s="35" t="s">
        <v>169</v>
      </c>
    </row>
    <row r="53" spans="1:9" ht="15" customHeight="1" x14ac:dyDescent="0.25">
      <c r="A53" s="1" t="s">
        <v>204</v>
      </c>
      <c r="B53" s="36">
        <f>COUNTIFS(Signals!$A:$A,$A53,Signals!$N:$N,"YES")+COUNTIFS(Signals!$A:$A,$A53,Signals!$N:$N,"NO")</f>
        <v>24</v>
      </c>
      <c r="C53" s="37">
        <f>IFERROR(COUNTIFS(Signals!$A:$A,$A53,Signals!$E:$E,"&gt;=0.40",Signals!$E:$E,"&lt;0.50",Signals!$N:$N,"YES")/(COUNTIFS(Signals!$A:$A,$A53,Signals!$E:$E,"&gt;=0.40",Signals!$E:$E,"&lt;0.50",Signals!$N:$N,"YES")+COUNTIFS(Signals!$A:$A,$A53,Signals!$E:$E,"&gt;=0.40",Signals!$E:$E,"&lt;0.50",Signals!$N:$N,"NO")),"")</f>
        <v>0.5</v>
      </c>
      <c r="D53" s="36">
        <f>COUNTIFS(Signals!$A:$A,$A53,Signals!$E:$E,"&gt;=0.40",Signals!$E:$E,"&lt;0.50",Signals!$N:$N,"YES")+COUNTIFS(Signals!$A:$A,$A53,Signals!$E:$E,"&gt;=0.40",Signals!$E:$E,"&lt;0.50",Signals!$N:$N,"NO")</f>
        <v>2</v>
      </c>
      <c r="E53" s="37">
        <f>IFERROR(COUNTIFS(Signals!$A:$A,$A53,Signals!$E:$E,"&gt;=0.50",Signals!$E:$E,"&lt;0.60",Signals!$N:$N,"YES")/(COUNTIFS(Signals!$A:$A,$A53,Signals!$E:$E,"&gt;=0.50",Signals!$E:$E,"&lt;0.60",Signals!$N:$N,"YES")+COUNTIFS(Signals!$A:$A,$A53,Signals!$E:$E,"&gt;=0.50",Signals!$E:$E,"&lt;0.60",Signals!$N:$N,"NO")),"")</f>
        <v>0.4</v>
      </c>
      <c r="F53" s="36">
        <f>COUNTIFS(Signals!$A:$A,$A53,Signals!$E:$E,"&gt;=0.50",Signals!$E:$E,"&lt;0.60",Signals!$N:$N,"YES")+COUNTIFS(Signals!$A:$A,$A53,Signals!$E:$E,"&gt;=0.50",Signals!$E:$E,"&lt;0.60",Signals!$N:$N,"NO")</f>
        <v>15</v>
      </c>
      <c r="G53" s="37">
        <f>IFERROR(COUNTIFS(Signals!$A:$A,$A53,Signals!$E:$E,"&gt;=0.60",Signals!$E:$E,"&lt;0.70",Signals!$N:$N,"YES")/(COUNTIFS(Signals!$A:$A,$A53,Signals!$E:$E,"&gt;=0.60",Signals!$E:$E,"&lt;0.70",Signals!$N:$N,"YES")+COUNTIFS(Signals!$A:$A,$A53,Signals!$E:$E,"&gt;=0.60",Signals!$E:$E,"&lt;0.70",Signals!$N:$N,"NO")),"")</f>
        <v>0.5</v>
      </c>
      <c r="H53" s="36">
        <f>COUNTIFS(Signals!$A:$A,$A53,Signals!$E:$E,"&gt;=0.60",Signals!$E:$E,"&lt;0.70",Signals!$N:$N,"YES")+COUNTIFS(Signals!$A:$A,$A53,Signals!$E:$E,"&gt;=0.60",Signals!$E:$E,"&lt;0.70",Signals!$N:$N,"NO")</f>
        <v>6</v>
      </c>
      <c r="I53" s="38" t="str">
        <f t="shared" ref="I53:I92" si="1">IF(B53=0,"insufficient data",IF(AND(E53&gt;C53,E53&gt;G53),"✓ YES","NO"))</f>
        <v>NO</v>
      </c>
    </row>
    <row r="54" spans="1:9" ht="15" customHeight="1" x14ac:dyDescent="0.25">
      <c r="A54" s="1" t="s">
        <v>205</v>
      </c>
      <c r="B54" s="36">
        <f>COUNTIFS(Signals!$A:$A,$A54,Signals!$N:$N,"YES")+COUNTIFS(Signals!$A:$A,$A54,Signals!$N:$N,"NO")</f>
        <v>24</v>
      </c>
      <c r="C54" s="37">
        <f>IFERROR(COUNTIFS(Signals!$A:$A,$A54,Signals!$E:$E,"&gt;=0.40",Signals!$E:$E,"&lt;0.50",Signals!$N:$N,"YES")/(COUNTIFS(Signals!$A:$A,$A54,Signals!$E:$E,"&gt;=0.40",Signals!$E:$E,"&lt;0.50",Signals!$N:$N,"YES")+COUNTIFS(Signals!$A:$A,$A54,Signals!$E:$E,"&gt;=0.40",Signals!$E:$E,"&lt;0.50",Signals!$N:$N,"NO")),"")</f>
        <v>1</v>
      </c>
      <c r="D54" s="36">
        <f>COUNTIFS(Signals!$A:$A,$A54,Signals!$E:$E,"&gt;=0.40",Signals!$E:$E,"&lt;0.50",Signals!$N:$N,"YES")+COUNTIFS(Signals!$A:$A,$A54,Signals!$E:$E,"&gt;=0.40",Signals!$E:$E,"&lt;0.50",Signals!$N:$N,"NO")</f>
        <v>1</v>
      </c>
      <c r="E54" s="37">
        <f>IFERROR(COUNTIFS(Signals!$A:$A,$A54,Signals!$E:$E,"&gt;=0.50",Signals!$E:$E,"&lt;0.60",Signals!$N:$N,"YES")/(COUNTIFS(Signals!$A:$A,$A54,Signals!$E:$E,"&gt;=0.50",Signals!$E:$E,"&lt;0.60",Signals!$N:$N,"YES")+COUNTIFS(Signals!$A:$A,$A54,Signals!$E:$E,"&gt;=0.50",Signals!$E:$E,"&lt;0.60",Signals!$N:$N,"NO")),"")</f>
        <v>0.3</v>
      </c>
      <c r="F54" s="36">
        <f>COUNTIFS(Signals!$A:$A,$A54,Signals!$E:$E,"&gt;=0.50",Signals!$E:$E,"&lt;0.60",Signals!$N:$N,"YES")+COUNTIFS(Signals!$A:$A,$A54,Signals!$E:$E,"&gt;=0.50",Signals!$E:$E,"&lt;0.60",Signals!$N:$N,"NO")</f>
        <v>10</v>
      </c>
      <c r="G54" s="37">
        <f>IFERROR(COUNTIFS(Signals!$A:$A,$A54,Signals!$E:$E,"&gt;=0.60",Signals!$E:$E,"&lt;0.70",Signals!$N:$N,"YES")/(COUNTIFS(Signals!$A:$A,$A54,Signals!$E:$E,"&gt;=0.60",Signals!$E:$E,"&lt;0.70",Signals!$N:$N,"YES")+COUNTIFS(Signals!$A:$A,$A54,Signals!$E:$E,"&gt;=0.60",Signals!$E:$E,"&lt;0.70",Signals!$N:$N,"NO")),"")</f>
        <v>0.27272727272727271</v>
      </c>
      <c r="H54" s="36">
        <f>COUNTIFS(Signals!$A:$A,$A54,Signals!$E:$E,"&gt;=0.60",Signals!$E:$E,"&lt;0.70",Signals!$N:$N,"YES")+COUNTIFS(Signals!$A:$A,$A54,Signals!$E:$E,"&gt;=0.60",Signals!$E:$E,"&lt;0.70",Signals!$N:$N,"NO")</f>
        <v>11</v>
      </c>
      <c r="I54" s="38" t="str">
        <f t="shared" si="1"/>
        <v>NO</v>
      </c>
    </row>
    <row r="55" spans="1:9" ht="15" customHeight="1" x14ac:dyDescent="0.25">
      <c r="A55" s="1" t="s">
        <v>206</v>
      </c>
      <c r="B55" s="36">
        <f>COUNTIFS(Signals!$A:$A,$A55,Signals!$N:$N,"YES")+COUNTIFS(Signals!$A:$A,$A55,Signals!$N:$N,"NO")</f>
        <v>24</v>
      </c>
      <c r="C55" s="37">
        <f>IFERROR(COUNTIFS(Signals!$A:$A,$A55,Signals!$E:$E,"&gt;=0.40",Signals!$E:$E,"&lt;0.50",Signals!$N:$N,"YES")/(COUNTIFS(Signals!$A:$A,$A55,Signals!$E:$E,"&gt;=0.40",Signals!$E:$E,"&lt;0.50",Signals!$N:$N,"YES")+COUNTIFS(Signals!$A:$A,$A55,Signals!$E:$E,"&gt;=0.40",Signals!$E:$E,"&lt;0.50",Signals!$N:$N,"NO")),"")</f>
        <v>0.33333333333333331</v>
      </c>
      <c r="D55" s="36">
        <f>COUNTIFS(Signals!$A:$A,$A55,Signals!$E:$E,"&gt;=0.40",Signals!$E:$E,"&lt;0.50",Signals!$N:$N,"YES")+COUNTIFS(Signals!$A:$A,$A55,Signals!$E:$E,"&gt;=0.40",Signals!$E:$E,"&lt;0.50",Signals!$N:$N,"NO")</f>
        <v>3</v>
      </c>
      <c r="E55" s="37">
        <f>IFERROR(COUNTIFS(Signals!$A:$A,$A55,Signals!$E:$E,"&gt;=0.50",Signals!$E:$E,"&lt;0.60",Signals!$N:$N,"YES")/(COUNTIFS(Signals!$A:$A,$A55,Signals!$E:$E,"&gt;=0.50",Signals!$E:$E,"&lt;0.60",Signals!$N:$N,"YES")+COUNTIFS(Signals!$A:$A,$A55,Signals!$E:$E,"&gt;=0.50",Signals!$E:$E,"&lt;0.60",Signals!$N:$N,"NO")),"")</f>
        <v>0.38461538461538464</v>
      </c>
      <c r="F55" s="36">
        <f>COUNTIFS(Signals!$A:$A,$A55,Signals!$E:$E,"&gt;=0.50",Signals!$E:$E,"&lt;0.60",Signals!$N:$N,"YES")+COUNTIFS(Signals!$A:$A,$A55,Signals!$E:$E,"&gt;=0.50",Signals!$E:$E,"&lt;0.60",Signals!$N:$N,"NO")</f>
        <v>13</v>
      </c>
      <c r="G55" s="37">
        <f>IFERROR(COUNTIFS(Signals!$A:$A,$A55,Signals!$E:$E,"&gt;=0.60",Signals!$E:$E,"&lt;0.70",Signals!$N:$N,"YES")/(COUNTIFS(Signals!$A:$A,$A55,Signals!$E:$E,"&gt;=0.60",Signals!$E:$E,"&lt;0.70",Signals!$N:$N,"YES")+COUNTIFS(Signals!$A:$A,$A55,Signals!$E:$E,"&gt;=0.60",Signals!$E:$E,"&lt;0.70",Signals!$N:$N,"NO")),"")</f>
        <v>0.75</v>
      </c>
      <c r="H55" s="36">
        <f>COUNTIFS(Signals!$A:$A,$A55,Signals!$E:$E,"&gt;=0.60",Signals!$E:$E,"&lt;0.70",Signals!$N:$N,"YES")+COUNTIFS(Signals!$A:$A,$A55,Signals!$E:$E,"&gt;=0.60",Signals!$E:$E,"&lt;0.70",Signals!$N:$N,"NO")</f>
        <v>8</v>
      </c>
      <c r="I55" s="38" t="str">
        <f t="shared" si="1"/>
        <v>NO</v>
      </c>
    </row>
    <row r="56" spans="1:9" ht="15" customHeight="1" x14ac:dyDescent="0.25">
      <c r="A56" s="1" t="s">
        <v>207</v>
      </c>
      <c r="B56" s="36">
        <f>COUNTIFS(Signals!$A:$A,$A56,Signals!$N:$N,"YES")+COUNTIFS(Signals!$A:$A,$A56,Signals!$N:$N,"NO")</f>
        <v>24</v>
      </c>
      <c r="C56" s="37">
        <f>IFERROR(COUNTIFS(Signals!$A:$A,$A56,Signals!$E:$E,"&gt;=0.40",Signals!$E:$E,"&lt;0.50",Signals!$N:$N,"YES")/(COUNTIFS(Signals!$A:$A,$A56,Signals!$E:$E,"&gt;=0.40",Signals!$E:$E,"&lt;0.50",Signals!$N:$N,"YES")+COUNTIFS(Signals!$A:$A,$A56,Signals!$E:$E,"&gt;=0.40",Signals!$E:$E,"&lt;0.50",Signals!$N:$N,"NO")),"")</f>
        <v>0.14285714285714285</v>
      </c>
      <c r="D56" s="36">
        <f>COUNTIFS(Signals!$A:$A,$A56,Signals!$E:$E,"&gt;=0.40",Signals!$E:$E,"&lt;0.50",Signals!$N:$N,"YES")+COUNTIFS(Signals!$A:$A,$A56,Signals!$E:$E,"&gt;=0.40",Signals!$E:$E,"&lt;0.50",Signals!$N:$N,"NO")</f>
        <v>7</v>
      </c>
      <c r="E56" s="37">
        <f>IFERROR(COUNTIFS(Signals!$A:$A,$A56,Signals!$E:$E,"&gt;=0.50",Signals!$E:$E,"&lt;0.60",Signals!$N:$N,"YES")/(COUNTIFS(Signals!$A:$A,$A56,Signals!$E:$E,"&gt;=0.50",Signals!$E:$E,"&lt;0.60",Signals!$N:$N,"YES")+COUNTIFS(Signals!$A:$A,$A56,Signals!$E:$E,"&gt;=0.50",Signals!$E:$E,"&lt;0.60",Signals!$N:$N,"NO")),"")</f>
        <v>0.63636363636363635</v>
      </c>
      <c r="F56" s="36">
        <f>COUNTIFS(Signals!$A:$A,$A56,Signals!$E:$E,"&gt;=0.50",Signals!$E:$E,"&lt;0.60",Signals!$N:$N,"YES")+COUNTIFS(Signals!$A:$A,$A56,Signals!$E:$E,"&gt;=0.50",Signals!$E:$E,"&lt;0.60",Signals!$N:$N,"NO")</f>
        <v>11</v>
      </c>
      <c r="G56" s="37">
        <f>IFERROR(COUNTIFS(Signals!$A:$A,$A56,Signals!$E:$E,"&gt;=0.60",Signals!$E:$E,"&lt;0.70",Signals!$N:$N,"YES")/(COUNTIFS(Signals!$A:$A,$A56,Signals!$E:$E,"&gt;=0.60",Signals!$E:$E,"&lt;0.70",Signals!$N:$N,"YES")+COUNTIFS(Signals!$A:$A,$A56,Signals!$E:$E,"&gt;=0.60",Signals!$E:$E,"&lt;0.70",Signals!$N:$N,"NO")),"")</f>
        <v>0.83333333333333337</v>
      </c>
      <c r="H56" s="36">
        <f>COUNTIFS(Signals!$A:$A,$A56,Signals!$E:$E,"&gt;=0.60",Signals!$E:$E,"&lt;0.70",Signals!$N:$N,"YES")+COUNTIFS(Signals!$A:$A,$A56,Signals!$E:$E,"&gt;=0.60",Signals!$E:$E,"&lt;0.70",Signals!$N:$N,"NO")</f>
        <v>6</v>
      </c>
      <c r="I56" s="38" t="str">
        <f t="shared" si="1"/>
        <v>NO</v>
      </c>
    </row>
    <row r="57" spans="1:9" ht="15" customHeight="1" x14ac:dyDescent="0.25">
      <c r="A57" s="1" t="s">
        <v>208</v>
      </c>
      <c r="B57" s="36">
        <f>COUNTIFS(Signals!$A:$A,$A57,Signals!$N:$N,"YES")+COUNTIFS(Signals!$A:$A,$A57,Signals!$N:$N,"NO")</f>
        <v>24</v>
      </c>
      <c r="C57" s="37">
        <f>IFERROR(COUNTIFS(Signals!$A:$A,$A57,Signals!$E:$E,"&gt;=0.40",Signals!$E:$E,"&lt;0.50",Signals!$N:$N,"YES")/(COUNTIFS(Signals!$A:$A,$A57,Signals!$E:$E,"&gt;=0.40",Signals!$E:$E,"&lt;0.50",Signals!$N:$N,"YES")+COUNTIFS(Signals!$A:$A,$A57,Signals!$E:$E,"&gt;=0.40",Signals!$E:$E,"&lt;0.50",Signals!$N:$N,"NO")),"")</f>
        <v>0.33333333333333331</v>
      </c>
      <c r="D57" s="36">
        <f>COUNTIFS(Signals!$A:$A,$A57,Signals!$E:$E,"&gt;=0.40",Signals!$E:$E,"&lt;0.50",Signals!$N:$N,"YES")+COUNTIFS(Signals!$A:$A,$A57,Signals!$E:$E,"&gt;=0.40",Signals!$E:$E,"&lt;0.50",Signals!$N:$N,"NO")</f>
        <v>6</v>
      </c>
      <c r="E57" s="37">
        <f>IFERROR(COUNTIFS(Signals!$A:$A,$A57,Signals!$E:$E,"&gt;=0.50",Signals!$E:$E,"&lt;0.60",Signals!$N:$N,"YES")/(COUNTIFS(Signals!$A:$A,$A57,Signals!$E:$E,"&gt;=0.50",Signals!$E:$E,"&lt;0.60",Signals!$N:$N,"YES")+COUNTIFS(Signals!$A:$A,$A57,Signals!$E:$E,"&gt;=0.50",Signals!$E:$E,"&lt;0.60",Signals!$N:$N,"NO")),"")</f>
        <v>0.54545454545454541</v>
      </c>
      <c r="F57" s="36">
        <f>COUNTIFS(Signals!$A:$A,$A57,Signals!$E:$E,"&gt;=0.50",Signals!$E:$E,"&lt;0.60",Signals!$N:$N,"YES")+COUNTIFS(Signals!$A:$A,$A57,Signals!$E:$E,"&gt;=0.50",Signals!$E:$E,"&lt;0.60",Signals!$N:$N,"NO")</f>
        <v>11</v>
      </c>
      <c r="G57" s="37">
        <f>IFERROR(COUNTIFS(Signals!$A:$A,$A57,Signals!$E:$E,"&gt;=0.60",Signals!$E:$E,"&lt;0.70",Signals!$N:$N,"YES")/(COUNTIFS(Signals!$A:$A,$A57,Signals!$E:$E,"&gt;=0.60",Signals!$E:$E,"&lt;0.70",Signals!$N:$N,"YES")+COUNTIFS(Signals!$A:$A,$A57,Signals!$E:$E,"&gt;=0.60",Signals!$E:$E,"&lt;0.70",Signals!$N:$N,"NO")),"")</f>
        <v>0.66666666666666663</v>
      </c>
      <c r="H57" s="36">
        <f>COUNTIFS(Signals!$A:$A,$A57,Signals!$E:$E,"&gt;=0.60",Signals!$E:$E,"&lt;0.70",Signals!$N:$N,"YES")+COUNTIFS(Signals!$A:$A,$A57,Signals!$E:$E,"&gt;=0.60",Signals!$E:$E,"&lt;0.70",Signals!$N:$N,"NO")</f>
        <v>6</v>
      </c>
      <c r="I57" s="38" t="str">
        <f t="shared" si="1"/>
        <v>NO</v>
      </c>
    </row>
    <row r="58" spans="1:9" ht="15" customHeight="1" x14ac:dyDescent="0.25">
      <c r="A58" s="1" t="s">
        <v>209</v>
      </c>
      <c r="B58" s="36">
        <f>COUNTIFS(Signals!$A:$A,$A58,Signals!$N:$N,"YES")+COUNTIFS(Signals!$A:$A,$A58,Signals!$N:$N,"NO")</f>
        <v>24</v>
      </c>
      <c r="C58" s="37">
        <f>IFERROR(COUNTIFS(Signals!$A:$A,$A58,Signals!$E:$E,"&gt;=0.40",Signals!$E:$E,"&lt;0.50",Signals!$N:$N,"YES")/(COUNTIFS(Signals!$A:$A,$A58,Signals!$E:$E,"&gt;=0.40",Signals!$E:$E,"&lt;0.50",Signals!$N:$N,"YES")+COUNTIFS(Signals!$A:$A,$A58,Signals!$E:$E,"&gt;=0.40",Signals!$E:$E,"&lt;0.50",Signals!$N:$N,"NO")),"")</f>
        <v>0.5714285714285714</v>
      </c>
      <c r="D58" s="36">
        <f>COUNTIFS(Signals!$A:$A,$A58,Signals!$E:$E,"&gt;=0.40",Signals!$E:$E,"&lt;0.50",Signals!$N:$N,"YES")+COUNTIFS(Signals!$A:$A,$A58,Signals!$E:$E,"&gt;=0.40",Signals!$E:$E,"&lt;0.50",Signals!$N:$N,"NO")</f>
        <v>7</v>
      </c>
      <c r="E58" s="37">
        <f>IFERROR(COUNTIFS(Signals!$A:$A,$A58,Signals!$E:$E,"&gt;=0.50",Signals!$E:$E,"&lt;0.60",Signals!$N:$N,"YES")/(COUNTIFS(Signals!$A:$A,$A58,Signals!$E:$E,"&gt;=0.50",Signals!$E:$E,"&lt;0.60",Signals!$N:$N,"YES")+COUNTIFS(Signals!$A:$A,$A58,Signals!$E:$E,"&gt;=0.50",Signals!$E:$E,"&lt;0.60",Signals!$N:$N,"NO")),"")</f>
        <v>0.8</v>
      </c>
      <c r="F58" s="36">
        <f>COUNTIFS(Signals!$A:$A,$A58,Signals!$E:$E,"&gt;=0.50",Signals!$E:$E,"&lt;0.60",Signals!$N:$N,"YES")+COUNTIFS(Signals!$A:$A,$A58,Signals!$E:$E,"&gt;=0.50",Signals!$E:$E,"&lt;0.60",Signals!$N:$N,"NO")</f>
        <v>10</v>
      </c>
      <c r="G58" s="37">
        <f>IFERROR(COUNTIFS(Signals!$A:$A,$A58,Signals!$E:$E,"&gt;=0.60",Signals!$E:$E,"&lt;0.70",Signals!$N:$N,"YES")/(COUNTIFS(Signals!$A:$A,$A58,Signals!$E:$E,"&gt;=0.60",Signals!$E:$E,"&lt;0.70",Signals!$N:$N,"YES")+COUNTIFS(Signals!$A:$A,$A58,Signals!$E:$E,"&gt;=0.60",Signals!$E:$E,"&lt;0.70",Signals!$N:$N,"NO")),"")</f>
        <v>0.8571428571428571</v>
      </c>
      <c r="H58" s="36">
        <f>COUNTIFS(Signals!$A:$A,$A58,Signals!$E:$E,"&gt;=0.60",Signals!$E:$E,"&lt;0.70",Signals!$N:$N,"YES")+COUNTIFS(Signals!$A:$A,$A58,Signals!$E:$E,"&gt;=0.60",Signals!$E:$E,"&lt;0.70",Signals!$N:$N,"NO")</f>
        <v>7</v>
      </c>
      <c r="I58" s="38" t="str">
        <f t="shared" si="1"/>
        <v>NO</v>
      </c>
    </row>
    <row r="59" spans="1:9" ht="15" customHeight="1" x14ac:dyDescent="0.25">
      <c r="A59" s="1" t="s">
        <v>210</v>
      </c>
      <c r="B59" s="36">
        <f>COUNTIFS(Signals!$A:$A,$A59,Signals!$N:$N,"YES")+COUNTIFS(Signals!$A:$A,$A59,Signals!$N:$N,"NO")</f>
        <v>24</v>
      </c>
      <c r="C59" s="37">
        <f>IFERROR(COUNTIFS(Signals!$A:$A,$A59,Signals!$E:$E,"&gt;=0.40",Signals!$E:$E,"&lt;0.50",Signals!$N:$N,"YES")/(COUNTIFS(Signals!$A:$A,$A59,Signals!$E:$E,"&gt;=0.40",Signals!$E:$E,"&lt;0.50",Signals!$N:$N,"YES")+COUNTIFS(Signals!$A:$A,$A59,Signals!$E:$E,"&gt;=0.40",Signals!$E:$E,"&lt;0.50",Signals!$N:$N,"NO")),"")</f>
        <v>0.5</v>
      </c>
      <c r="D59" s="36">
        <f>COUNTIFS(Signals!$A:$A,$A59,Signals!$E:$E,"&gt;=0.40",Signals!$E:$E,"&lt;0.50",Signals!$N:$N,"YES")+COUNTIFS(Signals!$A:$A,$A59,Signals!$E:$E,"&gt;=0.40",Signals!$E:$E,"&lt;0.50",Signals!$N:$N,"NO")</f>
        <v>6</v>
      </c>
      <c r="E59" s="37">
        <f>IFERROR(COUNTIFS(Signals!$A:$A,$A59,Signals!$E:$E,"&gt;=0.50",Signals!$E:$E,"&lt;0.60",Signals!$N:$N,"YES")/(COUNTIFS(Signals!$A:$A,$A59,Signals!$E:$E,"&gt;=0.50",Signals!$E:$E,"&lt;0.60",Signals!$N:$N,"YES")+COUNTIFS(Signals!$A:$A,$A59,Signals!$E:$E,"&gt;=0.50",Signals!$E:$E,"&lt;0.60",Signals!$N:$N,"NO")),"")</f>
        <v>0.625</v>
      </c>
      <c r="F59" s="36">
        <f>COUNTIFS(Signals!$A:$A,$A59,Signals!$E:$E,"&gt;=0.50",Signals!$E:$E,"&lt;0.60",Signals!$N:$N,"YES")+COUNTIFS(Signals!$A:$A,$A59,Signals!$E:$E,"&gt;=0.50",Signals!$E:$E,"&lt;0.60",Signals!$N:$N,"NO")</f>
        <v>8</v>
      </c>
      <c r="G59" s="37">
        <f>IFERROR(COUNTIFS(Signals!$A:$A,$A59,Signals!$E:$E,"&gt;=0.60",Signals!$E:$E,"&lt;0.70",Signals!$N:$N,"YES")/(COUNTIFS(Signals!$A:$A,$A59,Signals!$E:$E,"&gt;=0.60",Signals!$E:$E,"&lt;0.70",Signals!$N:$N,"YES")+COUNTIFS(Signals!$A:$A,$A59,Signals!$E:$E,"&gt;=0.60",Signals!$E:$E,"&lt;0.70",Signals!$N:$N,"NO")),"")</f>
        <v>0.875</v>
      </c>
      <c r="H59" s="36">
        <f>COUNTIFS(Signals!$A:$A,$A59,Signals!$E:$E,"&gt;=0.60",Signals!$E:$E,"&lt;0.70",Signals!$N:$N,"YES")+COUNTIFS(Signals!$A:$A,$A59,Signals!$E:$E,"&gt;=0.60",Signals!$E:$E,"&lt;0.70",Signals!$N:$N,"NO")</f>
        <v>8</v>
      </c>
      <c r="I59" s="38" t="str">
        <f t="shared" si="1"/>
        <v>NO</v>
      </c>
    </row>
    <row r="60" spans="1:9" ht="15" customHeight="1" x14ac:dyDescent="0.25">
      <c r="A60" s="1" t="s">
        <v>211</v>
      </c>
      <c r="B60" s="36">
        <f>COUNTIFS(Signals!$A:$A,$A60,Signals!$N:$N,"YES")+COUNTIFS(Signals!$A:$A,$A60,Signals!$N:$N,"NO")</f>
        <v>24</v>
      </c>
      <c r="C60" s="37">
        <f>IFERROR(COUNTIFS(Signals!$A:$A,$A60,Signals!$E:$E,"&gt;=0.40",Signals!$E:$E,"&lt;0.50",Signals!$N:$N,"YES")/(COUNTIFS(Signals!$A:$A,$A60,Signals!$E:$E,"&gt;=0.40",Signals!$E:$E,"&lt;0.50",Signals!$N:$N,"YES")+COUNTIFS(Signals!$A:$A,$A60,Signals!$E:$E,"&gt;=0.40",Signals!$E:$E,"&lt;0.50",Signals!$N:$N,"NO")),"")</f>
        <v>0.5</v>
      </c>
      <c r="D60" s="36">
        <f>COUNTIFS(Signals!$A:$A,$A60,Signals!$E:$E,"&gt;=0.40",Signals!$E:$E,"&lt;0.50",Signals!$N:$N,"YES")+COUNTIFS(Signals!$A:$A,$A60,Signals!$E:$E,"&gt;=0.40",Signals!$E:$E,"&lt;0.50",Signals!$N:$N,"NO")</f>
        <v>6</v>
      </c>
      <c r="E60" s="37">
        <f>IFERROR(COUNTIFS(Signals!$A:$A,$A60,Signals!$E:$E,"&gt;=0.50",Signals!$E:$E,"&lt;0.60",Signals!$N:$N,"YES")/(COUNTIFS(Signals!$A:$A,$A60,Signals!$E:$E,"&gt;=0.50",Signals!$E:$E,"&lt;0.60",Signals!$N:$N,"YES")+COUNTIFS(Signals!$A:$A,$A60,Signals!$E:$E,"&gt;=0.50",Signals!$E:$E,"&lt;0.60",Signals!$N:$N,"NO")),"")</f>
        <v>0.44444444444444442</v>
      </c>
      <c r="F60" s="36">
        <f>COUNTIFS(Signals!$A:$A,$A60,Signals!$E:$E,"&gt;=0.50",Signals!$E:$E,"&lt;0.60",Signals!$N:$N,"YES")+COUNTIFS(Signals!$A:$A,$A60,Signals!$E:$E,"&gt;=0.50",Signals!$E:$E,"&lt;0.60",Signals!$N:$N,"NO")</f>
        <v>9</v>
      </c>
      <c r="G60" s="37">
        <f>IFERROR(COUNTIFS(Signals!$A:$A,$A60,Signals!$E:$E,"&gt;=0.60",Signals!$E:$E,"&lt;0.70",Signals!$N:$N,"YES")/(COUNTIFS(Signals!$A:$A,$A60,Signals!$E:$E,"&gt;=0.60",Signals!$E:$E,"&lt;0.70",Signals!$N:$N,"YES")+COUNTIFS(Signals!$A:$A,$A60,Signals!$E:$E,"&gt;=0.60",Signals!$E:$E,"&lt;0.70",Signals!$N:$N,"NO")),"")</f>
        <v>0.7142857142857143</v>
      </c>
      <c r="H60" s="36">
        <f>COUNTIFS(Signals!$A:$A,$A60,Signals!$E:$E,"&gt;=0.60",Signals!$E:$E,"&lt;0.70",Signals!$N:$N,"YES")+COUNTIFS(Signals!$A:$A,$A60,Signals!$E:$E,"&gt;=0.60",Signals!$E:$E,"&lt;0.70",Signals!$N:$N,"NO")</f>
        <v>7</v>
      </c>
      <c r="I60" s="38" t="str">
        <f t="shared" si="1"/>
        <v>NO</v>
      </c>
    </row>
    <row r="61" spans="1:9" ht="15" customHeight="1" x14ac:dyDescent="0.25">
      <c r="A61" s="1" t="s">
        <v>212</v>
      </c>
      <c r="B61" s="36">
        <f>COUNTIFS(Signals!$A:$A,$A61,Signals!$N:$N,"YES")+COUNTIFS(Signals!$A:$A,$A61,Signals!$N:$N,"NO")</f>
        <v>24</v>
      </c>
      <c r="C61" s="37">
        <f>IFERROR(COUNTIFS(Signals!$A:$A,$A61,Signals!$E:$E,"&gt;=0.40",Signals!$E:$E,"&lt;0.50",Signals!$N:$N,"YES")/(COUNTIFS(Signals!$A:$A,$A61,Signals!$E:$E,"&gt;=0.40",Signals!$E:$E,"&lt;0.50",Signals!$N:$N,"YES")+COUNTIFS(Signals!$A:$A,$A61,Signals!$E:$E,"&gt;=0.40",Signals!$E:$E,"&lt;0.50",Signals!$N:$N,"NO")),"")</f>
        <v>0.2</v>
      </c>
      <c r="D61" s="36">
        <f>COUNTIFS(Signals!$A:$A,$A61,Signals!$E:$E,"&gt;=0.40",Signals!$E:$E,"&lt;0.50",Signals!$N:$N,"YES")+COUNTIFS(Signals!$A:$A,$A61,Signals!$E:$E,"&gt;=0.40",Signals!$E:$E,"&lt;0.50",Signals!$N:$N,"NO")</f>
        <v>5</v>
      </c>
      <c r="E61" s="37">
        <f>IFERROR(COUNTIFS(Signals!$A:$A,$A61,Signals!$E:$E,"&gt;=0.50",Signals!$E:$E,"&lt;0.60",Signals!$N:$N,"YES")/(COUNTIFS(Signals!$A:$A,$A61,Signals!$E:$E,"&gt;=0.50",Signals!$E:$E,"&lt;0.60",Signals!$N:$N,"YES")+COUNTIFS(Signals!$A:$A,$A61,Signals!$E:$E,"&gt;=0.50",Signals!$E:$E,"&lt;0.60",Signals!$N:$N,"NO")),"")</f>
        <v>0.7</v>
      </c>
      <c r="F61" s="36">
        <f>COUNTIFS(Signals!$A:$A,$A61,Signals!$E:$E,"&gt;=0.50",Signals!$E:$E,"&lt;0.60",Signals!$N:$N,"YES")+COUNTIFS(Signals!$A:$A,$A61,Signals!$E:$E,"&gt;=0.50",Signals!$E:$E,"&lt;0.60",Signals!$N:$N,"NO")</f>
        <v>10</v>
      </c>
      <c r="G61" s="37">
        <f>IFERROR(COUNTIFS(Signals!$A:$A,$A61,Signals!$E:$E,"&gt;=0.60",Signals!$E:$E,"&lt;0.70",Signals!$N:$N,"YES")/(COUNTIFS(Signals!$A:$A,$A61,Signals!$E:$E,"&gt;=0.60",Signals!$E:$E,"&lt;0.70",Signals!$N:$N,"YES")+COUNTIFS(Signals!$A:$A,$A61,Signals!$E:$E,"&gt;=0.60",Signals!$E:$E,"&lt;0.70",Signals!$N:$N,"NO")),"")</f>
        <v>0.625</v>
      </c>
      <c r="H61" s="36">
        <f>COUNTIFS(Signals!$A:$A,$A61,Signals!$E:$E,"&gt;=0.60",Signals!$E:$E,"&lt;0.70",Signals!$N:$N,"YES")+COUNTIFS(Signals!$A:$A,$A61,Signals!$E:$E,"&gt;=0.60",Signals!$E:$E,"&lt;0.70",Signals!$N:$N,"NO")</f>
        <v>8</v>
      </c>
      <c r="I61" s="38" t="str">
        <f t="shared" si="1"/>
        <v>✓ YES</v>
      </c>
    </row>
    <row r="62" spans="1:9" ht="15" customHeight="1" x14ac:dyDescent="0.25">
      <c r="A62" s="1" t="s">
        <v>213</v>
      </c>
      <c r="B62" s="36">
        <f>COUNTIFS(Signals!$A:$A,$A62,Signals!$N:$N,"YES")+COUNTIFS(Signals!$A:$A,$A62,Signals!$N:$N,"NO")</f>
        <v>0</v>
      </c>
      <c r="C62" s="37" t="str">
        <f>IFERROR(COUNTIFS(Signals!$A:$A,$A62,Signals!$E:$E,"&gt;=0.40",Signals!$E:$E,"&lt;0.50",Signals!$N:$N,"YES")/(COUNTIFS(Signals!$A:$A,$A62,Signals!$E:$E,"&gt;=0.40",Signals!$E:$E,"&lt;0.50",Signals!$N:$N,"YES")+COUNTIFS(Signals!$A:$A,$A62,Signals!$E:$E,"&gt;=0.40",Signals!$E:$E,"&lt;0.50",Signals!$N:$N,"NO")),"")</f>
        <v/>
      </c>
      <c r="D62" s="36">
        <f>COUNTIFS(Signals!$A:$A,$A62,Signals!$E:$E,"&gt;=0.40",Signals!$E:$E,"&lt;0.50",Signals!$N:$N,"YES")+COUNTIFS(Signals!$A:$A,$A62,Signals!$E:$E,"&gt;=0.40",Signals!$E:$E,"&lt;0.50",Signals!$N:$N,"NO")</f>
        <v>0</v>
      </c>
      <c r="E62" s="37" t="str">
        <f>IFERROR(COUNTIFS(Signals!$A:$A,$A62,Signals!$E:$E,"&gt;=0.50",Signals!$E:$E,"&lt;0.60",Signals!$N:$N,"YES")/(COUNTIFS(Signals!$A:$A,$A62,Signals!$E:$E,"&gt;=0.50",Signals!$E:$E,"&lt;0.60",Signals!$N:$N,"YES")+COUNTIFS(Signals!$A:$A,$A62,Signals!$E:$E,"&gt;=0.50",Signals!$E:$E,"&lt;0.60",Signals!$N:$N,"NO")),"")</f>
        <v/>
      </c>
      <c r="F62" s="36">
        <f>COUNTIFS(Signals!$A:$A,$A62,Signals!$E:$E,"&gt;=0.50",Signals!$E:$E,"&lt;0.60",Signals!$N:$N,"YES")+COUNTIFS(Signals!$A:$A,$A62,Signals!$E:$E,"&gt;=0.50",Signals!$E:$E,"&lt;0.60",Signals!$N:$N,"NO")</f>
        <v>0</v>
      </c>
      <c r="G62" s="37" t="str">
        <f>IFERROR(COUNTIFS(Signals!$A:$A,$A62,Signals!$E:$E,"&gt;=0.60",Signals!$E:$E,"&lt;0.70",Signals!$N:$N,"YES")/(COUNTIFS(Signals!$A:$A,$A62,Signals!$E:$E,"&gt;=0.60",Signals!$E:$E,"&lt;0.70",Signals!$N:$N,"YES")+COUNTIFS(Signals!$A:$A,$A62,Signals!$E:$E,"&gt;=0.60",Signals!$E:$E,"&lt;0.70",Signals!$N:$N,"NO")),"")</f>
        <v/>
      </c>
      <c r="H62" s="36">
        <f>COUNTIFS(Signals!$A:$A,$A62,Signals!$E:$E,"&gt;=0.60",Signals!$E:$E,"&lt;0.70",Signals!$N:$N,"YES")+COUNTIFS(Signals!$A:$A,$A62,Signals!$E:$E,"&gt;=0.60",Signals!$E:$E,"&lt;0.70",Signals!$N:$N,"NO")</f>
        <v>0</v>
      </c>
      <c r="I62" s="38" t="str">
        <f t="shared" si="1"/>
        <v>insufficient data</v>
      </c>
    </row>
    <row r="63" spans="1:9" ht="15" customHeight="1" x14ac:dyDescent="0.25">
      <c r="A63" s="1" t="s">
        <v>214</v>
      </c>
      <c r="B63" s="36">
        <f>COUNTIFS(Signals!$A:$A,$A63,Signals!$N:$N,"YES")+COUNTIFS(Signals!$A:$A,$A63,Signals!$N:$N,"NO")</f>
        <v>0</v>
      </c>
      <c r="C63" s="37" t="str">
        <f>IFERROR(COUNTIFS(Signals!$A:$A,$A63,Signals!$E:$E,"&gt;=0.40",Signals!$E:$E,"&lt;0.50",Signals!$N:$N,"YES")/(COUNTIFS(Signals!$A:$A,$A63,Signals!$E:$E,"&gt;=0.40",Signals!$E:$E,"&lt;0.50",Signals!$N:$N,"YES")+COUNTIFS(Signals!$A:$A,$A63,Signals!$E:$E,"&gt;=0.40",Signals!$E:$E,"&lt;0.50",Signals!$N:$N,"NO")),"")</f>
        <v/>
      </c>
      <c r="D63" s="36">
        <f>COUNTIFS(Signals!$A:$A,$A63,Signals!$E:$E,"&gt;=0.40",Signals!$E:$E,"&lt;0.50",Signals!$N:$N,"YES")+COUNTIFS(Signals!$A:$A,$A63,Signals!$E:$E,"&gt;=0.40",Signals!$E:$E,"&lt;0.50",Signals!$N:$N,"NO")</f>
        <v>0</v>
      </c>
      <c r="E63" s="37" t="str">
        <f>IFERROR(COUNTIFS(Signals!$A:$A,$A63,Signals!$E:$E,"&gt;=0.50",Signals!$E:$E,"&lt;0.60",Signals!$N:$N,"YES")/(COUNTIFS(Signals!$A:$A,$A63,Signals!$E:$E,"&gt;=0.50",Signals!$E:$E,"&lt;0.60",Signals!$N:$N,"YES")+COUNTIFS(Signals!$A:$A,$A63,Signals!$E:$E,"&gt;=0.50",Signals!$E:$E,"&lt;0.60",Signals!$N:$N,"NO")),"")</f>
        <v/>
      </c>
      <c r="F63" s="36">
        <f>COUNTIFS(Signals!$A:$A,$A63,Signals!$E:$E,"&gt;=0.50",Signals!$E:$E,"&lt;0.60",Signals!$N:$N,"YES")+COUNTIFS(Signals!$A:$A,$A63,Signals!$E:$E,"&gt;=0.50",Signals!$E:$E,"&lt;0.60",Signals!$N:$N,"NO")</f>
        <v>0</v>
      </c>
      <c r="G63" s="37" t="str">
        <f>IFERROR(COUNTIFS(Signals!$A:$A,$A63,Signals!$E:$E,"&gt;=0.60",Signals!$E:$E,"&lt;0.70",Signals!$N:$N,"YES")/(COUNTIFS(Signals!$A:$A,$A63,Signals!$E:$E,"&gt;=0.60",Signals!$E:$E,"&lt;0.70",Signals!$N:$N,"YES")+COUNTIFS(Signals!$A:$A,$A63,Signals!$E:$E,"&gt;=0.60",Signals!$E:$E,"&lt;0.70",Signals!$N:$N,"NO")),"")</f>
        <v/>
      </c>
      <c r="H63" s="36">
        <f>COUNTIFS(Signals!$A:$A,$A63,Signals!$E:$E,"&gt;=0.60",Signals!$E:$E,"&lt;0.70",Signals!$N:$N,"YES")+COUNTIFS(Signals!$A:$A,$A63,Signals!$E:$E,"&gt;=0.60",Signals!$E:$E,"&lt;0.70",Signals!$N:$N,"NO")</f>
        <v>0</v>
      </c>
      <c r="I63" s="38" t="str">
        <f t="shared" si="1"/>
        <v>insufficient data</v>
      </c>
    </row>
    <row r="64" spans="1:9" ht="15" customHeight="1" x14ac:dyDescent="0.25">
      <c r="A64" s="1" t="s">
        <v>215</v>
      </c>
      <c r="B64" s="36">
        <f>COUNTIFS(Signals!$A:$A,$A64,Signals!$N:$N,"YES")+COUNTIFS(Signals!$A:$A,$A64,Signals!$N:$N,"NO")</f>
        <v>0</v>
      </c>
      <c r="C64" s="37" t="str">
        <f>IFERROR(COUNTIFS(Signals!$A:$A,$A64,Signals!$E:$E,"&gt;=0.40",Signals!$E:$E,"&lt;0.50",Signals!$N:$N,"YES")/(COUNTIFS(Signals!$A:$A,$A64,Signals!$E:$E,"&gt;=0.40",Signals!$E:$E,"&lt;0.50",Signals!$N:$N,"YES")+COUNTIFS(Signals!$A:$A,$A64,Signals!$E:$E,"&gt;=0.40",Signals!$E:$E,"&lt;0.50",Signals!$N:$N,"NO")),"")</f>
        <v/>
      </c>
      <c r="D64" s="36">
        <f>COUNTIFS(Signals!$A:$A,$A64,Signals!$E:$E,"&gt;=0.40",Signals!$E:$E,"&lt;0.50",Signals!$N:$N,"YES")+COUNTIFS(Signals!$A:$A,$A64,Signals!$E:$E,"&gt;=0.40",Signals!$E:$E,"&lt;0.50",Signals!$N:$N,"NO")</f>
        <v>0</v>
      </c>
      <c r="E64" s="37" t="str">
        <f>IFERROR(COUNTIFS(Signals!$A:$A,$A64,Signals!$E:$E,"&gt;=0.50",Signals!$E:$E,"&lt;0.60",Signals!$N:$N,"YES")/(COUNTIFS(Signals!$A:$A,$A64,Signals!$E:$E,"&gt;=0.50",Signals!$E:$E,"&lt;0.60",Signals!$N:$N,"YES")+COUNTIFS(Signals!$A:$A,$A64,Signals!$E:$E,"&gt;=0.50",Signals!$E:$E,"&lt;0.60",Signals!$N:$N,"NO")),"")</f>
        <v/>
      </c>
      <c r="F64" s="36">
        <f>COUNTIFS(Signals!$A:$A,$A64,Signals!$E:$E,"&gt;=0.50",Signals!$E:$E,"&lt;0.60",Signals!$N:$N,"YES")+COUNTIFS(Signals!$A:$A,$A64,Signals!$E:$E,"&gt;=0.50",Signals!$E:$E,"&lt;0.60",Signals!$N:$N,"NO")</f>
        <v>0</v>
      </c>
      <c r="G64" s="37" t="str">
        <f>IFERROR(COUNTIFS(Signals!$A:$A,$A64,Signals!$E:$E,"&gt;=0.60",Signals!$E:$E,"&lt;0.70",Signals!$N:$N,"YES")/(COUNTIFS(Signals!$A:$A,$A64,Signals!$E:$E,"&gt;=0.60",Signals!$E:$E,"&lt;0.70",Signals!$N:$N,"YES")+COUNTIFS(Signals!$A:$A,$A64,Signals!$E:$E,"&gt;=0.60",Signals!$E:$E,"&lt;0.70",Signals!$N:$N,"NO")),"")</f>
        <v/>
      </c>
      <c r="H64" s="36">
        <f>COUNTIFS(Signals!$A:$A,$A64,Signals!$E:$E,"&gt;=0.60",Signals!$E:$E,"&lt;0.70",Signals!$N:$N,"YES")+COUNTIFS(Signals!$A:$A,$A64,Signals!$E:$E,"&gt;=0.60",Signals!$E:$E,"&lt;0.70",Signals!$N:$N,"NO")</f>
        <v>0</v>
      </c>
      <c r="I64" s="38" t="str">
        <f t="shared" si="1"/>
        <v>insufficient data</v>
      </c>
    </row>
    <row r="65" spans="1:9" ht="15" customHeight="1" x14ac:dyDescent="0.25">
      <c r="A65" s="1" t="s">
        <v>216</v>
      </c>
      <c r="B65" s="36">
        <f>COUNTIFS(Signals!$A:$A,$A65,Signals!$N:$N,"YES")+COUNTIFS(Signals!$A:$A,$A65,Signals!$N:$N,"NO")</f>
        <v>0</v>
      </c>
      <c r="C65" s="37" t="str">
        <f>IFERROR(COUNTIFS(Signals!$A:$A,$A65,Signals!$E:$E,"&gt;=0.40",Signals!$E:$E,"&lt;0.50",Signals!$N:$N,"YES")/(COUNTIFS(Signals!$A:$A,$A65,Signals!$E:$E,"&gt;=0.40",Signals!$E:$E,"&lt;0.50",Signals!$N:$N,"YES")+COUNTIFS(Signals!$A:$A,$A65,Signals!$E:$E,"&gt;=0.40",Signals!$E:$E,"&lt;0.50",Signals!$N:$N,"NO")),"")</f>
        <v/>
      </c>
      <c r="D65" s="36">
        <f>COUNTIFS(Signals!$A:$A,$A65,Signals!$E:$E,"&gt;=0.40",Signals!$E:$E,"&lt;0.50",Signals!$N:$N,"YES")+COUNTIFS(Signals!$A:$A,$A65,Signals!$E:$E,"&gt;=0.40",Signals!$E:$E,"&lt;0.50",Signals!$N:$N,"NO")</f>
        <v>0</v>
      </c>
      <c r="E65" s="37" t="str">
        <f>IFERROR(COUNTIFS(Signals!$A:$A,$A65,Signals!$E:$E,"&gt;=0.50",Signals!$E:$E,"&lt;0.60",Signals!$N:$N,"YES")/(COUNTIFS(Signals!$A:$A,$A65,Signals!$E:$E,"&gt;=0.50",Signals!$E:$E,"&lt;0.60",Signals!$N:$N,"YES")+COUNTIFS(Signals!$A:$A,$A65,Signals!$E:$E,"&gt;=0.50",Signals!$E:$E,"&lt;0.60",Signals!$N:$N,"NO")),"")</f>
        <v/>
      </c>
      <c r="F65" s="36">
        <f>COUNTIFS(Signals!$A:$A,$A65,Signals!$E:$E,"&gt;=0.50",Signals!$E:$E,"&lt;0.60",Signals!$N:$N,"YES")+COUNTIFS(Signals!$A:$A,$A65,Signals!$E:$E,"&gt;=0.50",Signals!$E:$E,"&lt;0.60",Signals!$N:$N,"NO")</f>
        <v>0</v>
      </c>
      <c r="G65" s="37" t="str">
        <f>IFERROR(COUNTIFS(Signals!$A:$A,$A65,Signals!$E:$E,"&gt;=0.60",Signals!$E:$E,"&lt;0.70",Signals!$N:$N,"YES")/(COUNTIFS(Signals!$A:$A,$A65,Signals!$E:$E,"&gt;=0.60",Signals!$E:$E,"&lt;0.70",Signals!$N:$N,"YES")+COUNTIFS(Signals!$A:$A,$A65,Signals!$E:$E,"&gt;=0.60",Signals!$E:$E,"&lt;0.70",Signals!$N:$N,"NO")),"")</f>
        <v/>
      </c>
      <c r="H65" s="36">
        <f>COUNTIFS(Signals!$A:$A,$A65,Signals!$E:$E,"&gt;=0.60",Signals!$E:$E,"&lt;0.70",Signals!$N:$N,"YES")+COUNTIFS(Signals!$A:$A,$A65,Signals!$E:$E,"&gt;=0.60",Signals!$E:$E,"&lt;0.70",Signals!$N:$N,"NO")</f>
        <v>0</v>
      </c>
      <c r="I65" s="38" t="str">
        <f t="shared" si="1"/>
        <v>insufficient data</v>
      </c>
    </row>
    <row r="66" spans="1:9" ht="15" customHeight="1" x14ac:dyDescent="0.25">
      <c r="A66" s="1" t="s">
        <v>217</v>
      </c>
      <c r="B66" s="36">
        <f>COUNTIFS(Signals!$A:$A,$A66,Signals!$N:$N,"YES")+COUNTIFS(Signals!$A:$A,$A66,Signals!$N:$N,"NO")</f>
        <v>0</v>
      </c>
      <c r="C66" s="37" t="str">
        <f>IFERROR(COUNTIFS(Signals!$A:$A,$A66,Signals!$E:$E,"&gt;=0.40",Signals!$E:$E,"&lt;0.50",Signals!$N:$N,"YES")/(COUNTIFS(Signals!$A:$A,$A66,Signals!$E:$E,"&gt;=0.40",Signals!$E:$E,"&lt;0.50",Signals!$N:$N,"YES")+COUNTIFS(Signals!$A:$A,$A66,Signals!$E:$E,"&gt;=0.40",Signals!$E:$E,"&lt;0.50",Signals!$N:$N,"NO")),"")</f>
        <v/>
      </c>
      <c r="D66" s="36">
        <f>COUNTIFS(Signals!$A:$A,$A66,Signals!$E:$E,"&gt;=0.40",Signals!$E:$E,"&lt;0.50",Signals!$N:$N,"YES")+COUNTIFS(Signals!$A:$A,$A66,Signals!$E:$E,"&gt;=0.40",Signals!$E:$E,"&lt;0.50",Signals!$N:$N,"NO")</f>
        <v>0</v>
      </c>
      <c r="E66" s="37" t="str">
        <f>IFERROR(COUNTIFS(Signals!$A:$A,$A66,Signals!$E:$E,"&gt;=0.50",Signals!$E:$E,"&lt;0.60",Signals!$N:$N,"YES")/(COUNTIFS(Signals!$A:$A,$A66,Signals!$E:$E,"&gt;=0.50",Signals!$E:$E,"&lt;0.60",Signals!$N:$N,"YES")+COUNTIFS(Signals!$A:$A,$A66,Signals!$E:$E,"&gt;=0.50",Signals!$E:$E,"&lt;0.60",Signals!$N:$N,"NO")),"")</f>
        <v/>
      </c>
      <c r="F66" s="36">
        <f>COUNTIFS(Signals!$A:$A,$A66,Signals!$E:$E,"&gt;=0.50",Signals!$E:$E,"&lt;0.60",Signals!$N:$N,"YES")+COUNTIFS(Signals!$A:$A,$A66,Signals!$E:$E,"&gt;=0.50",Signals!$E:$E,"&lt;0.60",Signals!$N:$N,"NO")</f>
        <v>0</v>
      </c>
      <c r="G66" s="37" t="str">
        <f>IFERROR(COUNTIFS(Signals!$A:$A,$A66,Signals!$E:$E,"&gt;=0.60",Signals!$E:$E,"&lt;0.70",Signals!$N:$N,"YES")/(COUNTIFS(Signals!$A:$A,$A66,Signals!$E:$E,"&gt;=0.60",Signals!$E:$E,"&lt;0.70",Signals!$N:$N,"YES")+COUNTIFS(Signals!$A:$A,$A66,Signals!$E:$E,"&gt;=0.60",Signals!$E:$E,"&lt;0.70",Signals!$N:$N,"NO")),"")</f>
        <v/>
      </c>
      <c r="H66" s="36">
        <f>COUNTIFS(Signals!$A:$A,$A66,Signals!$E:$E,"&gt;=0.60",Signals!$E:$E,"&lt;0.70",Signals!$N:$N,"YES")+COUNTIFS(Signals!$A:$A,$A66,Signals!$E:$E,"&gt;=0.60",Signals!$E:$E,"&lt;0.70",Signals!$N:$N,"NO")</f>
        <v>0</v>
      </c>
      <c r="I66" s="38" t="str">
        <f t="shared" si="1"/>
        <v>insufficient data</v>
      </c>
    </row>
    <row r="67" spans="1:9" ht="15" customHeight="1" x14ac:dyDescent="0.25">
      <c r="A67" s="1" t="s">
        <v>218</v>
      </c>
      <c r="B67" s="36">
        <f>COUNTIFS(Signals!$A:$A,$A67,Signals!$N:$N,"YES")+COUNTIFS(Signals!$A:$A,$A67,Signals!$N:$N,"NO")</f>
        <v>0</v>
      </c>
      <c r="C67" s="37" t="str">
        <f>IFERROR(COUNTIFS(Signals!$A:$A,$A67,Signals!$E:$E,"&gt;=0.40",Signals!$E:$E,"&lt;0.50",Signals!$N:$N,"YES")/(COUNTIFS(Signals!$A:$A,$A67,Signals!$E:$E,"&gt;=0.40",Signals!$E:$E,"&lt;0.50",Signals!$N:$N,"YES")+COUNTIFS(Signals!$A:$A,$A67,Signals!$E:$E,"&gt;=0.40",Signals!$E:$E,"&lt;0.50",Signals!$N:$N,"NO")),"")</f>
        <v/>
      </c>
      <c r="D67" s="36">
        <f>COUNTIFS(Signals!$A:$A,$A67,Signals!$E:$E,"&gt;=0.40",Signals!$E:$E,"&lt;0.50",Signals!$N:$N,"YES")+COUNTIFS(Signals!$A:$A,$A67,Signals!$E:$E,"&gt;=0.40",Signals!$E:$E,"&lt;0.50",Signals!$N:$N,"NO")</f>
        <v>0</v>
      </c>
      <c r="E67" s="37" t="str">
        <f>IFERROR(COUNTIFS(Signals!$A:$A,$A67,Signals!$E:$E,"&gt;=0.50",Signals!$E:$E,"&lt;0.60",Signals!$N:$N,"YES")/(COUNTIFS(Signals!$A:$A,$A67,Signals!$E:$E,"&gt;=0.50",Signals!$E:$E,"&lt;0.60",Signals!$N:$N,"YES")+COUNTIFS(Signals!$A:$A,$A67,Signals!$E:$E,"&gt;=0.50",Signals!$E:$E,"&lt;0.60",Signals!$N:$N,"NO")),"")</f>
        <v/>
      </c>
      <c r="F67" s="36">
        <f>COUNTIFS(Signals!$A:$A,$A67,Signals!$E:$E,"&gt;=0.50",Signals!$E:$E,"&lt;0.60",Signals!$N:$N,"YES")+COUNTIFS(Signals!$A:$A,$A67,Signals!$E:$E,"&gt;=0.50",Signals!$E:$E,"&lt;0.60",Signals!$N:$N,"NO")</f>
        <v>0</v>
      </c>
      <c r="G67" s="37" t="str">
        <f>IFERROR(COUNTIFS(Signals!$A:$A,$A67,Signals!$E:$E,"&gt;=0.60",Signals!$E:$E,"&lt;0.70",Signals!$N:$N,"YES")/(COUNTIFS(Signals!$A:$A,$A67,Signals!$E:$E,"&gt;=0.60",Signals!$E:$E,"&lt;0.70",Signals!$N:$N,"YES")+COUNTIFS(Signals!$A:$A,$A67,Signals!$E:$E,"&gt;=0.60",Signals!$E:$E,"&lt;0.70",Signals!$N:$N,"NO")),"")</f>
        <v/>
      </c>
      <c r="H67" s="36">
        <f>COUNTIFS(Signals!$A:$A,$A67,Signals!$E:$E,"&gt;=0.60",Signals!$E:$E,"&lt;0.70",Signals!$N:$N,"YES")+COUNTIFS(Signals!$A:$A,$A67,Signals!$E:$E,"&gt;=0.60",Signals!$E:$E,"&lt;0.70",Signals!$N:$N,"NO")</f>
        <v>0</v>
      </c>
      <c r="I67" s="38" t="str">
        <f t="shared" si="1"/>
        <v>insufficient data</v>
      </c>
    </row>
    <row r="68" spans="1:9" ht="15" customHeight="1" x14ac:dyDescent="0.25">
      <c r="A68" s="1" t="s">
        <v>219</v>
      </c>
      <c r="B68" s="36">
        <f>COUNTIFS(Signals!$A:$A,$A68,Signals!$N:$N,"YES")+COUNTIFS(Signals!$A:$A,$A68,Signals!$N:$N,"NO")</f>
        <v>0</v>
      </c>
      <c r="C68" s="37" t="str">
        <f>IFERROR(COUNTIFS(Signals!$A:$A,$A68,Signals!$E:$E,"&gt;=0.40",Signals!$E:$E,"&lt;0.50",Signals!$N:$N,"YES")/(COUNTIFS(Signals!$A:$A,$A68,Signals!$E:$E,"&gt;=0.40",Signals!$E:$E,"&lt;0.50",Signals!$N:$N,"YES")+COUNTIFS(Signals!$A:$A,$A68,Signals!$E:$E,"&gt;=0.40",Signals!$E:$E,"&lt;0.50",Signals!$N:$N,"NO")),"")</f>
        <v/>
      </c>
      <c r="D68" s="36">
        <f>COUNTIFS(Signals!$A:$A,$A68,Signals!$E:$E,"&gt;=0.40",Signals!$E:$E,"&lt;0.50",Signals!$N:$N,"YES")+COUNTIFS(Signals!$A:$A,$A68,Signals!$E:$E,"&gt;=0.40",Signals!$E:$E,"&lt;0.50",Signals!$N:$N,"NO")</f>
        <v>0</v>
      </c>
      <c r="E68" s="37" t="str">
        <f>IFERROR(COUNTIFS(Signals!$A:$A,$A68,Signals!$E:$E,"&gt;=0.50",Signals!$E:$E,"&lt;0.60",Signals!$N:$N,"YES")/(COUNTIFS(Signals!$A:$A,$A68,Signals!$E:$E,"&gt;=0.50",Signals!$E:$E,"&lt;0.60",Signals!$N:$N,"YES")+COUNTIFS(Signals!$A:$A,$A68,Signals!$E:$E,"&gt;=0.50",Signals!$E:$E,"&lt;0.60",Signals!$N:$N,"NO")),"")</f>
        <v/>
      </c>
      <c r="F68" s="36">
        <f>COUNTIFS(Signals!$A:$A,$A68,Signals!$E:$E,"&gt;=0.50",Signals!$E:$E,"&lt;0.60",Signals!$N:$N,"YES")+COUNTIFS(Signals!$A:$A,$A68,Signals!$E:$E,"&gt;=0.50",Signals!$E:$E,"&lt;0.60",Signals!$N:$N,"NO")</f>
        <v>0</v>
      </c>
      <c r="G68" s="37" t="str">
        <f>IFERROR(COUNTIFS(Signals!$A:$A,$A68,Signals!$E:$E,"&gt;=0.60",Signals!$E:$E,"&lt;0.70",Signals!$N:$N,"YES")/(COUNTIFS(Signals!$A:$A,$A68,Signals!$E:$E,"&gt;=0.60",Signals!$E:$E,"&lt;0.70",Signals!$N:$N,"YES")+COUNTIFS(Signals!$A:$A,$A68,Signals!$E:$E,"&gt;=0.60",Signals!$E:$E,"&lt;0.70",Signals!$N:$N,"NO")),"")</f>
        <v/>
      </c>
      <c r="H68" s="36">
        <f>COUNTIFS(Signals!$A:$A,$A68,Signals!$E:$E,"&gt;=0.60",Signals!$E:$E,"&lt;0.70",Signals!$N:$N,"YES")+COUNTIFS(Signals!$A:$A,$A68,Signals!$E:$E,"&gt;=0.60",Signals!$E:$E,"&lt;0.70",Signals!$N:$N,"NO")</f>
        <v>0</v>
      </c>
      <c r="I68" s="38" t="str">
        <f t="shared" si="1"/>
        <v>insufficient data</v>
      </c>
    </row>
    <row r="69" spans="1:9" ht="15" customHeight="1" x14ac:dyDescent="0.25">
      <c r="A69" s="1" t="s">
        <v>220</v>
      </c>
      <c r="B69" s="36">
        <f>COUNTIFS(Signals!$A:$A,$A69,Signals!$N:$N,"YES")+COUNTIFS(Signals!$A:$A,$A69,Signals!$N:$N,"NO")</f>
        <v>0</v>
      </c>
      <c r="C69" s="37" t="str">
        <f>IFERROR(COUNTIFS(Signals!$A:$A,$A69,Signals!$E:$E,"&gt;=0.40",Signals!$E:$E,"&lt;0.50",Signals!$N:$N,"YES")/(COUNTIFS(Signals!$A:$A,$A69,Signals!$E:$E,"&gt;=0.40",Signals!$E:$E,"&lt;0.50",Signals!$N:$N,"YES")+COUNTIFS(Signals!$A:$A,$A69,Signals!$E:$E,"&gt;=0.40",Signals!$E:$E,"&lt;0.50",Signals!$N:$N,"NO")),"")</f>
        <v/>
      </c>
      <c r="D69" s="36">
        <f>COUNTIFS(Signals!$A:$A,$A69,Signals!$E:$E,"&gt;=0.40",Signals!$E:$E,"&lt;0.50",Signals!$N:$N,"YES")+COUNTIFS(Signals!$A:$A,$A69,Signals!$E:$E,"&gt;=0.40",Signals!$E:$E,"&lt;0.50",Signals!$N:$N,"NO")</f>
        <v>0</v>
      </c>
      <c r="E69" s="37" t="str">
        <f>IFERROR(COUNTIFS(Signals!$A:$A,$A69,Signals!$E:$E,"&gt;=0.50",Signals!$E:$E,"&lt;0.60",Signals!$N:$N,"YES")/(COUNTIFS(Signals!$A:$A,$A69,Signals!$E:$E,"&gt;=0.50",Signals!$E:$E,"&lt;0.60",Signals!$N:$N,"YES")+COUNTIFS(Signals!$A:$A,$A69,Signals!$E:$E,"&gt;=0.50",Signals!$E:$E,"&lt;0.60",Signals!$N:$N,"NO")),"")</f>
        <v/>
      </c>
      <c r="F69" s="36">
        <f>COUNTIFS(Signals!$A:$A,$A69,Signals!$E:$E,"&gt;=0.50",Signals!$E:$E,"&lt;0.60",Signals!$N:$N,"YES")+COUNTIFS(Signals!$A:$A,$A69,Signals!$E:$E,"&gt;=0.50",Signals!$E:$E,"&lt;0.60",Signals!$N:$N,"NO")</f>
        <v>0</v>
      </c>
      <c r="G69" s="37" t="str">
        <f>IFERROR(COUNTIFS(Signals!$A:$A,$A69,Signals!$E:$E,"&gt;=0.60",Signals!$E:$E,"&lt;0.70",Signals!$N:$N,"YES")/(COUNTIFS(Signals!$A:$A,$A69,Signals!$E:$E,"&gt;=0.60",Signals!$E:$E,"&lt;0.70",Signals!$N:$N,"YES")+COUNTIFS(Signals!$A:$A,$A69,Signals!$E:$E,"&gt;=0.60",Signals!$E:$E,"&lt;0.70",Signals!$N:$N,"NO")),"")</f>
        <v/>
      </c>
      <c r="H69" s="36">
        <f>COUNTIFS(Signals!$A:$A,$A69,Signals!$E:$E,"&gt;=0.60",Signals!$E:$E,"&lt;0.70",Signals!$N:$N,"YES")+COUNTIFS(Signals!$A:$A,$A69,Signals!$E:$E,"&gt;=0.60",Signals!$E:$E,"&lt;0.70",Signals!$N:$N,"NO")</f>
        <v>0</v>
      </c>
      <c r="I69" s="38" t="str">
        <f t="shared" si="1"/>
        <v>insufficient data</v>
      </c>
    </row>
    <row r="70" spans="1:9" ht="15" customHeight="1" x14ac:dyDescent="0.25">
      <c r="A70" s="1" t="s">
        <v>221</v>
      </c>
      <c r="B70" s="36">
        <f>COUNTIFS(Signals!$A:$A,$A70,Signals!$N:$N,"YES")+COUNTIFS(Signals!$A:$A,$A70,Signals!$N:$N,"NO")</f>
        <v>0</v>
      </c>
      <c r="C70" s="37" t="str">
        <f>IFERROR(COUNTIFS(Signals!$A:$A,$A70,Signals!$E:$E,"&gt;=0.40",Signals!$E:$E,"&lt;0.50",Signals!$N:$N,"YES")/(COUNTIFS(Signals!$A:$A,$A70,Signals!$E:$E,"&gt;=0.40",Signals!$E:$E,"&lt;0.50",Signals!$N:$N,"YES")+COUNTIFS(Signals!$A:$A,$A70,Signals!$E:$E,"&gt;=0.40",Signals!$E:$E,"&lt;0.50",Signals!$N:$N,"NO")),"")</f>
        <v/>
      </c>
      <c r="D70" s="36">
        <f>COUNTIFS(Signals!$A:$A,$A70,Signals!$E:$E,"&gt;=0.40",Signals!$E:$E,"&lt;0.50",Signals!$N:$N,"YES")+COUNTIFS(Signals!$A:$A,$A70,Signals!$E:$E,"&gt;=0.40",Signals!$E:$E,"&lt;0.50",Signals!$N:$N,"NO")</f>
        <v>0</v>
      </c>
      <c r="E70" s="37" t="str">
        <f>IFERROR(COUNTIFS(Signals!$A:$A,$A70,Signals!$E:$E,"&gt;=0.50",Signals!$E:$E,"&lt;0.60",Signals!$N:$N,"YES")/(COUNTIFS(Signals!$A:$A,$A70,Signals!$E:$E,"&gt;=0.50",Signals!$E:$E,"&lt;0.60",Signals!$N:$N,"YES")+COUNTIFS(Signals!$A:$A,$A70,Signals!$E:$E,"&gt;=0.50",Signals!$E:$E,"&lt;0.60",Signals!$N:$N,"NO")),"")</f>
        <v/>
      </c>
      <c r="F70" s="36">
        <f>COUNTIFS(Signals!$A:$A,$A70,Signals!$E:$E,"&gt;=0.50",Signals!$E:$E,"&lt;0.60",Signals!$N:$N,"YES")+COUNTIFS(Signals!$A:$A,$A70,Signals!$E:$E,"&gt;=0.50",Signals!$E:$E,"&lt;0.60",Signals!$N:$N,"NO")</f>
        <v>0</v>
      </c>
      <c r="G70" s="37" t="str">
        <f>IFERROR(COUNTIFS(Signals!$A:$A,$A70,Signals!$E:$E,"&gt;=0.60",Signals!$E:$E,"&lt;0.70",Signals!$N:$N,"YES")/(COUNTIFS(Signals!$A:$A,$A70,Signals!$E:$E,"&gt;=0.60",Signals!$E:$E,"&lt;0.70",Signals!$N:$N,"YES")+COUNTIFS(Signals!$A:$A,$A70,Signals!$E:$E,"&gt;=0.60",Signals!$E:$E,"&lt;0.70",Signals!$N:$N,"NO")),"")</f>
        <v/>
      </c>
      <c r="H70" s="36">
        <f>COUNTIFS(Signals!$A:$A,$A70,Signals!$E:$E,"&gt;=0.60",Signals!$E:$E,"&lt;0.70",Signals!$N:$N,"YES")+COUNTIFS(Signals!$A:$A,$A70,Signals!$E:$E,"&gt;=0.60",Signals!$E:$E,"&lt;0.70",Signals!$N:$N,"NO")</f>
        <v>0</v>
      </c>
      <c r="I70" s="38" t="str">
        <f t="shared" si="1"/>
        <v>insufficient data</v>
      </c>
    </row>
    <row r="71" spans="1:9" ht="15" customHeight="1" x14ac:dyDescent="0.25">
      <c r="A71" s="1" t="s">
        <v>222</v>
      </c>
      <c r="B71" s="36">
        <f>COUNTIFS(Signals!$A:$A,$A71,Signals!$N:$N,"YES")+COUNTIFS(Signals!$A:$A,$A71,Signals!$N:$N,"NO")</f>
        <v>0</v>
      </c>
      <c r="C71" s="37" t="str">
        <f>IFERROR(COUNTIFS(Signals!$A:$A,$A71,Signals!$E:$E,"&gt;=0.40",Signals!$E:$E,"&lt;0.50",Signals!$N:$N,"YES")/(COUNTIFS(Signals!$A:$A,$A71,Signals!$E:$E,"&gt;=0.40",Signals!$E:$E,"&lt;0.50",Signals!$N:$N,"YES")+COUNTIFS(Signals!$A:$A,$A71,Signals!$E:$E,"&gt;=0.40",Signals!$E:$E,"&lt;0.50",Signals!$N:$N,"NO")),"")</f>
        <v/>
      </c>
      <c r="D71" s="36">
        <f>COUNTIFS(Signals!$A:$A,$A71,Signals!$E:$E,"&gt;=0.40",Signals!$E:$E,"&lt;0.50",Signals!$N:$N,"YES")+COUNTIFS(Signals!$A:$A,$A71,Signals!$E:$E,"&gt;=0.40",Signals!$E:$E,"&lt;0.50",Signals!$N:$N,"NO")</f>
        <v>0</v>
      </c>
      <c r="E71" s="37" t="str">
        <f>IFERROR(COUNTIFS(Signals!$A:$A,$A71,Signals!$E:$E,"&gt;=0.50",Signals!$E:$E,"&lt;0.60",Signals!$N:$N,"YES")/(COUNTIFS(Signals!$A:$A,$A71,Signals!$E:$E,"&gt;=0.50",Signals!$E:$E,"&lt;0.60",Signals!$N:$N,"YES")+COUNTIFS(Signals!$A:$A,$A71,Signals!$E:$E,"&gt;=0.50",Signals!$E:$E,"&lt;0.60",Signals!$N:$N,"NO")),"")</f>
        <v/>
      </c>
      <c r="F71" s="36">
        <f>COUNTIFS(Signals!$A:$A,$A71,Signals!$E:$E,"&gt;=0.50",Signals!$E:$E,"&lt;0.60",Signals!$N:$N,"YES")+COUNTIFS(Signals!$A:$A,$A71,Signals!$E:$E,"&gt;=0.50",Signals!$E:$E,"&lt;0.60",Signals!$N:$N,"NO")</f>
        <v>0</v>
      </c>
      <c r="G71" s="37" t="str">
        <f>IFERROR(COUNTIFS(Signals!$A:$A,$A71,Signals!$E:$E,"&gt;=0.60",Signals!$E:$E,"&lt;0.70",Signals!$N:$N,"YES")/(COUNTIFS(Signals!$A:$A,$A71,Signals!$E:$E,"&gt;=0.60",Signals!$E:$E,"&lt;0.70",Signals!$N:$N,"YES")+COUNTIFS(Signals!$A:$A,$A71,Signals!$E:$E,"&gt;=0.60",Signals!$E:$E,"&lt;0.70",Signals!$N:$N,"NO")),"")</f>
        <v/>
      </c>
      <c r="H71" s="36">
        <f>COUNTIFS(Signals!$A:$A,$A71,Signals!$E:$E,"&gt;=0.60",Signals!$E:$E,"&lt;0.70",Signals!$N:$N,"YES")+COUNTIFS(Signals!$A:$A,$A71,Signals!$E:$E,"&gt;=0.60",Signals!$E:$E,"&lt;0.70",Signals!$N:$N,"NO")</f>
        <v>0</v>
      </c>
      <c r="I71" s="38" t="str">
        <f t="shared" si="1"/>
        <v>insufficient data</v>
      </c>
    </row>
    <row r="72" spans="1:9" ht="15" customHeight="1" x14ac:dyDescent="0.25">
      <c r="A72" s="1" t="s">
        <v>223</v>
      </c>
      <c r="B72" s="36">
        <f>COUNTIFS(Signals!$A:$A,$A72,Signals!$N:$N,"YES")+COUNTIFS(Signals!$A:$A,$A72,Signals!$N:$N,"NO")</f>
        <v>0</v>
      </c>
      <c r="C72" s="37" t="str">
        <f>IFERROR(COUNTIFS(Signals!$A:$A,$A72,Signals!$E:$E,"&gt;=0.40",Signals!$E:$E,"&lt;0.50",Signals!$N:$N,"YES")/(COUNTIFS(Signals!$A:$A,$A72,Signals!$E:$E,"&gt;=0.40",Signals!$E:$E,"&lt;0.50",Signals!$N:$N,"YES")+COUNTIFS(Signals!$A:$A,$A72,Signals!$E:$E,"&gt;=0.40",Signals!$E:$E,"&lt;0.50",Signals!$N:$N,"NO")),"")</f>
        <v/>
      </c>
      <c r="D72" s="36">
        <f>COUNTIFS(Signals!$A:$A,$A72,Signals!$E:$E,"&gt;=0.40",Signals!$E:$E,"&lt;0.50",Signals!$N:$N,"YES")+COUNTIFS(Signals!$A:$A,$A72,Signals!$E:$E,"&gt;=0.40",Signals!$E:$E,"&lt;0.50",Signals!$N:$N,"NO")</f>
        <v>0</v>
      </c>
      <c r="E72" s="37" t="str">
        <f>IFERROR(COUNTIFS(Signals!$A:$A,$A72,Signals!$E:$E,"&gt;=0.50",Signals!$E:$E,"&lt;0.60",Signals!$N:$N,"YES")/(COUNTIFS(Signals!$A:$A,$A72,Signals!$E:$E,"&gt;=0.50",Signals!$E:$E,"&lt;0.60",Signals!$N:$N,"YES")+COUNTIFS(Signals!$A:$A,$A72,Signals!$E:$E,"&gt;=0.50",Signals!$E:$E,"&lt;0.60",Signals!$N:$N,"NO")),"")</f>
        <v/>
      </c>
      <c r="F72" s="36">
        <f>COUNTIFS(Signals!$A:$A,$A72,Signals!$E:$E,"&gt;=0.50",Signals!$E:$E,"&lt;0.60",Signals!$N:$N,"YES")+COUNTIFS(Signals!$A:$A,$A72,Signals!$E:$E,"&gt;=0.50",Signals!$E:$E,"&lt;0.60",Signals!$N:$N,"NO")</f>
        <v>0</v>
      </c>
      <c r="G72" s="37" t="str">
        <f>IFERROR(COUNTIFS(Signals!$A:$A,$A72,Signals!$E:$E,"&gt;=0.60",Signals!$E:$E,"&lt;0.70",Signals!$N:$N,"YES")/(COUNTIFS(Signals!$A:$A,$A72,Signals!$E:$E,"&gt;=0.60",Signals!$E:$E,"&lt;0.70",Signals!$N:$N,"YES")+COUNTIFS(Signals!$A:$A,$A72,Signals!$E:$E,"&gt;=0.60",Signals!$E:$E,"&lt;0.70",Signals!$N:$N,"NO")),"")</f>
        <v/>
      </c>
      <c r="H72" s="36">
        <f>COUNTIFS(Signals!$A:$A,$A72,Signals!$E:$E,"&gt;=0.60",Signals!$E:$E,"&lt;0.70",Signals!$N:$N,"YES")+COUNTIFS(Signals!$A:$A,$A72,Signals!$E:$E,"&gt;=0.60",Signals!$E:$E,"&lt;0.70",Signals!$N:$N,"NO")</f>
        <v>0</v>
      </c>
      <c r="I72" s="38" t="str">
        <f t="shared" si="1"/>
        <v>insufficient data</v>
      </c>
    </row>
    <row r="73" spans="1:9" ht="15" customHeight="1" x14ac:dyDescent="0.25">
      <c r="A73" s="1" t="s">
        <v>224</v>
      </c>
      <c r="B73" s="36">
        <f>COUNTIFS(Signals!$A:$A,$A73,Signals!$N:$N,"YES")+COUNTIFS(Signals!$A:$A,$A73,Signals!$N:$N,"NO")</f>
        <v>0</v>
      </c>
      <c r="C73" s="37" t="str">
        <f>IFERROR(COUNTIFS(Signals!$A:$A,$A73,Signals!$E:$E,"&gt;=0.40",Signals!$E:$E,"&lt;0.50",Signals!$N:$N,"YES")/(COUNTIFS(Signals!$A:$A,$A73,Signals!$E:$E,"&gt;=0.40",Signals!$E:$E,"&lt;0.50",Signals!$N:$N,"YES")+COUNTIFS(Signals!$A:$A,$A73,Signals!$E:$E,"&gt;=0.40",Signals!$E:$E,"&lt;0.50",Signals!$N:$N,"NO")),"")</f>
        <v/>
      </c>
      <c r="D73" s="36">
        <f>COUNTIFS(Signals!$A:$A,$A73,Signals!$E:$E,"&gt;=0.40",Signals!$E:$E,"&lt;0.50",Signals!$N:$N,"YES")+COUNTIFS(Signals!$A:$A,$A73,Signals!$E:$E,"&gt;=0.40",Signals!$E:$E,"&lt;0.50",Signals!$N:$N,"NO")</f>
        <v>0</v>
      </c>
      <c r="E73" s="37" t="str">
        <f>IFERROR(COUNTIFS(Signals!$A:$A,$A73,Signals!$E:$E,"&gt;=0.50",Signals!$E:$E,"&lt;0.60",Signals!$N:$N,"YES")/(COUNTIFS(Signals!$A:$A,$A73,Signals!$E:$E,"&gt;=0.50",Signals!$E:$E,"&lt;0.60",Signals!$N:$N,"YES")+COUNTIFS(Signals!$A:$A,$A73,Signals!$E:$E,"&gt;=0.50",Signals!$E:$E,"&lt;0.60",Signals!$N:$N,"NO")),"")</f>
        <v/>
      </c>
      <c r="F73" s="36">
        <f>COUNTIFS(Signals!$A:$A,$A73,Signals!$E:$E,"&gt;=0.50",Signals!$E:$E,"&lt;0.60",Signals!$N:$N,"YES")+COUNTIFS(Signals!$A:$A,$A73,Signals!$E:$E,"&gt;=0.50",Signals!$E:$E,"&lt;0.60",Signals!$N:$N,"NO")</f>
        <v>0</v>
      </c>
      <c r="G73" s="37" t="str">
        <f>IFERROR(COUNTIFS(Signals!$A:$A,$A73,Signals!$E:$E,"&gt;=0.60",Signals!$E:$E,"&lt;0.70",Signals!$N:$N,"YES")/(COUNTIFS(Signals!$A:$A,$A73,Signals!$E:$E,"&gt;=0.60",Signals!$E:$E,"&lt;0.70",Signals!$N:$N,"YES")+COUNTIFS(Signals!$A:$A,$A73,Signals!$E:$E,"&gt;=0.60",Signals!$E:$E,"&lt;0.70",Signals!$N:$N,"NO")),"")</f>
        <v/>
      </c>
      <c r="H73" s="36">
        <f>COUNTIFS(Signals!$A:$A,$A73,Signals!$E:$E,"&gt;=0.60",Signals!$E:$E,"&lt;0.70",Signals!$N:$N,"YES")+COUNTIFS(Signals!$A:$A,$A73,Signals!$E:$E,"&gt;=0.60",Signals!$E:$E,"&lt;0.70",Signals!$N:$N,"NO")</f>
        <v>0</v>
      </c>
      <c r="I73" s="38" t="str">
        <f t="shared" si="1"/>
        <v>insufficient data</v>
      </c>
    </row>
    <row r="74" spans="1:9" ht="15" customHeight="1" x14ac:dyDescent="0.25">
      <c r="A74" s="1" t="s">
        <v>225</v>
      </c>
      <c r="B74" s="36">
        <f>COUNTIFS(Signals!$A:$A,$A74,Signals!$N:$N,"YES")+COUNTIFS(Signals!$A:$A,$A74,Signals!$N:$N,"NO")</f>
        <v>0</v>
      </c>
      <c r="C74" s="37" t="str">
        <f>IFERROR(COUNTIFS(Signals!$A:$A,$A74,Signals!$E:$E,"&gt;=0.40",Signals!$E:$E,"&lt;0.50",Signals!$N:$N,"YES")/(COUNTIFS(Signals!$A:$A,$A74,Signals!$E:$E,"&gt;=0.40",Signals!$E:$E,"&lt;0.50",Signals!$N:$N,"YES")+COUNTIFS(Signals!$A:$A,$A74,Signals!$E:$E,"&gt;=0.40",Signals!$E:$E,"&lt;0.50",Signals!$N:$N,"NO")),"")</f>
        <v/>
      </c>
      <c r="D74" s="36">
        <f>COUNTIFS(Signals!$A:$A,$A74,Signals!$E:$E,"&gt;=0.40",Signals!$E:$E,"&lt;0.50",Signals!$N:$N,"YES")+COUNTIFS(Signals!$A:$A,$A74,Signals!$E:$E,"&gt;=0.40",Signals!$E:$E,"&lt;0.50",Signals!$N:$N,"NO")</f>
        <v>0</v>
      </c>
      <c r="E74" s="37" t="str">
        <f>IFERROR(COUNTIFS(Signals!$A:$A,$A74,Signals!$E:$E,"&gt;=0.50",Signals!$E:$E,"&lt;0.60",Signals!$N:$N,"YES")/(COUNTIFS(Signals!$A:$A,$A74,Signals!$E:$E,"&gt;=0.50",Signals!$E:$E,"&lt;0.60",Signals!$N:$N,"YES")+COUNTIFS(Signals!$A:$A,$A74,Signals!$E:$E,"&gt;=0.50",Signals!$E:$E,"&lt;0.60",Signals!$N:$N,"NO")),"")</f>
        <v/>
      </c>
      <c r="F74" s="36">
        <f>COUNTIFS(Signals!$A:$A,$A74,Signals!$E:$E,"&gt;=0.50",Signals!$E:$E,"&lt;0.60",Signals!$N:$N,"YES")+COUNTIFS(Signals!$A:$A,$A74,Signals!$E:$E,"&gt;=0.50",Signals!$E:$E,"&lt;0.60",Signals!$N:$N,"NO")</f>
        <v>0</v>
      </c>
      <c r="G74" s="37" t="str">
        <f>IFERROR(COUNTIFS(Signals!$A:$A,$A74,Signals!$E:$E,"&gt;=0.60",Signals!$E:$E,"&lt;0.70",Signals!$N:$N,"YES")/(COUNTIFS(Signals!$A:$A,$A74,Signals!$E:$E,"&gt;=0.60",Signals!$E:$E,"&lt;0.70",Signals!$N:$N,"YES")+COUNTIFS(Signals!$A:$A,$A74,Signals!$E:$E,"&gt;=0.60",Signals!$E:$E,"&lt;0.70",Signals!$N:$N,"NO")),"")</f>
        <v/>
      </c>
      <c r="H74" s="36">
        <f>COUNTIFS(Signals!$A:$A,$A74,Signals!$E:$E,"&gt;=0.60",Signals!$E:$E,"&lt;0.70",Signals!$N:$N,"YES")+COUNTIFS(Signals!$A:$A,$A74,Signals!$E:$E,"&gt;=0.60",Signals!$E:$E,"&lt;0.70",Signals!$N:$N,"NO")</f>
        <v>0</v>
      </c>
      <c r="I74" s="38" t="str">
        <f t="shared" si="1"/>
        <v>insufficient data</v>
      </c>
    </row>
    <row r="75" spans="1:9" ht="15" customHeight="1" x14ac:dyDescent="0.25">
      <c r="A75" s="1" t="s">
        <v>226</v>
      </c>
      <c r="B75" s="36">
        <f>COUNTIFS(Signals!$A:$A,$A75,Signals!$N:$N,"YES")+COUNTIFS(Signals!$A:$A,$A75,Signals!$N:$N,"NO")</f>
        <v>0</v>
      </c>
      <c r="C75" s="37" t="str">
        <f>IFERROR(COUNTIFS(Signals!$A:$A,$A75,Signals!$E:$E,"&gt;=0.40",Signals!$E:$E,"&lt;0.50",Signals!$N:$N,"YES")/(COUNTIFS(Signals!$A:$A,$A75,Signals!$E:$E,"&gt;=0.40",Signals!$E:$E,"&lt;0.50",Signals!$N:$N,"YES")+COUNTIFS(Signals!$A:$A,$A75,Signals!$E:$E,"&gt;=0.40",Signals!$E:$E,"&lt;0.50",Signals!$N:$N,"NO")),"")</f>
        <v/>
      </c>
      <c r="D75" s="36">
        <f>COUNTIFS(Signals!$A:$A,$A75,Signals!$E:$E,"&gt;=0.40",Signals!$E:$E,"&lt;0.50",Signals!$N:$N,"YES")+COUNTIFS(Signals!$A:$A,$A75,Signals!$E:$E,"&gt;=0.40",Signals!$E:$E,"&lt;0.50",Signals!$N:$N,"NO")</f>
        <v>0</v>
      </c>
      <c r="E75" s="37" t="str">
        <f>IFERROR(COUNTIFS(Signals!$A:$A,$A75,Signals!$E:$E,"&gt;=0.50",Signals!$E:$E,"&lt;0.60",Signals!$N:$N,"YES")/(COUNTIFS(Signals!$A:$A,$A75,Signals!$E:$E,"&gt;=0.50",Signals!$E:$E,"&lt;0.60",Signals!$N:$N,"YES")+COUNTIFS(Signals!$A:$A,$A75,Signals!$E:$E,"&gt;=0.50",Signals!$E:$E,"&lt;0.60",Signals!$N:$N,"NO")),"")</f>
        <v/>
      </c>
      <c r="F75" s="36">
        <f>COUNTIFS(Signals!$A:$A,$A75,Signals!$E:$E,"&gt;=0.50",Signals!$E:$E,"&lt;0.60",Signals!$N:$N,"YES")+COUNTIFS(Signals!$A:$A,$A75,Signals!$E:$E,"&gt;=0.50",Signals!$E:$E,"&lt;0.60",Signals!$N:$N,"NO")</f>
        <v>0</v>
      </c>
      <c r="G75" s="37" t="str">
        <f>IFERROR(COUNTIFS(Signals!$A:$A,$A75,Signals!$E:$E,"&gt;=0.60",Signals!$E:$E,"&lt;0.70",Signals!$N:$N,"YES")/(COUNTIFS(Signals!$A:$A,$A75,Signals!$E:$E,"&gt;=0.60",Signals!$E:$E,"&lt;0.70",Signals!$N:$N,"YES")+COUNTIFS(Signals!$A:$A,$A75,Signals!$E:$E,"&gt;=0.60",Signals!$E:$E,"&lt;0.70",Signals!$N:$N,"NO")),"")</f>
        <v/>
      </c>
      <c r="H75" s="36">
        <f>COUNTIFS(Signals!$A:$A,$A75,Signals!$E:$E,"&gt;=0.60",Signals!$E:$E,"&lt;0.70",Signals!$N:$N,"YES")+COUNTIFS(Signals!$A:$A,$A75,Signals!$E:$E,"&gt;=0.60",Signals!$E:$E,"&lt;0.70",Signals!$N:$N,"NO")</f>
        <v>0</v>
      </c>
      <c r="I75" s="38" t="str">
        <f t="shared" si="1"/>
        <v>insufficient data</v>
      </c>
    </row>
    <row r="76" spans="1:9" ht="15" customHeight="1" x14ac:dyDescent="0.25">
      <c r="A76" s="1" t="s">
        <v>227</v>
      </c>
      <c r="B76" s="36">
        <f>COUNTIFS(Signals!$A:$A,$A76,Signals!$N:$N,"YES")+COUNTIFS(Signals!$A:$A,$A76,Signals!$N:$N,"NO")</f>
        <v>0</v>
      </c>
      <c r="C76" s="37" t="str">
        <f>IFERROR(COUNTIFS(Signals!$A:$A,$A76,Signals!$E:$E,"&gt;=0.40",Signals!$E:$E,"&lt;0.50",Signals!$N:$N,"YES")/(COUNTIFS(Signals!$A:$A,$A76,Signals!$E:$E,"&gt;=0.40",Signals!$E:$E,"&lt;0.50",Signals!$N:$N,"YES")+COUNTIFS(Signals!$A:$A,$A76,Signals!$E:$E,"&gt;=0.40",Signals!$E:$E,"&lt;0.50",Signals!$N:$N,"NO")),"")</f>
        <v/>
      </c>
      <c r="D76" s="36">
        <f>COUNTIFS(Signals!$A:$A,$A76,Signals!$E:$E,"&gt;=0.40",Signals!$E:$E,"&lt;0.50",Signals!$N:$N,"YES")+COUNTIFS(Signals!$A:$A,$A76,Signals!$E:$E,"&gt;=0.40",Signals!$E:$E,"&lt;0.50",Signals!$N:$N,"NO")</f>
        <v>0</v>
      </c>
      <c r="E76" s="37" t="str">
        <f>IFERROR(COUNTIFS(Signals!$A:$A,$A76,Signals!$E:$E,"&gt;=0.50",Signals!$E:$E,"&lt;0.60",Signals!$N:$N,"YES")/(COUNTIFS(Signals!$A:$A,$A76,Signals!$E:$E,"&gt;=0.50",Signals!$E:$E,"&lt;0.60",Signals!$N:$N,"YES")+COUNTIFS(Signals!$A:$A,$A76,Signals!$E:$E,"&gt;=0.50",Signals!$E:$E,"&lt;0.60",Signals!$N:$N,"NO")),"")</f>
        <v/>
      </c>
      <c r="F76" s="36">
        <f>COUNTIFS(Signals!$A:$A,$A76,Signals!$E:$E,"&gt;=0.50",Signals!$E:$E,"&lt;0.60",Signals!$N:$N,"YES")+COUNTIFS(Signals!$A:$A,$A76,Signals!$E:$E,"&gt;=0.50",Signals!$E:$E,"&lt;0.60",Signals!$N:$N,"NO")</f>
        <v>0</v>
      </c>
      <c r="G76" s="37" t="str">
        <f>IFERROR(COUNTIFS(Signals!$A:$A,$A76,Signals!$E:$E,"&gt;=0.60",Signals!$E:$E,"&lt;0.70",Signals!$N:$N,"YES")/(COUNTIFS(Signals!$A:$A,$A76,Signals!$E:$E,"&gt;=0.60",Signals!$E:$E,"&lt;0.70",Signals!$N:$N,"YES")+COUNTIFS(Signals!$A:$A,$A76,Signals!$E:$E,"&gt;=0.60",Signals!$E:$E,"&lt;0.70",Signals!$N:$N,"NO")),"")</f>
        <v/>
      </c>
      <c r="H76" s="36">
        <f>COUNTIFS(Signals!$A:$A,$A76,Signals!$E:$E,"&gt;=0.60",Signals!$E:$E,"&lt;0.70",Signals!$N:$N,"YES")+COUNTIFS(Signals!$A:$A,$A76,Signals!$E:$E,"&gt;=0.60",Signals!$E:$E,"&lt;0.70",Signals!$N:$N,"NO")</f>
        <v>0</v>
      </c>
      <c r="I76" s="38" t="str">
        <f t="shared" si="1"/>
        <v>insufficient data</v>
      </c>
    </row>
    <row r="77" spans="1:9" ht="15" customHeight="1" x14ac:dyDescent="0.25">
      <c r="A77" s="1" t="s">
        <v>228</v>
      </c>
      <c r="B77" s="36">
        <f>COUNTIFS(Signals!$A:$A,$A77,Signals!$N:$N,"YES")+COUNTIFS(Signals!$A:$A,$A77,Signals!$N:$N,"NO")</f>
        <v>0</v>
      </c>
      <c r="C77" s="37" t="str">
        <f>IFERROR(COUNTIFS(Signals!$A:$A,$A77,Signals!$E:$E,"&gt;=0.40",Signals!$E:$E,"&lt;0.50",Signals!$N:$N,"YES")/(COUNTIFS(Signals!$A:$A,$A77,Signals!$E:$E,"&gt;=0.40",Signals!$E:$E,"&lt;0.50",Signals!$N:$N,"YES")+COUNTIFS(Signals!$A:$A,$A77,Signals!$E:$E,"&gt;=0.40",Signals!$E:$E,"&lt;0.50",Signals!$N:$N,"NO")),"")</f>
        <v/>
      </c>
      <c r="D77" s="36">
        <f>COUNTIFS(Signals!$A:$A,$A77,Signals!$E:$E,"&gt;=0.40",Signals!$E:$E,"&lt;0.50",Signals!$N:$N,"YES")+COUNTIFS(Signals!$A:$A,$A77,Signals!$E:$E,"&gt;=0.40",Signals!$E:$E,"&lt;0.50",Signals!$N:$N,"NO")</f>
        <v>0</v>
      </c>
      <c r="E77" s="37" t="str">
        <f>IFERROR(COUNTIFS(Signals!$A:$A,$A77,Signals!$E:$E,"&gt;=0.50",Signals!$E:$E,"&lt;0.60",Signals!$N:$N,"YES")/(COUNTIFS(Signals!$A:$A,$A77,Signals!$E:$E,"&gt;=0.50",Signals!$E:$E,"&lt;0.60",Signals!$N:$N,"YES")+COUNTIFS(Signals!$A:$A,$A77,Signals!$E:$E,"&gt;=0.50",Signals!$E:$E,"&lt;0.60",Signals!$N:$N,"NO")),"")</f>
        <v/>
      </c>
      <c r="F77" s="36">
        <f>COUNTIFS(Signals!$A:$A,$A77,Signals!$E:$E,"&gt;=0.50",Signals!$E:$E,"&lt;0.60",Signals!$N:$N,"YES")+COUNTIFS(Signals!$A:$A,$A77,Signals!$E:$E,"&gt;=0.50",Signals!$E:$E,"&lt;0.60",Signals!$N:$N,"NO")</f>
        <v>0</v>
      </c>
      <c r="G77" s="37" t="str">
        <f>IFERROR(COUNTIFS(Signals!$A:$A,$A77,Signals!$E:$E,"&gt;=0.60",Signals!$E:$E,"&lt;0.70",Signals!$N:$N,"YES")/(COUNTIFS(Signals!$A:$A,$A77,Signals!$E:$E,"&gt;=0.60",Signals!$E:$E,"&lt;0.70",Signals!$N:$N,"YES")+COUNTIFS(Signals!$A:$A,$A77,Signals!$E:$E,"&gt;=0.60",Signals!$E:$E,"&lt;0.70",Signals!$N:$N,"NO")),"")</f>
        <v/>
      </c>
      <c r="H77" s="36">
        <f>COUNTIFS(Signals!$A:$A,$A77,Signals!$E:$E,"&gt;=0.60",Signals!$E:$E,"&lt;0.70",Signals!$N:$N,"YES")+COUNTIFS(Signals!$A:$A,$A77,Signals!$E:$E,"&gt;=0.60",Signals!$E:$E,"&lt;0.70",Signals!$N:$N,"NO")</f>
        <v>0</v>
      </c>
      <c r="I77" s="38" t="str">
        <f t="shared" si="1"/>
        <v>insufficient data</v>
      </c>
    </row>
    <row r="78" spans="1:9" ht="15" customHeight="1" x14ac:dyDescent="0.25">
      <c r="A78" s="1" t="s">
        <v>229</v>
      </c>
      <c r="B78" s="36">
        <f>COUNTIFS(Signals!$A:$A,$A78,Signals!$N:$N,"YES")+COUNTIFS(Signals!$A:$A,$A78,Signals!$N:$N,"NO")</f>
        <v>0</v>
      </c>
      <c r="C78" s="37" t="str">
        <f>IFERROR(COUNTIFS(Signals!$A:$A,$A78,Signals!$E:$E,"&gt;=0.40",Signals!$E:$E,"&lt;0.50",Signals!$N:$N,"YES")/(COUNTIFS(Signals!$A:$A,$A78,Signals!$E:$E,"&gt;=0.40",Signals!$E:$E,"&lt;0.50",Signals!$N:$N,"YES")+COUNTIFS(Signals!$A:$A,$A78,Signals!$E:$E,"&gt;=0.40",Signals!$E:$E,"&lt;0.50",Signals!$N:$N,"NO")),"")</f>
        <v/>
      </c>
      <c r="D78" s="36">
        <f>COUNTIFS(Signals!$A:$A,$A78,Signals!$E:$E,"&gt;=0.40",Signals!$E:$E,"&lt;0.50",Signals!$N:$N,"YES")+COUNTIFS(Signals!$A:$A,$A78,Signals!$E:$E,"&gt;=0.40",Signals!$E:$E,"&lt;0.50",Signals!$N:$N,"NO")</f>
        <v>0</v>
      </c>
      <c r="E78" s="37" t="str">
        <f>IFERROR(COUNTIFS(Signals!$A:$A,$A78,Signals!$E:$E,"&gt;=0.50",Signals!$E:$E,"&lt;0.60",Signals!$N:$N,"YES")/(COUNTIFS(Signals!$A:$A,$A78,Signals!$E:$E,"&gt;=0.50",Signals!$E:$E,"&lt;0.60",Signals!$N:$N,"YES")+COUNTIFS(Signals!$A:$A,$A78,Signals!$E:$E,"&gt;=0.50",Signals!$E:$E,"&lt;0.60",Signals!$N:$N,"NO")),"")</f>
        <v/>
      </c>
      <c r="F78" s="36">
        <f>COUNTIFS(Signals!$A:$A,$A78,Signals!$E:$E,"&gt;=0.50",Signals!$E:$E,"&lt;0.60",Signals!$N:$N,"YES")+COUNTIFS(Signals!$A:$A,$A78,Signals!$E:$E,"&gt;=0.50",Signals!$E:$E,"&lt;0.60",Signals!$N:$N,"NO")</f>
        <v>0</v>
      </c>
      <c r="G78" s="37" t="str">
        <f>IFERROR(COUNTIFS(Signals!$A:$A,$A78,Signals!$E:$E,"&gt;=0.60",Signals!$E:$E,"&lt;0.70",Signals!$N:$N,"YES")/(COUNTIFS(Signals!$A:$A,$A78,Signals!$E:$E,"&gt;=0.60",Signals!$E:$E,"&lt;0.70",Signals!$N:$N,"YES")+COUNTIFS(Signals!$A:$A,$A78,Signals!$E:$E,"&gt;=0.60",Signals!$E:$E,"&lt;0.70",Signals!$N:$N,"NO")),"")</f>
        <v/>
      </c>
      <c r="H78" s="36">
        <f>COUNTIFS(Signals!$A:$A,$A78,Signals!$E:$E,"&gt;=0.60",Signals!$E:$E,"&lt;0.70",Signals!$N:$N,"YES")+COUNTIFS(Signals!$A:$A,$A78,Signals!$E:$E,"&gt;=0.60",Signals!$E:$E,"&lt;0.70",Signals!$N:$N,"NO")</f>
        <v>0</v>
      </c>
      <c r="I78" s="38" t="str">
        <f t="shared" si="1"/>
        <v>insufficient data</v>
      </c>
    </row>
    <row r="79" spans="1:9" ht="15" customHeight="1" x14ac:dyDescent="0.25">
      <c r="A79" s="1" t="s">
        <v>230</v>
      </c>
      <c r="B79" s="36">
        <f>COUNTIFS(Signals!$A:$A,$A79,Signals!$N:$N,"YES")+COUNTIFS(Signals!$A:$A,$A79,Signals!$N:$N,"NO")</f>
        <v>0</v>
      </c>
      <c r="C79" s="37" t="str">
        <f>IFERROR(COUNTIFS(Signals!$A:$A,$A79,Signals!$E:$E,"&gt;=0.40",Signals!$E:$E,"&lt;0.50",Signals!$N:$N,"YES")/(COUNTIFS(Signals!$A:$A,$A79,Signals!$E:$E,"&gt;=0.40",Signals!$E:$E,"&lt;0.50",Signals!$N:$N,"YES")+COUNTIFS(Signals!$A:$A,$A79,Signals!$E:$E,"&gt;=0.40",Signals!$E:$E,"&lt;0.50",Signals!$N:$N,"NO")),"")</f>
        <v/>
      </c>
      <c r="D79" s="36">
        <f>COUNTIFS(Signals!$A:$A,$A79,Signals!$E:$E,"&gt;=0.40",Signals!$E:$E,"&lt;0.50",Signals!$N:$N,"YES")+COUNTIFS(Signals!$A:$A,$A79,Signals!$E:$E,"&gt;=0.40",Signals!$E:$E,"&lt;0.50",Signals!$N:$N,"NO")</f>
        <v>0</v>
      </c>
      <c r="E79" s="37" t="str">
        <f>IFERROR(COUNTIFS(Signals!$A:$A,$A79,Signals!$E:$E,"&gt;=0.50",Signals!$E:$E,"&lt;0.60",Signals!$N:$N,"YES")/(COUNTIFS(Signals!$A:$A,$A79,Signals!$E:$E,"&gt;=0.50",Signals!$E:$E,"&lt;0.60",Signals!$N:$N,"YES")+COUNTIFS(Signals!$A:$A,$A79,Signals!$E:$E,"&gt;=0.50",Signals!$E:$E,"&lt;0.60",Signals!$N:$N,"NO")),"")</f>
        <v/>
      </c>
      <c r="F79" s="36">
        <f>COUNTIFS(Signals!$A:$A,$A79,Signals!$E:$E,"&gt;=0.50",Signals!$E:$E,"&lt;0.60",Signals!$N:$N,"YES")+COUNTIFS(Signals!$A:$A,$A79,Signals!$E:$E,"&gt;=0.50",Signals!$E:$E,"&lt;0.60",Signals!$N:$N,"NO")</f>
        <v>0</v>
      </c>
      <c r="G79" s="37" t="str">
        <f>IFERROR(COUNTIFS(Signals!$A:$A,$A79,Signals!$E:$E,"&gt;=0.60",Signals!$E:$E,"&lt;0.70",Signals!$N:$N,"YES")/(COUNTIFS(Signals!$A:$A,$A79,Signals!$E:$E,"&gt;=0.60",Signals!$E:$E,"&lt;0.70",Signals!$N:$N,"YES")+COUNTIFS(Signals!$A:$A,$A79,Signals!$E:$E,"&gt;=0.60",Signals!$E:$E,"&lt;0.70",Signals!$N:$N,"NO")),"")</f>
        <v/>
      </c>
      <c r="H79" s="36">
        <f>COUNTIFS(Signals!$A:$A,$A79,Signals!$E:$E,"&gt;=0.60",Signals!$E:$E,"&lt;0.70",Signals!$N:$N,"YES")+COUNTIFS(Signals!$A:$A,$A79,Signals!$E:$E,"&gt;=0.60",Signals!$E:$E,"&lt;0.70",Signals!$N:$N,"NO")</f>
        <v>0</v>
      </c>
      <c r="I79" s="38" t="str">
        <f t="shared" si="1"/>
        <v>insufficient data</v>
      </c>
    </row>
    <row r="80" spans="1:9" ht="15" customHeight="1" x14ac:dyDescent="0.25">
      <c r="A80" s="1" t="s">
        <v>231</v>
      </c>
      <c r="B80" s="36">
        <f>COUNTIFS(Signals!$A:$A,$A80,Signals!$N:$N,"YES")+COUNTIFS(Signals!$A:$A,$A80,Signals!$N:$N,"NO")</f>
        <v>0</v>
      </c>
      <c r="C80" s="37" t="str">
        <f>IFERROR(COUNTIFS(Signals!$A:$A,$A80,Signals!$E:$E,"&gt;=0.40",Signals!$E:$E,"&lt;0.50",Signals!$N:$N,"YES")/(COUNTIFS(Signals!$A:$A,$A80,Signals!$E:$E,"&gt;=0.40",Signals!$E:$E,"&lt;0.50",Signals!$N:$N,"YES")+COUNTIFS(Signals!$A:$A,$A80,Signals!$E:$E,"&gt;=0.40",Signals!$E:$E,"&lt;0.50",Signals!$N:$N,"NO")),"")</f>
        <v/>
      </c>
      <c r="D80" s="36">
        <f>COUNTIFS(Signals!$A:$A,$A80,Signals!$E:$E,"&gt;=0.40",Signals!$E:$E,"&lt;0.50",Signals!$N:$N,"YES")+COUNTIFS(Signals!$A:$A,$A80,Signals!$E:$E,"&gt;=0.40",Signals!$E:$E,"&lt;0.50",Signals!$N:$N,"NO")</f>
        <v>0</v>
      </c>
      <c r="E80" s="37" t="str">
        <f>IFERROR(COUNTIFS(Signals!$A:$A,$A80,Signals!$E:$E,"&gt;=0.50",Signals!$E:$E,"&lt;0.60",Signals!$N:$N,"YES")/(COUNTIFS(Signals!$A:$A,$A80,Signals!$E:$E,"&gt;=0.50",Signals!$E:$E,"&lt;0.60",Signals!$N:$N,"YES")+COUNTIFS(Signals!$A:$A,$A80,Signals!$E:$E,"&gt;=0.50",Signals!$E:$E,"&lt;0.60",Signals!$N:$N,"NO")),"")</f>
        <v/>
      </c>
      <c r="F80" s="36">
        <f>COUNTIFS(Signals!$A:$A,$A80,Signals!$E:$E,"&gt;=0.50",Signals!$E:$E,"&lt;0.60",Signals!$N:$N,"YES")+COUNTIFS(Signals!$A:$A,$A80,Signals!$E:$E,"&gt;=0.50",Signals!$E:$E,"&lt;0.60",Signals!$N:$N,"NO")</f>
        <v>0</v>
      </c>
      <c r="G80" s="37" t="str">
        <f>IFERROR(COUNTIFS(Signals!$A:$A,$A80,Signals!$E:$E,"&gt;=0.60",Signals!$E:$E,"&lt;0.70",Signals!$N:$N,"YES")/(COUNTIFS(Signals!$A:$A,$A80,Signals!$E:$E,"&gt;=0.60",Signals!$E:$E,"&lt;0.70",Signals!$N:$N,"YES")+COUNTIFS(Signals!$A:$A,$A80,Signals!$E:$E,"&gt;=0.60",Signals!$E:$E,"&lt;0.70",Signals!$N:$N,"NO")),"")</f>
        <v/>
      </c>
      <c r="H80" s="36">
        <f>COUNTIFS(Signals!$A:$A,$A80,Signals!$E:$E,"&gt;=0.60",Signals!$E:$E,"&lt;0.70",Signals!$N:$N,"YES")+COUNTIFS(Signals!$A:$A,$A80,Signals!$E:$E,"&gt;=0.60",Signals!$E:$E,"&lt;0.70",Signals!$N:$N,"NO")</f>
        <v>0</v>
      </c>
      <c r="I80" s="38" t="str">
        <f t="shared" si="1"/>
        <v>insufficient data</v>
      </c>
    </row>
    <row r="81" spans="1:9" ht="15" customHeight="1" x14ac:dyDescent="0.25">
      <c r="A81" s="1" t="s">
        <v>232</v>
      </c>
      <c r="B81" s="36">
        <f>COUNTIFS(Signals!$A:$A,$A81,Signals!$N:$N,"YES")+COUNTIFS(Signals!$A:$A,$A81,Signals!$N:$N,"NO")</f>
        <v>0</v>
      </c>
      <c r="C81" s="37" t="str">
        <f>IFERROR(COUNTIFS(Signals!$A:$A,$A81,Signals!$E:$E,"&gt;=0.40",Signals!$E:$E,"&lt;0.50",Signals!$N:$N,"YES")/(COUNTIFS(Signals!$A:$A,$A81,Signals!$E:$E,"&gt;=0.40",Signals!$E:$E,"&lt;0.50",Signals!$N:$N,"YES")+COUNTIFS(Signals!$A:$A,$A81,Signals!$E:$E,"&gt;=0.40",Signals!$E:$E,"&lt;0.50",Signals!$N:$N,"NO")),"")</f>
        <v/>
      </c>
      <c r="D81" s="36">
        <f>COUNTIFS(Signals!$A:$A,$A81,Signals!$E:$E,"&gt;=0.40",Signals!$E:$E,"&lt;0.50",Signals!$N:$N,"YES")+COUNTIFS(Signals!$A:$A,$A81,Signals!$E:$E,"&gt;=0.40",Signals!$E:$E,"&lt;0.50",Signals!$N:$N,"NO")</f>
        <v>0</v>
      </c>
      <c r="E81" s="37" t="str">
        <f>IFERROR(COUNTIFS(Signals!$A:$A,$A81,Signals!$E:$E,"&gt;=0.50",Signals!$E:$E,"&lt;0.60",Signals!$N:$N,"YES")/(COUNTIFS(Signals!$A:$A,$A81,Signals!$E:$E,"&gt;=0.50",Signals!$E:$E,"&lt;0.60",Signals!$N:$N,"YES")+COUNTIFS(Signals!$A:$A,$A81,Signals!$E:$E,"&gt;=0.50",Signals!$E:$E,"&lt;0.60",Signals!$N:$N,"NO")),"")</f>
        <v/>
      </c>
      <c r="F81" s="36">
        <f>COUNTIFS(Signals!$A:$A,$A81,Signals!$E:$E,"&gt;=0.50",Signals!$E:$E,"&lt;0.60",Signals!$N:$N,"YES")+COUNTIFS(Signals!$A:$A,$A81,Signals!$E:$E,"&gt;=0.50",Signals!$E:$E,"&lt;0.60",Signals!$N:$N,"NO")</f>
        <v>0</v>
      </c>
      <c r="G81" s="37" t="str">
        <f>IFERROR(COUNTIFS(Signals!$A:$A,$A81,Signals!$E:$E,"&gt;=0.60",Signals!$E:$E,"&lt;0.70",Signals!$N:$N,"YES")/(COUNTIFS(Signals!$A:$A,$A81,Signals!$E:$E,"&gt;=0.60",Signals!$E:$E,"&lt;0.70",Signals!$N:$N,"YES")+COUNTIFS(Signals!$A:$A,$A81,Signals!$E:$E,"&gt;=0.60",Signals!$E:$E,"&lt;0.70",Signals!$N:$N,"NO")),"")</f>
        <v/>
      </c>
      <c r="H81" s="36">
        <f>COUNTIFS(Signals!$A:$A,$A81,Signals!$E:$E,"&gt;=0.60",Signals!$E:$E,"&lt;0.70",Signals!$N:$N,"YES")+COUNTIFS(Signals!$A:$A,$A81,Signals!$E:$E,"&gt;=0.60",Signals!$E:$E,"&lt;0.70",Signals!$N:$N,"NO")</f>
        <v>0</v>
      </c>
      <c r="I81" s="38" t="str">
        <f t="shared" si="1"/>
        <v>insufficient data</v>
      </c>
    </row>
    <row r="82" spans="1:9" ht="15" customHeight="1" x14ac:dyDescent="0.25">
      <c r="A82" s="1" t="s">
        <v>233</v>
      </c>
      <c r="B82" s="36">
        <f>COUNTIFS(Signals!$A:$A,$A82,Signals!$N:$N,"YES")+COUNTIFS(Signals!$A:$A,$A82,Signals!$N:$N,"NO")</f>
        <v>0</v>
      </c>
      <c r="C82" s="37" t="str">
        <f>IFERROR(COUNTIFS(Signals!$A:$A,$A82,Signals!$E:$E,"&gt;=0.40",Signals!$E:$E,"&lt;0.50",Signals!$N:$N,"YES")/(COUNTIFS(Signals!$A:$A,$A82,Signals!$E:$E,"&gt;=0.40",Signals!$E:$E,"&lt;0.50",Signals!$N:$N,"YES")+COUNTIFS(Signals!$A:$A,$A82,Signals!$E:$E,"&gt;=0.40",Signals!$E:$E,"&lt;0.50",Signals!$N:$N,"NO")),"")</f>
        <v/>
      </c>
      <c r="D82" s="36">
        <f>COUNTIFS(Signals!$A:$A,$A82,Signals!$E:$E,"&gt;=0.40",Signals!$E:$E,"&lt;0.50",Signals!$N:$N,"YES")+COUNTIFS(Signals!$A:$A,$A82,Signals!$E:$E,"&gt;=0.40",Signals!$E:$E,"&lt;0.50",Signals!$N:$N,"NO")</f>
        <v>0</v>
      </c>
      <c r="E82" s="37" t="str">
        <f>IFERROR(COUNTIFS(Signals!$A:$A,$A82,Signals!$E:$E,"&gt;=0.50",Signals!$E:$E,"&lt;0.60",Signals!$N:$N,"YES")/(COUNTIFS(Signals!$A:$A,$A82,Signals!$E:$E,"&gt;=0.50",Signals!$E:$E,"&lt;0.60",Signals!$N:$N,"YES")+COUNTIFS(Signals!$A:$A,$A82,Signals!$E:$E,"&gt;=0.50",Signals!$E:$E,"&lt;0.60",Signals!$N:$N,"NO")),"")</f>
        <v/>
      </c>
      <c r="F82" s="36">
        <f>COUNTIFS(Signals!$A:$A,$A82,Signals!$E:$E,"&gt;=0.50",Signals!$E:$E,"&lt;0.60",Signals!$N:$N,"YES")+COUNTIFS(Signals!$A:$A,$A82,Signals!$E:$E,"&gt;=0.50",Signals!$E:$E,"&lt;0.60",Signals!$N:$N,"NO")</f>
        <v>0</v>
      </c>
      <c r="G82" s="37" t="str">
        <f>IFERROR(COUNTIFS(Signals!$A:$A,$A82,Signals!$E:$E,"&gt;=0.60",Signals!$E:$E,"&lt;0.70",Signals!$N:$N,"YES")/(COUNTIFS(Signals!$A:$A,$A82,Signals!$E:$E,"&gt;=0.60",Signals!$E:$E,"&lt;0.70",Signals!$N:$N,"YES")+COUNTIFS(Signals!$A:$A,$A82,Signals!$E:$E,"&gt;=0.60",Signals!$E:$E,"&lt;0.70",Signals!$N:$N,"NO")),"")</f>
        <v/>
      </c>
      <c r="H82" s="36">
        <f>COUNTIFS(Signals!$A:$A,$A82,Signals!$E:$E,"&gt;=0.60",Signals!$E:$E,"&lt;0.70",Signals!$N:$N,"YES")+COUNTIFS(Signals!$A:$A,$A82,Signals!$E:$E,"&gt;=0.60",Signals!$E:$E,"&lt;0.70",Signals!$N:$N,"NO")</f>
        <v>0</v>
      </c>
      <c r="I82" s="38" t="str">
        <f t="shared" si="1"/>
        <v>insufficient data</v>
      </c>
    </row>
    <row r="83" spans="1:9" ht="15" customHeight="1" x14ac:dyDescent="0.25">
      <c r="A83" s="1" t="s">
        <v>234</v>
      </c>
      <c r="B83" s="36">
        <f>COUNTIFS(Signals!$A:$A,$A83,Signals!$N:$N,"YES")+COUNTIFS(Signals!$A:$A,$A83,Signals!$N:$N,"NO")</f>
        <v>0</v>
      </c>
      <c r="C83" s="37" t="str">
        <f>IFERROR(COUNTIFS(Signals!$A:$A,$A83,Signals!$E:$E,"&gt;=0.40",Signals!$E:$E,"&lt;0.50",Signals!$N:$N,"YES")/(COUNTIFS(Signals!$A:$A,$A83,Signals!$E:$E,"&gt;=0.40",Signals!$E:$E,"&lt;0.50",Signals!$N:$N,"YES")+COUNTIFS(Signals!$A:$A,$A83,Signals!$E:$E,"&gt;=0.40",Signals!$E:$E,"&lt;0.50",Signals!$N:$N,"NO")),"")</f>
        <v/>
      </c>
      <c r="D83" s="36">
        <f>COUNTIFS(Signals!$A:$A,$A83,Signals!$E:$E,"&gt;=0.40",Signals!$E:$E,"&lt;0.50",Signals!$N:$N,"YES")+COUNTIFS(Signals!$A:$A,$A83,Signals!$E:$E,"&gt;=0.40",Signals!$E:$E,"&lt;0.50",Signals!$N:$N,"NO")</f>
        <v>0</v>
      </c>
      <c r="E83" s="37" t="str">
        <f>IFERROR(COUNTIFS(Signals!$A:$A,$A83,Signals!$E:$E,"&gt;=0.50",Signals!$E:$E,"&lt;0.60",Signals!$N:$N,"YES")/(COUNTIFS(Signals!$A:$A,$A83,Signals!$E:$E,"&gt;=0.50",Signals!$E:$E,"&lt;0.60",Signals!$N:$N,"YES")+COUNTIFS(Signals!$A:$A,$A83,Signals!$E:$E,"&gt;=0.50",Signals!$E:$E,"&lt;0.60",Signals!$N:$N,"NO")),"")</f>
        <v/>
      </c>
      <c r="F83" s="36">
        <f>COUNTIFS(Signals!$A:$A,$A83,Signals!$E:$E,"&gt;=0.50",Signals!$E:$E,"&lt;0.60",Signals!$N:$N,"YES")+COUNTIFS(Signals!$A:$A,$A83,Signals!$E:$E,"&gt;=0.50",Signals!$E:$E,"&lt;0.60",Signals!$N:$N,"NO")</f>
        <v>0</v>
      </c>
      <c r="G83" s="37" t="str">
        <f>IFERROR(COUNTIFS(Signals!$A:$A,$A83,Signals!$E:$E,"&gt;=0.60",Signals!$E:$E,"&lt;0.70",Signals!$N:$N,"YES")/(COUNTIFS(Signals!$A:$A,$A83,Signals!$E:$E,"&gt;=0.60",Signals!$E:$E,"&lt;0.70",Signals!$N:$N,"YES")+COUNTIFS(Signals!$A:$A,$A83,Signals!$E:$E,"&gt;=0.60",Signals!$E:$E,"&lt;0.70",Signals!$N:$N,"NO")),"")</f>
        <v/>
      </c>
      <c r="H83" s="36">
        <f>COUNTIFS(Signals!$A:$A,$A83,Signals!$E:$E,"&gt;=0.60",Signals!$E:$E,"&lt;0.70",Signals!$N:$N,"YES")+COUNTIFS(Signals!$A:$A,$A83,Signals!$E:$E,"&gt;=0.60",Signals!$E:$E,"&lt;0.70",Signals!$N:$N,"NO")</f>
        <v>0</v>
      </c>
      <c r="I83" s="38" t="str">
        <f t="shared" si="1"/>
        <v>insufficient data</v>
      </c>
    </row>
    <row r="84" spans="1:9" ht="15" customHeight="1" x14ac:dyDescent="0.25">
      <c r="A84" s="1" t="s">
        <v>235</v>
      </c>
      <c r="B84" s="36">
        <f>COUNTIFS(Signals!$A:$A,$A84,Signals!$N:$N,"YES")+COUNTIFS(Signals!$A:$A,$A84,Signals!$N:$N,"NO")</f>
        <v>0</v>
      </c>
      <c r="C84" s="37" t="str">
        <f>IFERROR(COUNTIFS(Signals!$A:$A,$A84,Signals!$E:$E,"&gt;=0.40",Signals!$E:$E,"&lt;0.50",Signals!$N:$N,"YES")/(COUNTIFS(Signals!$A:$A,$A84,Signals!$E:$E,"&gt;=0.40",Signals!$E:$E,"&lt;0.50",Signals!$N:$N,"YES")+COUNTIFS(Signals!$A:$A,$A84,Signals!$E:$E,"&gt;=0.40",Signals!$E:$E,"&lt;0.50",Signals!$N:$N,"NO")),"")</f>
        <v/>
      </c>
      <c r="D84" s="36">
        <f>COUNTIFS(Signals!$A:$A,$A84,Signals!$E:$E,"&gt;=0.40",Signals!$E:$E,"&lt;0.50",Signals!$N:$N,"YES")+COUNTIFS(Signals!$A:$A,$A84,Signals!$E:$E,"&gt;=0.40",Signals!$E:$E,"&lt;0.50",Signals!$N:$N,"NO")</f>
        <v>0</v>
      </c>
      <c r="E84" s="37" t="str">
        <f>IFERROR(COUNTIFS(Signals!$A:$A,$A84,Signals!$E:$E,"&gt;=0.50",Signals!$E:$E,"&lt;0.60",Signals!$N:$N,"YES")/(COUNTIFS(Signals!$A:$A,$A84,Signals!$E:$E,"&gt;=0.50",Signals!$E:$E,"&lt;0.60",Signals!$N:$N,"YES")+COUNTIFS(Signals!$A:$A,$A84,Signals!$E:$E,"&gt;=0.50",Signals!$E:$E,"&lt;0.60",Signals!$N:$N,"NO")),"")</f>
        <v/>
      </c>
      <c r="F84" s="36">
        <f>COUNTIFS(Signals!$A:$A,$A84,Signals!$E:$E,"&gt;=0.50",Signals!$E:$E,"&lt;0.60",Signals!$N:$N,"YES")+COUNTIFS(Signals!$A:$A,$A84,Signals!$E:$E,"&gt;=0.50",Signals!$E:$E,"&lt;0.60",Signals!$N:$N,"NO")</f>
        <v>0</v>
      </c>
      <c r="G84" s="37" t="str">
        <f>IFERROR(COUNTIFS(Signals!$A:$A,$A84,Signals!$E:$E,"&gt;=0.60",Signals!$E:$E,"&lt;0.70",Signals!$N:$N,"YES")/(COUNTIFS(Signals!$A:$A,$A84,Signals!$E:$E,"&gt;=0.60",Signals!$E:$E,"&lt;0.70",Signals!$N:$N,"YES")+COUNTIFS(Signals!$A:$A,$A84,Signals!$E:$E,"&gt;=0.60",Signals!$E:$E,"&lt;0.70",Signals!$N:$N,"NO")),"")</f>
        <v/>
      </c>
      <c r="H84" s="36">
        <f>COUNTIFS(Signals!$A:$A,$A84,Signals!$E:$E,"&gt;=0.60",Signals!$E:$E,"&lt;0.70",Signals!$N:$N,"YES")+COUNTIFS(Signals!$A:$A,$A84,Signals!$E:$E,"&gt;=0.60",Signals!$E:$E,"&lt;0.70",Signals!$N:$N,"NO")</f>
        <v>0</v>
      </c>
      <c r="I84" s="38" t="str">
        <f t="shared" si="1"/>
        <v>insufficient data</v>
      </c>
    </row>
    <row r="85" spans="1:9" ht="15" customHeight="1" x14ac:dyDescent="0.25">
      <c r="A85" s="1" t="s">
        <v>236</v>
      </c>
      <c r="B85" s="36">
        <f>COUNTIFS(Signals!$A:$A,$A85,Signals!$N:$N,"YES")+COUNTIFS(Signals!$A:$A,$A85,Signals!$N:$N,"NO")</f>
        <v>0</v>
      </c>
      <c r="C85" s="37" t="str">
        <f>IFERROR(COUNTIFS(Signals!$A:$A,$A85,Signals!$E:$E,"&gt;=0.40",Signals!$E:$E,"&lt;0.50",Signals!$N:$N,"YES")/(COUNTIFS(Signals!$A:$A,$A85,Signals!$E:$E,"&gt;=0.40",Signals!$E:$E,"&lt;0.50",Signals!$N:$N,"YES")+COUNTIFS(Signals!$A:$A,$A85,Signals!$E:$E,"&gt;=0.40",Signals!$E:$E,"&lt;0.50",Signals!$N:$N,"NO")),"")</f>
        <v/>
      </c>
      <c r="D85" s="36">
        <f>COUNTIFS(Signals!$A:$A,$A85,Signals!$E:$E,"&gt;=0.40",Signals!$E:$E,"&lt;0.50",Signals!$N:$N,"YES")+COUNTIFS(Signals!$A:$A,$A85,Signals!$E:$E,"&gt;=0.40",Signals!$E:$E,"&lt;0.50",Signals!$N:$N,"NO")</f>
        <v>0</v>
      </c>
      <c r="E85" s="37" t="str">
        <f>IFERROR(COUNTIFS(Signals!$A:$A,$A85,Signals!$E:$E,"&gt;=0.50",Signals!$E:$E,"&lt;0.60",Signals!$N:$N,"YES")/(COUNTIFS(Signals!$A:$A,$A85,Signals!$E:$E,"&gt;=0.50",Signals!$E:$E,"&lt;0.60",Signals!$N:$N,"YES")+COUNTIFS(Signals!$A:$A,$A85,Signals!$E:$E,"&gt;=0.50",Signals!$E:$E,"&lt;0.60",Signals!$N:$N,"NO")),"")</f>
        <v/>
      </c>
      <c r="F85" s="36">
        <f>COUNTIFS(Signals!$A:$A,$A85,Signals!$E:$E,"&gt;=0.50",Signals!$E:$E,"&lt;0.60",Signals!$N:$N,"YES")+COUNTIFS(Signals!$A:$A,$A85,Signals!$E:$E,"&gt;=0.50",Signals!$E:$E,"&lt;0.60",Signals!$N:$N,"NO")</f>
        <v>0</v>
      </c>
      <c r="G85" s="37" t="str">
        <f>IFERROR(COUNTIFS(Signals!$A:$A,$A85,Signals!$E:$E,"&gt;=0.60",Signals!$E:$E,"&lt;0.70",Signals!$N:$N,"YES")/(COUNTIFS(Signals!$A:$A,$A85,Signals!$E:$E,"&gt;=0.60",Signals!$E:$E,"&lt;0.70",Signals!$N:$N,"YES")+COUNTIFS(Signals!$A:$A,$A85,Signals!$E:$E,"&gt;=0.60",Signals!$E:$E,"&lt;0.70",Signals!$N:$N,"NO")),"")</f>
        <v/>
      </c>
      <c r="H85" s="36">
        <f>COUNTIFS(Signals!$A:$A,$A85,Signals!$E:$E,"&gt;=0.60",Signals!$E:$E,"&lt;0.70",Signals!$N:$N,"YES")+COUNTIFS(Signals!$A:$A,$A85,Signals!$E:$E,"&gt;=0.60",Signals!$E:$E,"&lt;0.70",Signals!$N:$N,"NO")</f>
        <v>0</v>
      </c>
      <c r="I85" s="38" t="str">
        <f t="shared" si="1"/>
        <v>insufficient data</v>
      </c>
    </row>
    <row r="86" spans="1:9" ht="15" customHeight="1" x14ac:dyDescent="0.25">
      <c r="A86" s="1" t="s">
        <v>237</v>
      </c>
      <c r="B86" s="36">
        <f>COUNTIFS(Signals!$A:$A,$A86,Signals!$N:$N,"YES")+COUNTIFS(Signals!$A:$A,$A86,Signals!$N:$N,"NO")</f>
        <v>0</v>
      </c>
      <c r="C86" s="37" t="str">
        <f>IFERROR(COUNTIFS(Signals!$A:$A,$A86,Signals!$E:$E,"&gt;=0.40",Signals!$E:$E,"&lt;0.50",Signals!$N:$N,"YES")/(COUNTIFS(Signals!$A:$A,$A86,Signals!$E:$E,"&gt;=0.40",Signals!$E:$E,"&lt;0.50",Signals!$N:$N,"YES")+COUNTIFS(Signals!$A:$A,$A86,Signals!$E:$E,"&gt;=0.40",Signals!$E:$E,"&lt;0.50",Signals!$N:$N,"NO")),"")</f>
        <v/>
      </c>
      <c r="D86" s="36">
        <f>COUNTIFS(Signals!$A:$A,$A86,Signals!$E:$E,"&gt;=0.40",Signals!$E:$E,"&lt;0.50",Signals!$N:$N,"YES")+COUNTIFS(Signals!$A:$A,$A86,Signals!$E:$E,"&gt;=0.40",Signals!$E:$E,"&lt;0.50",Signals!$N:$N,"NO")</f>
        <v>0</v>
      </c>
      <c r="E86" s="37" t="str">
        <f>IFERROR(COUNTIFS(Signals!$A:$A,$A86,Signals!$E:$E,"&gt;=0.50",Signals!$E:$E,"&lt;0.60",Signals!$N:$N,"YES")/(COUNTIFS(Signals!$A:$A,$A86,Signals!$E:$E,"&gt;=0.50",Signals!$E:$E,"&lt;0.60",Signals!$N:$N,"YES")+COUNTIFS(Signals!$A:$A,$A86,Signals!$E:$E,"&gt;=0.50",Signals!$E:$E,"&lt;0.60",Signals!$N:$N,"NO")),"")</f>
        <v/>
      </c>
      <c r="F86" s="36">
        <f>COUNTIFS(Signals!$A:$A,$A86,Signals!$E:$E,"&gt;=0.50",Signals!$E:$E,"&lt;0.60",Signals!$N:$N,"YES")+COUNTIFS(Signals!$A:$A,$A86,Signals!$E:$E,"&gt;=0.50",Signals!$E:$E,"&lt;0.60",Signals!$N:$N,"NO")</f>
        <v>0</v>
      </c>
      <c r="G86" s="37" t="str">
        <f>IFERROR(COUNTIFS(Signals!$A:$A,$A86,Signals!$E:$E,"&gt;=0.60",Signals!$E:$E,"&lt;0.70",Signals!$N:$N,"YES")/(COUNTIFS(Signals!$A:$A,$A86,Signals!$E:$E,"&gt;=0.60",Signals!$E:$E,"&lt;0.70",Signals!$N:$N,"YES")+COUNTIFS(Signals!$A:$A,$A86,Signals!$E:$E,"&gt;=0.60",Signals!$E:$E,"&lt;0.70",Signals!$N:$N,"NO")),"")</f>
        <v/>
      </c>
      <c r="H86" s="36">
        <f>COUNTIFS(Signals!$A:$A,$A86,Signals!$E:$E,"&gt;=0.60",Signals!$E:$E,"&lt;0.70",Signals!$N:$N,"YES")+COUNTIFS(Signals!$A:$A,$A86,Signals!$E:$E,"&gt;=0.60",Signals!$E:$E,"&lt;0.70",Signals!$N:$N,"NO")</f>
        <v>0</v>
      </c>
      <c r="I86" s="38" t="str">
        <f t="shared" si="1"/>
        <v>insufficient data</v>
      </c>
    </row>
    <row r="87" spans="1:9" ht="15" customHeight="1" x14ac:dyDescent="0.25">
      <c r="A87" s="1" t="s">
        <v>238</v>
      </c>
      <c r="B87" s="36">
        <f>COUNTIFS(Signals!$A:$A,$A87,Signals!$N:$N,"YES")+COUNTIFS(Signals!$A:$A,$A87,Signals!$N:$N,"NO")</f>
        <v>0</v>
      </c>
      <c r="C87" s="37" t="str">
        <f>IFERROR(COUNTIFS(Signals!$A:$A,$A87,Signals!$E:$E,"&gt;=0.40",Signals!$E:$E,"&lt;0.50",Signals!$N:$N,"YES")/(COUNTIFS(Signals!$A:$A,$A87,Signals!$E:$E,"&gt;=0.40",Signals!$E:$E,"&lt;0.50",Signals!$N:$N,"YES")+COUNTIFS(Signals!$A:$A,$A87,Signals!$E:$E,"&gt;=0.40",Signals!$E:$E,"&lt;0.50",Signals!$N:$N,"NO")),"")</f>
        <v/>
      </c>
      <c r="D87" s="36">
        <f>COUNTIFS(Signals!$A:$A,$A87,Signals!$E:$E,"&gt;=0.40",Signals!$E:$E,"&lt;0.50",Signals!$N:$N,"YES")+COUNTIFS(Signals!$A:$A,$A87,Signals!$E:$E,"&gt;=0.40",Signals!$E:$E,"&lt;0.50",Signals!$N:$N,"NO")</f>
        <v>0</v>
      </c>
      <c r="E87" s="37" t="str">
        <f>IFERROR(COUNTIFS(Signals!$A:$A,$A87,Signals!$E:$E,"&gt;=0.50",Signals!$E:$E,"&lt;0.60",Signals!$N:$N,"YES")/(COUNTIFS(Signals!$A:$A,$A87,Signals!$E:$E,"&gt;=0.50",Signals!$E:$E,"&lt;0.60",Signals!$N:$N,"YES")+COUNTIFS(Signals!$A:$A,$A87,Signals!$E:$E,"&gt;=0.50",Signals!$E:$E,"&lt;0.60",Signals!$N:$N,"NO")),"")</f>
        <v/>
      </c>
      <c r="F87" s="36">
        <f>COUNTIFS(Signals!$A:$A,$A87,Signals!$E:$E,"&gt;=0.50",Signals!$E:$E,"&lt;0.60",Signals!$N:$N,"YES")+COUNTIFS(Signals!$A:$A,$A87,Signals!$E:$E,"&gt;=0.50",Signals!$E:$E,"&lt;0.60",Signals!$N:$N,"NO")</f>
        <v>0</v>
      </c>
      <c r="G87" s="37" t="str">
        <f>IFERROR(COUNTIFS(Signals!$A:$A,$A87,Signals!$E:$E,"&gt;=0.60",Signals!$E:$E,"&lt;0.70",Signals!$N:$N,"YES")/(COUNTIFS(Signals!$A:$A,$A87,Signals!$E:$E,"&gt;=0.60",Signals!$E:$E,"&lt;0.70",Signals!$N:$N,"YES")+COUNTIFS(Signals!$A:$A,$A87,Signals!$E:$E,"&gt;=0.60",Signals!$E:$E,"&lt;0.70",Signals!$N:$N,"NO")),"")</f>
        <v/>
      </c>
      <c r="H87" s="36">
        <f>COUNTIFS(Signals!$A:$A,$A87,Signals!$E:$E,"&gt;=0.60",Signals!$E:$E,"&lt;0.70",Signals!$N:$N,"YES")+COUNTIFS(Signals!$A:$A,$A87,Signals!$E:$E,"&gt;=0.60",Signals!$E:$E,"&lt;0.70",Signals!$N:$N,"NO")</f>
        <v>0</v>
      </c>
      <c r="I87" s="38" t="str">
        <f t="shared" si="1"/>
        <v>insufficient data</v>
      </c>
    </row>
    <row r="88" spans="1:9" ht="15" customHeight="1" x14ac:dyDescent="0.25">
      <c r="A88" s="1" t="s">
        <v>239</v>
      </c>
      <c r="B88" s="36">
        <f>COUNTIFS(Signals!$A:$A,$A88,Signals!$N:$N,"YES")+COUNTIFS(Signals!$A:$A,$A88,Signals!$N:$N,"NO")</f>
        <v>0</v>
      </c>
      <c r="C88" s="37" t="str">
        <f>IFERROR(COUNTIFS(Signals!$A:$A,$A88,Signals!$E:$E,"&gt;=0.40",Signals!$E:$E,"&lt;0.50",Signals!$N:$N,"YES")/(COUNTIFS(Signals!$A:$A,$A88,Signals!$E:$E,"&gt;=0.40",Signals!$E:$E,"&lt;0.50",Signals!$N:$N,"YES")+COUNTIFS(Signals!$A:$A,$A88,Signals!$E:$E,"&gt;=0.40",Signals!$E:$E,"&lt;0.50",Signals!$N:$N,"NO")),"")</f>
        <v/>
      </c>
      <c r="D88" s="36">
        <f>COUNTIFS(Signals!$A:$A,$A88,Signals!$E:$E,"&gt;=0.40",Signals!$E:$E,"&lt;0.50",Signals!$N:$N,"YES")+COUNTIFS(Signals!$A:$A,$A88,Signals!$E:$E,"&gt;=0.40",Signals!$E:$E,"&lt;0.50",Signals!$N:$N,"NO")</f>
        <v>0</v>
      </c>
      <c r="E88" s="37" t="str">
        <f>IFERROR(COUNTIFS(Signals!$A:$A,$A88,Signals!$E:$E,"&gt;=0.50",Signals!$E:$E,"&lt;0.60",Signals!$N:$N,"YES")/(COUNTIFS(Signals!$A:$A,$A88,Signals!$E:$E,"&gt;=0.50",Signals!$E:$E,"&lt;0.60",Signals!$N:$N,"YES")+COUNTIFS(Signals!$A:$A,$A88,Signals!$E:$E,"&gt;=0.50",Signals!$E:$E,"&lt;0.60",Signals!$N:$N,"NO")),"")</f>
        <v/>
      </c>
      <c r="F88" s="36">
        <f>COUNTIFS(Signals!$A:$A,$A88,Signals!$E:$E,"&gt;=0.50",Signals!$E:$E,"&lt;0.60",Signals!$N:$N,"YES")+COUNTIFS(Signals!$A:$A,$A88,Signals!$E:$E,"&gt;=0.50",Signals!$E:$E,"&lt;0.60",Signals!$N:$N,"NO")</f>
        <v>0</v>
      </c>
      <c r="G88" s="37" t="str">
        <f>IFERROR(COUNTIFS(Signals!$A:$A,$A88,Signals!$E:$E,"&gt;=0.60",Signals!$E:$E,"&lt;0.70",Signals!$N:$N,"YES")/(COUNTIFS(Signals!$A:$A,$A88,Signals!$E:$E,"&gt;=0.60",Signals!$E:$E,"&lt;0.70",Signals!$N:$N,"YES")+COUNTIFS(Signals!$A:$A,$A88,Signals!$E:$E,"&gt;=0.60",Signals!$E:$E,"&lt;0.70",Signals!$N:$N,"NO")),"")</f>
        <v/>
      </c>
      <c r="H88" s="36">
        <f>COUNTIFS(Signals!$A:$A,$A88,Signals!$E:$E,"&gt;=0.60",Signals!$E:$E,"&lt;0.70",Signals!$N:$N,"YES")+COUNTIFS(Signals!$A:$A,$A88,Signals!$E:$E,"&gt;=0.60",Signals!$E:$E,"&lt;0.70",Signals!$N:$N,"NO")</f>
        <v>0</v>
      </c>
      <c r="I88" s="38" t="str">
        <f t="shared" si="1"/>
        <v>insufficient data</v>
      </c>
    </row>
    <row r="89" spans="1:9" ht="15" customHeight="1" x14ac:dyDescent="0.25">
      <c r="A89" s="1" t="s">
        <v>240</v>
      </c>
      <c r="B89" s="36">
        <f>COUNTIFS(Signals!$A:$A,$A89,Signals!$N:$N,"YES")+COUNTIFS(Signals!$A:$A,$A89,Signals!$N:$N,"NO")</f>
        <v>0</v>
      </c>
      <c r="C89" s="37" t="str">
        <f>IFERROR(COUNTIFS(Signals!$A:$A,$A89,Signals!$E:$E,"&gt;=0.40",Signals!$E:$E,"&lt;0.50",Signals!$N:$N,"YES")/(COUNTIFS(Signals!$A:$A,$A89,Signals!$E:$E,"&gt;=0.40",Signals!$E:$E,"&lt;0.50",Signals!$N:$N,"YES")+COUNTIFS(Signals!$A:$A,$A89,Signals!$E:$E,"&gt;=0.40",Signals!$E:$E,"&lt;0.50",Signals!$N:$N,"NO")),"")</f>
        <v/>
      </c>
      <c r="D89" s="36">
        <f>COUNTIFS(Signals!$A:$A,$A89,Signals!$E:$E,"&gt;=0.40",Signals!$E:$E,"&lt;0.50",Signals!$N:$N,"YES")+COUNTIFS(Signals!$A:$A,$A89,Signals!$E:$E,"&gt;=0.40",Signals!$E:$E,"&lt;0.50",Signals!$N:$N,"NO")</f>
        <v>0</v>
      </c>
      <c r="E89" s="37" t="str">
        <f>IFERROR(COUNTIFS(Signals!$A:$A,$A89,Signals!$E:$E,"&gt;=0.50",Signals!$E:$E,"&lt;0.60",Signals!$N:$N,"YES")/(COUNTIFS(Signals!$A:$A,$A89,Signals!$E:$E,"&gt;=0.50",Signals!$E:$E,"&lt;0.60",Signals!$N:$N,"YES")+COUNTIFS(Signals!$A:$A,$A89,Signals!$E:$E,"&gt;=0.50",Signals!$E:$E,"&lt;0.60",Signals!$N:$N,"NO")),"")</f>
        <v/>
      </c>
      <c r="F89" s="36">
        <f>COUNTIFS(Signals!$A:$A,$A89,Signals!$E:$E,"&gt;=0.50",Signals!$E:$E,"&lt;0.60",Signals!$N:$N,"YES")+COUNTIFS(Signals!$A:$A,$A89,Signals!$E:$E,"&gt;=0.50",Signals!$E:$E,"&lt;0.60",Signals!$N:$N,"NO")</f>
        <v>0</v>
      </c>
      <c r="G89" s="37" t="str">
        <f>IFERROR(COUNTIFS(Signals!$A:$A,$A89,Signals!$E:$E,"&gt;=0.60",Signals!$E:$E,"&lt;0.70",Signals!$N:$N,"YES")/(COUNTIFS(Signals!$A:$A,$A89,Signals!$E:$E,"&gt;=0.60",Signals!$E:$E,"&lt;0.70",Signals!$N:$N,"YES")+COUNTIFS(Signals!$A:$A,$A89,Signals!$E:$E,"&gt;=0.60",Signals!$E:$E,"&lt;0.70",Signals!$N:$N,"NO")),"")</f>
        <v/>
      </c>
      <c r="H89" s="36">
        <f>COUNTIFS(Signals!$A:$A,$A89,Signals!$E:$E,"&gt;=0.60",Signals!$E:$E,"&lt;0.70",Signals!$N:$N,"YES")+COUNTIFS(Signals!$A:$A,$A89,Signals!$E:$E,"&gt;=0.60",Signals!$E:$E,"&lt;0.70",Signals!$N:$N,"NO")</f>
        <v>0</v>
      </c>
      <c r="I89" s="38" t="str">
        <f t="shared" si="1"/>
        <v>insufficient data</v>
      </c>
    </row>
    <row r="90" spans="1:9" ht="15" customHeight="1" x14ac:dyDescent="0.25">
      <c r="A90" s="1" t="s">
        <v>241</v>
      </c>
      <c r="B90" s="36">
        <f>COUNTIFS(Signals!$A:$A,$A90,Signals!$N:$N,"YES")+COUNTIFS(Signals!$A:$A,$A90,Signals!$N:$N,"NO")</f>
        <v>0</v>
      </c>
      <c r="C90" s="37" t="str">
        <f>IFERROR(COUNTIFS(Signals!$A:$A,$A90,Signals!$E:$E,"&gt;=0.40",Signals!$E:$E,"&lt;0.50",Signals!$N:$N,"YES")/(COUNTIFS(Signals!$A:$A,$A90,Signals!$E:$E,"&gt;=0.40",Signals!$E:$E,"&lt;0.50",Signals!$N:$N,"YES")+COUNTIFS(Signals!$A:$A,$A90,Signals!$E:$E,"&gt;=0.40",Signals!$E:$E,"&lt;0.50",Signals!$N:$N,"NO")),"")</f>
        <v/>
      </c>
      <c r="D90" s="36">
        <f>COUNTIFS(Signals!$A:$A,$A90,Signals!$E:$E,"&gt;=0.40",Signals!$E:$E,"&lt;0.50",Signals!$N:$N,"YES")+COUNTIFS(Signals!$A:$A,$A90,Signals!$E:$E,"&gt;=0.40",Signals!$E:$E,"&lt;0.50",Signals!$N:$N,"NO")</f>
        <v>0</v>
      </c>
      <c r="E90" s="37" t="str">
        <f>IFERROR(COUNTIFS(Signals!$A:$A,$A90,Signals!$E:$E,"&gt;=0.50",Signals!$E:$E,"&lt;0.60",Signals!$N:$N,"YES")/(COUNTIFS(Signals!$A:$A,$A90,Signals!$E:$E,"&gt;=0.50",Signals!$E:$E,"&lt;0.60",Signals!$N:$N,"YES")+COUNTIFS(Signals!$A:$A,$A90,Signals!$E:$E,"&gt;=0.50",Signals!$E:$E,"&lt;0.60",Signals!$N:$N,"NO")),"")</f>
        <v/>
      </c>
      <c r="F90" s="36">
        <f>COUNTIFS(Signals!$A:$A,$A90,Signals!$E:$E,"&gt;=0.50",Signals!$E:$E,"&lt;0.60",Signals!$N:$N,"YES")+COUNTIFS(Signals!$A:$A,$A90,Signals!$E:$E,"&gt;=0.50",Signals!$E:$E,"&lt;0.60",Signals!$N:$N,"NO")</f>
        <v>0</v>
      </c>
      <c r="G90" s="37" t="str">
        <f>IFERROR(COUNTIFS(Signals!$A:$A,$A90,Signals!$E:$E,"&gt;=0.60",Signals!$E:$E,"&lt;0.70",Signals!$N:$N,"YES")/(COUNTIFS(Signals!$A:$A,$A90,Signals!$E:$E,"&gt;=0.60",Signals!$E:$E,"&lt;0.70",Signals!$N:$N,"YES")+COUNTIFS(Signals!$A:$A,$A90,Signals!$E:$E,"&gt;=0.60",Signals!$E:$E,"&lt;0.70",Signals!$N:$N,"NO")),"")</f>
        <v/>
      </c>
      <c r="H90" s="36">
        <f>COUNTIFS(Signals!$A:$A,$A90,Signals!$E:$E,"&gt;=0.60",Signals!$E:$E,"&lt;0.70",Signals!$N:$N,"YES")+COUNTIFS(Signals!$A:$A,$A90,Signals!$E:$E,"&gt;=0.60",Signals!$E:$E,"&lt;0.70",Signals!$N:$N,"NO")</f>
        <v>0</v>
      </c>
      <c r="I90" s="38" t="str">
        <f t="shared" si="1"/>
        <v>insufficient data</v>
      </c>
    </row>
    <row r="91" spans="1:9" ht="15" customHeight="1" x14ac:dyDescent="0.25">
      <c r="A91" s="1" t="s">
        <v>242</v>
      </c>
      <c r="B91" s="36">
        <f>COUNTIFS(Signals!$A:$A,$A91,Signals!$N:$N,"YES")+COUNTIFS(Signals!$A:$A,$A91,Signals!$N:$N,"NO")</f>
        <v>0</v>
      </c>
      <c r="C91" s="37" t="str">
        <f>IFERROR(COUNTIFS(Signals!$A:$A,$A91,Signals!$E:$E,"&gt;=0.40",Signals!$E:$E,"&lt;0.50",Signals!$N:$N,"YES")/(COUNTIFS(Signals!$A:$A,$A91,Signals!$E:$E,"&gt;=0.40",Signals!$E:$E,"&lt;0.50",Signals!$N:$N,"YES")+COUNTIFS(Signals!$A:$A,$A91,Signals!$E:$E,"&gt;=0.40",Signals!$E:$E,"&lt;0.50",Signals!$N:$N,"NO")),"")</f>
        <v/>
      </c>
      <c r="D91" s="36">
        <f>COUNTIFS(Signals!$A:$A,$A91,Signals!$E:$E,"&gt;=0.40",Signals!$E:$E,"&lt;0.50",Signals!$N:$N,"YES")+COUNTIFS(Signals!$A:$A,$A91,Signals!$E:$E,"&gt;=0.40",Signals!$E:$E,"&lt;0.50",Signals!$N:$N,"NO")</f>
        <v>0</v>
      </c>
      <c r="E91" s="37" t="str">
        <f>IFERROR(COUNTIFS(Signals!$A:$A,$A91,Signals!$E:$E,"&gt;=0.50",Signals!$E:$E,"&lt;0.60",Signals!$N:$N,"YES")/(COUNTIFS(Signals!$A:$A,$A91,Signals!$E:$E,"&gt;=0.50",Signals!$E:$E,"&lt;0.60",Signals!$N:$N,"YES")+COUNTIFS(Signals!$A:$A,$A91,Signals!$E:$E,"&gt;=0.50",Signals!$E:$E,"&lt;0.60",Signals!$N:$N,"NO")),"")</f>
        <v/>
      </c>
      <c r="F91" s="36">
        <f>COUNTIFS(Signals!$A:$A,$A91,Signals!$E:$E,"&gt;=0.50",Signals!$E:$E,"&lt;0.60",Signals!$N:$N,"YES")+COUNTIFS(Signals!$A:$A,$A91,Signals!$E:$E,"&gt;=0.50",Signals!$E:$E,"&lt;0.60",Signals!$N:$N,"NO")</f>
        <v>0</v>
      </c>
      <c r="G91" s="37" t="str">
        <f>IFERROR(COUNTIFS(Signals!$A:$A,$A91,Signals!$E:$E,"&gt;=0.60",Signals!$E:$E,"&lt;0.70",Signals!$N:$N,"YES")/(COUNTIFS(Signals!$A:$A,$A91,Signals!$E:$E,"&gt;=0.60",Signals!$E:$E,"&lt;0.70",Signals!$N:$N,"YES")+COUNTIFS(Signals!$A:$A,$A91,Signals!$E:$E,"&gt;=0.60",Signals!$E:$E,"&lt;0.70",Signals!$N:$N,"NO")),"")</f>
        <v/>
      </c>
      <c r="H91" s="36">
        <f>COUNTIFS(Signals!$A:$A,$A91,Signals!$E:$E,"&gt;=0.60",Signals!$E:$E,"&lt;0.70",Signals!$N:$N,"YES")+COUNTIFS(Signals!$A:$A,$A91,Signals!$E:$E,"&gt;=0.60",Signals!$E:$E,"&lt;0.70",Signals!$N:$N,"NO")</f>
        <v>0</v>
      </c>
      <c r="I91" s="38" t="str">
        <f t="shared" si="1"/>
        <v>insufficient data</v>
      </c>
    </row>
    <row r="92" spans="1:9" ht="15" customHeight="1" x14ac:dyDescent="0.25">
      <c r="A92" s="1" t="s">
        <v>243</v>
      </c>
      <c r="B92" s="36">
        <f>COUNTIFS(Signals!$A:$A,$A92,Signals!$N:$N,"YES")+COUNTIFS(Signals!$A:$A,$A92,Signals!$N:$N,"NO")</f>
        <v>0</v>
      </c>
      <c r="C92" s="37" t="str">
        <f>IFERROR(COUNTIFS(Signals!$A:$A,$A92,Signals!$E:$E,"&gt;=0.40",Signals!$E:$E,"&lt;0.50",Signals!$N:$N,"YES")/(COUNTIFS(Signals!$A:$A,$A92,Signals!$E:$E,"&gt;=0.40",Signals!$E:$E,"&lt;0.50",Signals!$N:$N,"YES")+COUNTIFS(Signals!$A:$A,$A92,Signals!$E:$E,"&gt;=0.40",Signals!$E:$E,"&lt;0.50",Signals!$N:$N,"NO")),"")</f>
        <v/>
      </c>
      <c r="D92" s="36">
        <f>COUNTIFS(Signals!$A:$A,$A92,Signals!$E:$E,"&gt;=0.40",Signals!$E:$E,"&lt;0.50",Signals!$N:$N,"YES")+COUNTIFS(Signals!$A:$A,$A92,Signals!$E:$E,"&gt;=0.40",Signals!$E:$E,"&lt;0.50",Signals!$N:$N,"NO")</f>
        <v>0</v>
      </c>
      <c r="E92" s="37" t="str">
        <f>IFERROR(COUNTIFS(Signals!$A:$A,$A92,Signals!$E:$E,"&gt;=0.50",Signals!$E:$E,"&lt;0.60",Signals!$N:$N,"YES")/(COUNTIFS(Signals!$A:$A,$A92,Signals!$E:$E,"&gt;=0.50",Signals!$E:$E,"&lt;0.60",Signals!$N:$N,"YES")+COUNTIFS(Signals!$A:$A,$A92,Signals!$E:$E,"&gt;=0.50",Signals!$E:$E,"&lt;0.60",Signals!$N:$N,"NO")),"")</f>
        <v/>
      </c>
      <c r="F92" s="36">
        <f>COUNTIFS(Signals!$A:$A,$A92,Signals!$E:$E,"&gt;=0.50",Signals!$E:$E,"&lt;0.60",Signals!$N:$N,"YES")+COUNTIFS(Signals!$A:$A,$A92,Signals!$E:$E,"&gt;=0.50",Signals!$E:$E,"&lt;0.60",Signals!$N:$N,"NO")</f>
        <v>0</v>
      </c>
      <c r="G92" s="37" t="str">
        <f>IFERROR(COUNTIFS(Signals!$A:$A,$A92,Signals!$E:$E,"&gt;=0.60",Signals!$E:$E,"&lt;0.70",Signals!$N:$N,"YES")/(COUNTIFS(Signals!$A:$A,$A92,Signals!$E:$E,"&gt;=0.60",Signals!$E:$E,"&lt;0.70",Signals!$N:$N,"YES")+COUNTIFS(Signals!$A:$A,$A92,Signals!$E:$E,"&gt;=0.60",Signals!$E:$E,"&lt;0.70",Signals!$N:$N,"NO")),"")</f>
        <v/>
      </c>
      <c r="H92" s="36">
        <f>COUNTIFS(Signals!$A:$A,$A92,Signals!$E:$E,"&gt;=0.60",Signals!$E:$E,"&lt;0.70",Signals!$N:$N,"YES")+COUNTIFS(Signals!$A:$A,$A92,Signals!$E:$E,"&gt;=0.60",Signals!$E:$E,"&lt;0.70",Signals!$N:$N,"NO")</f>
        <v>0</v>
      </c>
      <c r="I92" s="38" t="str">
        <f t="shared" si="1"/>
        <v>insufficient data</v>
      </c>
    </row>
    <row r="94" spans="1:9" ht="45" customHeight="1" x14ac:dyDescent="0.25">
      <c r="A94" s="39" t="s">
        <v>244</v>
      </c>
      <c r="B94" s="36">
        <f>SUM(B53:B92)</f>
        <v>216</v>
      </c>
      <c r="I94" s="38" t="str">
        <f>COUNTIF(I53:I92,"✓ YES") &amp; " of " &amp; (COUNTIF(I53:I92,"✓ YES")+COUNTIF(I53:I92,"NO")) &amp; " hold (cohorts w/ +5d data)"</f>
        <v>1 of 9 hold (cohorts w/ +5d data)</v>
      </c>
    </row>
    <row r="96" spans="1:9" ht="27.75" customHeight="1" x14ac:dyDescent="0.25">
      <c r="A96" s="106" t="s">
        <v>245</v>
      </c>
      <c r="B96" s="102"/>
      <c r="C96" s="102"/>
      <c r="D96" s="102"/>
      <c r="E96" s="102"/>
      <c r="F96" s="102"/>
      <c r="G96" s="102"/>
      <c r="H96" s="102"/>
      <c r="I96" s="103"/>
    </row>
  </sheetData>
  <mergeCells count="7">
    <mergeCell ref="A96:I96"/>
    <mergeCell ref="A29:I29"/>
    <mergeCell ref="A2:I2"/>
    <mergeCell ref="A51:I51"/>
    <mergeCell ref="A36:I36"/>
    <mergeCell ref="A1:I1"/>
    <mergeCell ref="A4:I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4"/>
  <sheetViews>
    <sheetView zoomScaleNormal="100" workbookViewId="0">
      <selection activeCell="A7" sqref="A7"/>
    </sheetView>
  </sheetViews>
  <sheetFormatPr defaultColWidth="8.7109375" defaultRowHeight="15" x14ac:dyDescent="0.25"/>
  <cols>
    <col min="1" max="1" width="24" customWidth="1"/>
    <col min="2" max="2" width="90" customWidth="1"/>
  </cols>
  <sheetData>
    <row r="1" spans="1:2" ht="18.75" customHeight="1" x14ac:dyDescent="0.3">
      <c r="A1" s="96" t="s">
        <v>246</v>
      </c>
      <c r="B1" s="93"/>
    </row>
    <row r="2" spans="1:2" ht="15" customHeight="1" x14ac:dyDescent="0.25">
      <c r="A2" s="3"/>
      <c r="B2" s="46"/>
    </row>
    <row r="3" spans="1:2" ht="30" customHeight="1" x14ac:dyDescent="0.25">
      <c r="A3" s="3" t="s">
        <v>247</v>
      </c>
      <c r="B3" s="46" t="s">
        <v>248</v>
      </c>
    </row>
    <row r="4" spans="1:2" ht="15" customHeight="1" x14ac:dyDescent="0.25">
      <c r="A4" s="3"/>
      <c r="B4" s="46"/>
    </row>
    <row r="5" spans="1:2" ht="15.75" customHeight="1" x14ac:dyDescent="0.25">
      <c r="A5" s="95" t="s">
        <v>249</v>
      </c>
      <c r="B5" s="93"/>
    </row>
    <row r="6" spans="1:2" ht="15" customHeight="1" x14ac:dyDescent="0.25">
      <c r="A6" s="3" t="s">
        <v>250</v>
      </c>
      <c r="B6" s="46" t="s">
        <v>251</v>
      </c>
    </row>
    <row r="7" spans="1:2" ht="15" customHeight="1" x14ac:dyDescent="0.25">
      <c r="A7" s="3" t="s">
        <v>252</v>
      </c>
      <c r="B7" s="46" t="s">
        <v>253</v>
      </c>
    </row>
    <row r="8" spans="1:2" ht="15" customHeight="1" x14ac:dyDescent="0.25">
      <c r="A8" s="3" t="s">
        <v>254</v>
      </c>
      <c r="B8" s="46" t="s">
        <v>255</v>
      </c>
    </row>
    <row r="9" spans="1:2" ht="15" customHeight="1" x14ac:dyDescent="0.25">
      <c r="A9" s="3" t="s">
        <v>256</v>
      </c>
      <c r="B9" s="46" t="s">
        <v>257</v>
      </c>
    </row>
    <row r="10" spans="1:2" ht="15" customHeight="1" x14ac:dyDescent="0.25">
      <c r="A10" s="3" t="s">
        <v>258</v>
      </c>
      <c r="B10" s="46" t="s">
        <v>259</v>
      </c>
    </row>
    <row r="11" spans="1:2" ht="15" customHeight="1" x14ac:dyDescent="0.25">
      <c r="A11" s="3"/>
      <c r="B11" s="46"/>
    </row>
    <row r="12" spans="1:2" ht="15.75" customHeight="1" x14ac:dyDescent="0.25">
      <c r="A12" s="95" t="s">
        <v>260</v>
      </c>
      <c r="B12" s="93"/>
    </row>
    <row r="13" spans="1:2" ht="15" customHeight="1" x14ac:dyDescent="0.25">
      <c r="A13" s="3" t="s">
        <v>261</v>
      </c>
      <c r="B13" s="46" t="s">
        <v>262</v>
      </c>
    </row>
    <row r="14" spans="1:2" ht="15" customHeight="1" x14ac:dyDescent="0.25">
      <c r="A14" s="3" t="s">
        <v>263</v>
      </c>
      <c r="B14" s="46" t="s">
        <v>264</v>
      </c>
    </row>
    <row r="15" spans="1:2" ht="15" customHeight="1" x14ac:dyDescent="0.25">
      <c r="A15" s="3" t="s">
        <v>265</v>
      </c>
      <c r="B15" s="46" t="s">
        <v>266</v>
      </c>
    </row>
    <row r="16" spans="1:2" ht="15" customHeight="1" x14ac:dyDescent="0.25">
      <c r="A16" s="3" t="s">
        <v>267</v>
      </c>
      <c r="B16" s="46" t="s">
        <v>268</v>
      </c>
    </row>
    <row r="17" spans="1:2" ht="15" customHeight="1" x14ac:dyDescent="0.25">
      <c r="A17" s="3"/>
      <c r="B17" s="46"/>
    </row>
    <row r="18" spans="1:2" ht="15.75" customHeight="1" x14ac:dyDescent="0.25">
      <c r="A18" s="95" t="s">
        <v>269</v>
      </c>
      <c r="B18" s="93"/>
    </row>
    <row r="19" spans="1:2" ht="15" customHeight="1" x14ac:dyDescent="0.25">
      <c r="A19" s="3" t="s">
        <v>270</v>
      </c>
      <c r="B19" s="46" t="s">
        <v>271</v>
      </c>
    </row>
    <row r="20" spans="1:2" ht="15" customHeight="1" x14ac:dyDescent="0.25">
      <c r="A20" s="3" t="s">
        <v>272</v>
      </c>
      <c r="B20" s="46" t="s">
        <v>273</v>
      </c>
    </row>
    <row r="21" spans="1:2" ht="15" customHeight="1" x14ac:dyDescent="0.25">
      <c r="A21" s="3" t="s">
        <v>274</v>
      </c>
      <c r="B21" s="46" t="s">
        <v>275</v>
      </c>
    </row>
    <row r="22" spans="1:2" ht="15" customHeight="1" x14ac:dyDescent="0.25">
      <c r="A22" s="3"/>
      <c r="B22" s="46"/>
    </row>
    <row r="23" spans="1:2" ht="15.75" customHeight="1" x14ac:dyDescent="0.25">
      <c r="A23" s="95" t="s">
        <v>276</v>
      </c>
      <c r="B23" s="93"/>
    </row>
    <row r="24" spans="1:2" ht="15" customHeight="1" x14ac:dyDescent="0.25">
      <c r="A24" s="3" t="s">
        <v>277</v>
      </c>
      <c r="B24" s="46" t="s">
        <v>278</v>
      </c>
    </row>
    <row r="25" spans="1:2" ht="15" customHeight="1" x14ac:dyDescent="0.25">
      <c r="A25" s="3" t="s">
        <v>279</v>
      </c>
      <c r="B25" s="46" t="s">
        <v>280</v>
      </c>
    </row>
    <row r="26" spans="1:2" ht="15" customHeight="1" x14ac:dyDescent="0.25">
      <c r="A26" s="3" t="s">
        <v>281</v>
      </c>
      <c r="B26" s="46" t="s">
        <v>282</v>
      </c>
    </row>
    <row r="27" spans="1:2" ht="15" customHeight="1" x14ac:dyDescent="0.25">
      <c r="A27" s="3" t="s">
        <v>283</v>
      </c>
      <c r="B27" s="46" t="s">
        <v>284</v>
      </c>
    </row>
    <row r="28" spans="1:2" ht="15" customHeight="1" x14ac:dyDescent="0.25">
      <c r="A28" s="3" t="s">
        <v>285</v>
      </c>
      <c r="B28" s="46" t="s">
        <v>286</v>
      </c>
    </row>
    <row r="29" spans="1:2" ht="15" customHeight="1" x14ac:dyDescent="0.25">
      <c r="A29" s="3" t="s">
        <v>287</v>
      </c>
      <c r="B29" s="46" t="s">
        <v>288</v>
      </c>
    </row>
    <row r="30" spans="1:2" ht="15" customHeight="1" x14ac:dyDescent="0.25">
      <c r="A30" s="3"/>
      <c r="B30" s="46"/>
    </row>
    <row r="31" spans="1:2" ht="15.75" customHeight="1" x14ac:dyDescent="0.25">
      <c r="A31" s="95" t="s">
        <v>289</v>
      </c>
      <c r="B31" s="93"/>
    </row>
    <row r="32" spans="1:2" ht="15" customHeight="1" x14ac:dyDescent="0.25">
      <c r="A32" s="3" t="s">
        <v>290</v>
      </c>
      <c r="B32" s="46" t="s">
        <v>291</v>
      </c>
    </row>
    <row r="33" spans="1:2" ht="15" customHeight="1" x14ac:dyDescent="0.25">
      <c r="A33" s="3" t="s">
        <v>292</v>
      </c>
      <c r="B33" s="46" t="s">
        <v>293</v>
      </c>
    </row>
    <row r="34" spans="1:2" ht="15" customHeight="1" x14ac:dyDescent="0.25">
      <c r="A34" s="3" t="s">
        <v>294</v>
      </c>
      <c r="B34" s="46" t="s">
        <v>295</v>
      </c>
    </row>
  </sheetData>
  <mergeCells count="6">
    <mergeCell ref="A5:B5"/>
    <mergeCell ref="A1:B1"/>
    <mergeCell ref="A23:B23"/>
    <mergeCell ref="A18:B18"/>
    <mergeCell ref="A31:B31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6"/>
  <sheetViews>
    <sheetView workbookViewId="0"/>
  </sheetViews>
  <sheetFormatPr defaultRowHeight="15" x14ac:dyDescent="0.25"/>
  <cols>
    <col min="1" max="1" width="9" customWidth="1"/>
    <col min="2" max="3" width="11" customWidth="1"/>
    <col min="4" max="6" width="10" customWidth="1"/>
    <col min="7" max="7" width="12" customWidth="1"/>
  </cols>
  <sheetData>
    <row r="1" spans="1:7" ht="17.25" x14ac:dyDescent="0.3">
      <c r="A1" s="76" t="s">
        <v>296</v>
      </c>
    </row>
    <row r="2" spans="1:7" x14ac:dyDescent="0.25">
      <c r="A2" s="77" t="s">
        <v>297</v>
      </c>
    </row>
    <row r="4" spans="1:7" x14ac:dyDescent="0.25">
      <c r="A4" s="78" t="s">
        <v>2</v>
      </c>
      <c r="B4" s="78" t="s">
        <v>298</v>
      </c>
      <c r="C4" s="78" t="s">
        <v>299</v>
      </c>
      <c r="D4" s="78" t="s">
        <v>300</v>
      </c>
      <c r="E4" s="78" t="s">
        <v>301</v>
      </c>
      <c r="F4" s="78" t="s">
        <v>302</v>
      </c>
      <c r="G4" s="78" t="s">
        <v>303</v>
      </c>
    </row>
    <row r="5" spans="1:7" x14ac:dyDescent="0.25">
      <c r="A5" s="79">
        <v>46160</v>
      </c>
      <c r="B5" s="80" t="s">
        <v>304</v>
      </c>
      <c r="C5" s="80" t="s">
        <v>305</v>
      </c>
      <c r="D5" s="81">
        <v>0.5714285714285714</v>
      </c>
      <c r="E5" s="81">
        <v>0.5</v>
      </c>
      <c r="F5" s="81">
        <v>0.33333333333333331</v>
      </c>
      <c r="G5" s="82">
        <v>7.1</v>
      </c>
    </row>
    <row r="6" spans="1:7" x14ac:dyDescent="0.25">
      <c r="A6" s="79">
        <v>46161</v>
      </c>
      <c r="B6" s="80" t="s">
        <v>306</v>
      </c>
      <c r="C6" s="80" t="s">
        <v>307</v>
      </c>
      <c r="D6" s="81">
        <v>0.54166666666666663</v>
      </c>
      <c r="E6" s="81">
        <v>0.27272727272727271</v>
      </c>
      <c r="F6" s="81">
        <v>0.38461538461538458</v>
      </c>
      <c r="G6" s="82">
        <v>26.9</v>
      </c>
    </row>
    <row r="7" spans="1:7" x14ac:dyDescent="0.25">
      <c r="A7" s="79">
        <v>46162</v>
      </c>
      <c r="B7" s="80" t="s">
        <v>308</v>
      </c>
      <c r="C7" s="80" t="s">
        <v>309</v>
      </c>
      <c r="D7" s="81">
        <v>0.5161290322580645</v>
      </c>
      <c r="E7" s="81">
        <v>0.2857142857142857</v>
      </c>
      <c r="F7" s="81">
        <v>0.37037037037037029</v>
      </c>
      <c r="G7" s="82">
        <v>23</v>
      </c>
    </row>
    <row r="8" spans="1:7" x14ac:dyDescent="0.25">
      <c r="A8" s="79">
        <v>46163</v>
      </c>
      <c r="B8" s="80" t="s">
        <v>310</v>
      </c>
      <c r="C8" s="80" t="s">
        <v>311</v>
      </c>
      <c r="D8" s="81">
        <v>0.48837209302325579</v>
      </c>
      <c r="E8" s="81">
        <v>0.35294117647058831</v>
      </c>
      <c r="F8" s="81">
        <v>0.3611111111111111</v>
      </c>
      <c r="G8" s="82">
        <v>13.5</v>
      </c>
    </row>
    <row r="9" spans="1:7" x14ac:dyDescent="0.25">
      <c r="A9" s="79">
        <v>46164</v>
      </c>
      <c r="B9" s="80" t="s">
        <v>312</v>
      </c>
      <c r="C9" s="80" t="s">
        <v>305</v>
      </c>
      <c r="D9" s="81">
        <v>0.49090909090909091</v>
      </c>
      <c r="E9" s="81">
        <v>0.38095238095238088</v>
      </c>
      <c r="F9" s="81">
        <v>0.36363636363636359</v>
      </c>
      <c r="G9" s="82">
        <v>11</v>
      </c>
    </row>
    <row r="10" spans="1:7" x14ac:dyDescent="0.25">
      <c r="A10" s="79">
        <v>46168</v>
      </c>
      <c r="B10" s="80" t="s">
        <v>313</v>
      </c>
      <c r="C10" s="80" t="s">
        <v>305</v>
      </c>
      <c r="D10" s="81">
        <v>0.52173913043478259</v>
      </c>
      <c r="E10" s="81">
        <v>0.4</v>
      </c>
      <c r="F10" s="81">
        <v>0.42</v>
      </c>
      <c r="G10" s="82">
        <v>12.2</v>
      </c>
    </row>
    <row r="11" spans="1:7" x14ac:dyDescent="0.25">
      <c r="A11" s="79">
        <v>46169</v>
      </c>
      <c r="B11" s="80" t="s">
        <v>314</v>
      </c>
      <c r="C11" s="80" t="s">
        <v>315</v>
      </c>
      <c r="D11" s="81">
        <v>0.57317073170731703</v>
      </c>
      <c r="E11" s="81">
        <v>0.46666666666666667</v>
      </c>
      <c r="F11" s="81">
        <v>0.44642857142857151</v>
      </c>
      <c r="G11" s="82">
        <v>10.7</v>
      </c>
    </row>
    <row r="12" spans="1:7" x14ac:dyDescent="0.25">
      <c r="A12" s="79">
        <v>46170</v>
      </c>
      <c r="B12" s="80" t="s">
        <v>316</v>
      </c>
      <c r="C12" s="80" t="s">
        <v>317</v>
      </c>
      <c r="D12" s="81">
        <v>0.6</v>
      </c>
      <c r="E12" s="81">
        <v>0.46875</v>
      </c>
      <c r="F12" s="81">
        <v>0.46153846153846162</v>
      </c>
      <c r="G12" s="82">
        <v>13.1</v>
      </c>
    </row>
    <row r="13" spans="1:7" x14ac:dyDescent="0.25">
      <c r="A13" s="79">
        <v>46171</v>
      </c>
      <c r="B13" s="80" t="s">
        <v>318</v>
      </c>
      <c r="C13" s="80" t="s">
        <v>319</v>
      </c>
      <c r="D13" s="81">
        <v>0.6132075471698113</v>
      </c>
      <c r="E13" s="81">
        <v>0.5</v>
      </c>
      <c r="F13" s="81">
        <v>0.43055555555555558</v>
      </c>
      <c r="G13" s="82">
        <v>11.3</v>
      </c>
    </row>
    <row r="14" spans="1:7" x14ac:dyDescent="0.25">
      <c r="A14" s="79">
        <v>46174</v>
      </c>
      <c r="B14" s="80" t="s">
        <v>320</v>
      </c>
      <c r="C14" s="80" t="s">
        <v>321</v>
      </c>
      <c r="D14" s="81">
        <v>0.6228070175438597</v>
      </c>
      <c r="E14" s="81">
        <v>0.5</v>
      </c>
      <c r="F14" s="81">
        <v>0.4358974358974359</v>
      </c>
      <c r="G14" s="82">
        <v>12.3</v>
      </c>
    </row>
    <row r="15" spans="1:7" x14ac:dyDescent="0.25">
      <c r="A15" s="79">
        <v>46175</v>
      </c>
      <c r="B15" s="80" t="s">
        <v>322</v>
      </c>
      <c r="C15" s="80" t="s">
        <v>311</v>
      </c>
      <c r="D15" s="81">
        <v>0.59677419354838712</v>
      </c>
      <c r="E15" s="81">
        <v>0.51063829787234039</v>
      </c>
      <c r="F15" s="81">
        <v>0.43023255813953493</v>
      </c>
      <c r="G15" s="82">
        <v>8.6</v>
      </c>
    </row>
    <row r="16" spans="1:7" x14ac:dyDescent="0.25">
      <c r="A16" s="79">
        <v>46176</v>
      </c>
      <c r="B16" s="80" t="s">
        <v>323</v>
      </c>
      <c r="C16" s="80" t="s">
        <v>324</v>
      </c>
      <c r="D16" s="81">
        <v>0.57777777777777772</v>
      </c>
      <c r="E16" s="81">
        <v>0.48076923076923078</v>
      </c>
      <c r="F16" s="81">
        <v>0.40659340659340659</v>
      </c>
      <c r="G16" s="82">
        <v>9.6999999999999993</v>
      </c>
    </row>
    <row r="17" spans="1:7" x14ac:dyDescent="0.25">
      <c r="A17" s="79">
        <v>46177</v>
      </c>
      <c r="B17" s="80" t="s">
        <v>325</v>
      </c>
      <c r="C17" s="80" t="s">
        <v>305</v>
      </c>
      <c r="D17" s="81">
        <v>0.57432432432432434</v>
      </c>
      <c r="E17" s="81">
        <v>0.48214285714285721</v>
      </c>
      <c r="F17" s="81">
        <v>0.40625</v>
      </c>
      <c r="G17" s="82">
        <v>9.1999999999999993</v>
      </c>
    </row>
    <row r="18" spans="1:7" x14ac:dyDescent="0.25">
      <c r="A18" s="79">
        <v>46178</v>
      </c>
      <c r="B18" s="80" t="s">
        <v>326</v>
      </c>
      <c r="C18" s="80" t="s">
        <v>327</v>
      </c>
      <c r="D18" s="81">
        <v>0.57861635220125784</v>
      </c>
      <c r="E18" s="81">
        <v>0.47540983606557369</v>
      </c>
      <c r="F18" s="81">
        <v>0.44230769230769229</v>
      </c>
      <c r="G18" s="82">
        <v>10.3</v>
      </c>
    </row>
    <row r="19" spans="1:7" x14ac:dyDescent="0.25">
      <c r="A19" s="79">
        <v>46181</v>
      </c>
      <c r="B19" s="80" t="s">
        <v>318</v>
      </c>
      <c r="C19" s="80" t="s">
        <v>328</v>
      </c>
      <c r="D19" s="81">
        <v>0.58823529411764708</v>
      </c>
      <c r="E19" s="81">
        <v>0.48484848484848492</v>
      </c>
      <c r="F19" s="81">
        <v>0.4375</v>
      </c>
      <c r="G19" s="82">
        <v>10.3</v>
      </c>
    </row>
    <row r="20" spans="1:7" x14ac:dyDescent="0.25">
      <c r="A20" s="79">
        <v>46182</v>
      </c>
      <c r="B20" s="80" t="s">
        <v>329</v>
      </c>
      <c r="C20" s="80" t="s">
        <v>330</v>
      </c>
      <c r="D20" s="81">
        <v>0.59340659340659341</v>
      </c>
      <c r="E20" s="81">
        <v>0.5</v>
      </c>
      <c r="F20" s="81">
        <v>0.44444444444444442</v>
      </c>
      <c r="G20" s="82">
        <v>9.3000000000000007</v>
      </c>
    </row>
    <row r="21" spans="1:7" x14ac:dyDescent="0.25">
      <c r="A21" s="79">
        <v>46183</v>
      </c>
      <c r="B21" s="80" t="s">
        <v>331</v>
      </c>
      <c r="C21" s="80" t="s">
        <v>311</v>
      </c>
      <c r="D21" s="81">
        <v>0.59278350515463918</v>
      </c>
      <c r="E21" s="81">
        <v>0.50684931506849318</v>
      </c>
      <c r="F21" s="81">
        <v>0.46031746031746029</v>
      </c>
      <c r="G21" s="82">
        <v>8.6</v>
      </c>
    </row>
    <row r="22" spans="1:7" x14ac:dyDescent="0.25">
      <c r="A22" s="79">
        <v>46184</v>
      </c>
      <c r="B22" s="80" t="s">
        <v>312</v>
      </c>
      <c r="C22" s="80" t="s">
        <v>311</v>
      </c>
      <c r="D22" s="81">
        <v>0.58737864077669899</v>
      </c>
      <c r="E22" s="81">
        <v>0.51315789473684215</v>
      </c>
      <c r="F22" s="81">
        <v>0.44776119402985082</v>
      </c>
      <c r="G22" s="82">
        <v>7.4</v>
      </c>
    </row>
    <row r="23" spans="1:7" x14ac:dyDescent="0.25">
      <c r="A23" s="79">
        <v>46185</v>
      </c>
      <c r="B23" s="80" t="s">
        <v>332</v>
      </c>
      <c r="C23" s="80" t="s">
        <v>327</v>
      </c>
      <c r="D23" s="81">
        <v>0.58796296296296291</v>
      </c>
      <c r="E23" s="81">
        <v>0.50617283950617287</v>
      </c>
      <c r="F23" s="81">
        <v>0.45</v>
      </c>
      <c r="G23" s="82">
        <v>8.1999999999999993</v>
      </c>
    </row>
    <row r="24" spans="1:7" x14ac:dyDescent="0.25">
      <c r="A24" s="79">
        <v>46188</v>
      </c>
      <c r="B24" s="80" t="s">
        <v>333</v>
      </c>
      <c r="C24" s="80" t="s">
        <v>321</v>
      </c>
      <c r="D24" s="81">
        <v>0.5757575757575758</v>
      </c>
      <c r="E24" s="81">
        <v>0.50574712643678166</v>
      </c>
      <c r="F24" s="81">
        <v>0.45070422535211269</v>
      </c>
      <c r="G24" s="82">
        <v>7</v>
      </c>
    </row>
    <row r="25" spans="1:7" x14ac:dyDescent="0.25">
      <c r="A25" s="79">
        <v>46189</v>
      </c>
      <c r="B25" s="80" t="s">
        <v>322</v>
      </c>
      <c r="C25" s="80" t="s">
        <v>334</v>
      </c>
      <c r="D25" s="81">
        <v>0.56431535269709543</v>
      </c>
      <c r="E25" s="81">
        <v>0.47959183673469391</v>
      </c>
      <c r="F25" s="81">
        <v>0.45454545454545447</v>
      </c>
      <c r="G25" s="82">
        <v>8.5</v>
      </c>
    </row>
    <row r="26" spans="1:7" x14ac:dyDescent="0.25">
      <c r="A26" s="79">
        <v>46190</v>
      </c>
      <c r="B26" s="80" t="s">
        <v>335</v>
      </c>
      <c r="C26" s="80" t="s">
        <v>320</v>
      </c>
      <c r="D26" s="81">
        <v>0.55511811023622049</v>
      </c>
      <c r="E26" s="81">
        <v>0.5</v>
      </c>
      <c r="F26" s="81">
        <v>0.45205479452054792</v>
      </c>
      <c r="G26" s="82">
        <v>5.5</v>
      </c>
    </row>
    <row r="27" spans="1:7" x14ac:dyDescent="0.25">
      <c r="A27" s="79">
        <v>46191</v>
      </c>
      <c r="B27" s="80" t="s">
        <v>326</v>
      </c>
      <c r="C27" s="80" t="s">
        <v>336</v>
      </c>
      <c r="D27" s="81">
        <v>0.55849056603773584</v>
      </c>
      <c r="E27" s="81">
        <v>0.5178571428571429</v>
      </c>
      <c r="F27" s="81">
        <v>0.43790849673202609</v>
      </c>
      <c r="G27" s="82">
        <v>4.0999999999999996</v>
      </c>
    </row>
    <row r="28" spans="1:7" x14ac:dyDescent="0.25">
      <c r="A28" s="79">
        <v>46195</v>
      </c>
      <c r="B28" s="80" t="s">
        <v>337</v>
      </c>
      <c r="C28" s="80" t="s">
        <v>319</v>
      </c>
      <c r="D28" s="81">
        <v>0.55797101449275366</v>
      </c>
      <c r="E28" s="81">
        <v>0.52542372881355937</v>
      </c>
      <c r="F28" s="81">
        <v>0.43396226415094341</v>
      </c>
      <c r="G28" s="82">
        <v>3.3</v>
      </c>
    </row>
    <row r="29" spans="1:7" x14ac:dyDescent="0.25">
      <c r="A29" s="79">
        <v>46196</v>
      </c>
      <c r="B29" s="80" t="s">
        <v>338</v>
      </c>
      <c r="C29" s="80" t="s">
        <v>339</v>
      </c>
      <c r="D29" s="81">
        <v>0.56643356643356646</v>
      </c>
      <c r="E29" s="81">
        <v>0.54400000000000004</v>
      </c>
      <c r="F29" s="81">
        <v>0.43975903614457829</v>
      </c>
      <c r="G29" s="82">
        <v>2.2000000000000002</v>
      </c>
    </row>
    <row r="30" spans="1:7" x14ac:dyDescent="0.25">
      <c r="A30" s="79">
        <v>46197</v>
      </c>
      <c r="B30" s="80" t="s">
        <v>340</v>
      </c>
      <c r="C30" s="80" t="s">
        <v>341</v>
      </c>
      <c r="D30" s="81">
        <v>0.56802721088435371</v>
      </c>
      <c r="E30" s="81">
        <v>0.56390977443609025</v>
      </c>
      <c r="F30" s="81">
        <v>0.44186046511627908</v>
      </c>
      <c r="G30" s="82">
        <v>0.4</v>
      </c>
    </row>
    <row r="31" spans="1:7" x14ac:dyDescent="0.25">
      <c r="A31" s="79">
        <v>46198</v>
      </c>
      <c r="B31" s="80" t="s">
        <v>342</v>
      </c>
      <c r="C31" s="80" t="s">
        <v>343</v>
      </c>
      <c r="D31" s="81">
        <v>0.5643564356435643</v>
      </c>
      <c r="E31" s="81">
        <v>0.5714285714285714</v>
      </c>
      <c r="F31" s="81">
        <v>0.4438202247191011</v>
      </c>
      <c r="G31" s="82">
        <v>-0.7</v>
      </c>
    </row>
    <row r="33" spans="1:1" x14ac:dyDescent="0.25">
      <c r="A33" s="83" t="s">
        <v>344</v>
      </c>
    </row>
    <row r="34" spans="1:1" x14ac:dyDescent="0.25">
      <c r="A34" t="s">
        <v>345</v>
      </c>
    </row>
    <row r="35" spans="1:1" x14ac:dyDescent="0.25">
      <c r="A35" t="s">
        <v>346</v>
      </c>
    </row>
    <row r="36" spans="1:1" x14ac:dyDescent="0.25">
      <c r="A36" t="s">
        <v>347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5"/>
  <sheetViews>
    <sheetView tabSelected="1" workbookViewId="0">
      <selection activeCell="I24" sqref="I24"/>
    </sheetView>
  </sheetViews>
  <sheetFormatPr defaultRowHeight="15" x14ac:dyDescent="0.25"/>
  <cols>
    <col min="1" max="1" width="9" customWidth="1"/>
    <col min="2" max="2" width="5" customWidth="1"/>
    <col min="3" max="3" width="13" customWidth="1"/>
    <col min="4" max="4" width="8" customWidth="1"/>
    <col min="5" max="5" width="18" customWidth="1"/>
    <col min="6" max="6" width="42.28515625" bestFit="1" customWidth="1"/>
    <col min="7" max="7" width="12" customWidth="1"/>
    <col min="8" max="8" width="11" customWidth="1"/>
    <col min="9" max="9" width="12" customWidth="1"/>
  </cols>
  <sheetData>
    <row r="1" spans="1:9" ht="17.25" x14ac:dyDescent="0.3">
      <c r="A1" s="76" t="s">
        <v>0</v>
      </c>
    </row>
    <row r="2" spans="1:9" ht="54" customHeight="1" x14ac:dyDescent="0.25">
      <c r="A2" s="92" t="s">
        <v>1</v>
      </c>
      <c r="B2" s="93"/>
      <c r="C2" s="93"/>
      <c r="D2" s="93"/>
      <c r="E2" s="93"/>
      <c r="F2" s="93"/>
      <c r="G2" s="93"/>
      <c r="H2" s="93"/>
      <c r="I2" s="93"/>
    </row>
    <row r="4" spans="1:9" ht="30" customHeight="1" x14ac:dyDescent="0.25">
      <c r="A4" s="84" t="s">
        <v>2</v>
      </c>
      <c r="B4" s="84" t="s">
        <v>3</v>
      </c>
      <c r="C4" s="84" t="s">
        <v>4</v>
      </c>
      <c r="D4" s="84" t="s">
        <v>5</v>
      </c>
      <c r="E4" s="84" t="s">
        <v>6</v>
      </c>
      <c r="F4" s="84" t="s">
        <v>7</v>
      </c>
      <c r="G4" s="84" t="s">
        <v>8</v>
      </c>
      <c r="H4" s="84" t="s">
        <v>9</v>
      </c>
      <c r="I4" s="84" t="s">
        <v>10</v>
      </c>
    </row>
    <row r="5" spans="1:9" x14ac:dyDescent="0.25">
      <c r="A5" s="79">
        <v>46188</v>
      </c>
      <c r="B5" s="80">
        <v>24</v>
      </c>
      <c r="C5" s="80" t="s">
        <v>11</v>
      </c>
      <c r="D5" s="81">
        <v>0.4</v>
      </c>
      <c r="E5" s="85" t="s">
        <v>12</v>
      </c>
      <c r="F5" s="86" t="s">
        <v>13</v>
      </c>
      <c r="G5" s="82">
        <v>7</v>
      </c>
      <c r="H5" s="87">
        <v>0.41666666666666669</v>
      </c>
      <c r="I5" s="88" t="s">
        <v>14</v>
      </c>
    </row>
    <row r="6" spans="1:9" x14ac:dyDescent="0.25">
      <c r="A6" s="79">
        <v>46189</v>
      </c>
      <c r="B6" s="80">
        <v>24</v>
      </c>
      <c r="C6" s="80" t="s">
        <v>15</v>
      </c>
      <c r="D6" s="81">
        <v>0.3</v>
      </c>
      <c r="E6" s="89" t="s">
        <v>16</v>
      </c>
      <c r="F6" s="86" t="s">
        <v>17</v>
      </c>
      <c r="G6" s="82">
        <v>8.5</v>
      </c>
      <c r="H6" s="87">
        <v>0.29166666666666669</v>
      </c>
      <c r="I6" s="90" t="s">
        <v>18</v>
      </c>
    </row>
    <row r="7" spans="1:9" x14ac:dyDescent="0.25">
      <c r="A7" s="79">
        <v>46190</v>
      </c>
      <c r="B7" s="80">
        <v>24</v>
      </c>
      <c r="C7" s="80" t="s">
        <v>19</v>
      </c>
      <c r="D7" s="81">
        <v>0.38461538461538458</v>
      </c>
      <c r="E7" s="85" t="s">
        <v>12</v>
      </c>
      <c r="F7" s="86" t="s">
        <v>20</v>
      </c>
      <c r="G7" s="82">
        <v>5.5</v>
      </c>
      <c r="H7" s="87">
        <v>0.5</v>
      </c>
      <c r="I7" s="88" t="s">
        <v>14</v>
      </c>
    </row>
    <row r="8" spans="1:9" x14ac:dyDescent="0.25">
      <c r="A8" s="79">
        <v>46191</v>
      </c>
      <c r="B8" s="80">
        <v>24</v>
      </c>
      <c r="C8" s="80" t="s">
        <v>21</v>
      </c>
      <c r="D8" s="81">
        <v>0.63636363636363635</v>
      </c>
      <c r="E8" s="85" t="s">
        <v>12</v>
      </c>
      <c r="F8" s="86" t="s">
        <v>22</v>
      </c>
      <c r="G8" s="82">
        <v>4.0999999999999996</v>
      </c>
      <c r="H8" s="87">
        <v>0.54166666666666663</v>
      </c>
      <c r="I8" s="88" t="s">
        <v>14</v>
      </c>
    </row>
    <row r="9" spans="1:9" x14ac:dyDescent="0.25">
      <c r="A9" s="79">
        <v>46195</v>
      </c>
      <c r="B9" s="80">
        <v>24</v>
      </c>
      <c r="C9" s="80" t="s">
        <v>23</v>
      </c>
      <c r="D9" s="81">
        <v>0.54545454545454541</v>
      </c>
      <c r="E9" s="85" t="s">
        <v>12</v>
      </c>
      <c r="F9" s="86" t="s">
        <v>24</v>
      </c>
      <c r="G9" s="82">
        <v>3.3</v>
      </c>
      <c r="H9" s="87">
        <v>0.5</v>
      </c>
      <c r="I9" s="88" t="s">
        <v>14</v>
      </c>
    </row>
    <row r="10" spans="1:9" x14ac:dyDescent="0.25">
      <c r="A10" s="79">
        <v>46196</v>
      </c>
      <c r="B10" s="80">
        <v>24</v>
      </c>
      <c r="C10" s="80" t="s">
        <v>25</v>
      </c>
      <c r="D10" s="81">
        <v>0.8</v>
      </c>
      <c r="E10" s="85" t="s">
        <v>12</v>
      </c>
      <c r="F10" s="86" t="s">
        <v>26</v>
      </c>
      <c r="G10" s="82">
        <v>2.2000000000000002</v>
      </c>
      <c r="H10" s="87">
        <v>0.75</v>
      </c>
      <c r="I10" s="91" t="s">
        <v>27</v>
      </c>
    </row>
    <row r="11" spans="1:9" x14ac:dyDescent="0.25">
      <c r="A11" s="79">
        <v>46197</v>
      </c>
      <c r="B11" s="80">
        <v>24</v>
      </c>
      <c r="C11" s="80" t="s">
        <v>28</v>
      </c>
      <c r="D11" s="81">
        <v>0.625</v>
      </c>
      <c r="E11" s="85" t="s">
        <v>12</v>
      </c>
      <c r="F11" s="86" t="s">
        <v>29</v>
      </c>
      <c r="G11" s="82">
        <v>0.4</v>
      </c>
      <c r="H11" s="87">
        <v>0.625</v>
      </c>
      <c r="I11" s="91" t="s">
        <v>27</v>
      </c>
    </row>
    <row r="12" spans="1:9" x14ac:dyDescent="0.25">
      <c r="A12" s="79">
        <v>46198</v>
      </c>
      <c r="B12" s="80">
        <v>24</v>
      </c>
      <c r="C12" s="80" t="s">
        <v>30</v>
      </c>
      <c r="D12" s="81">
        <v>0.44444444444444442</v>
      </c>
      <c r="E12" s="85" t="s">
        <v>12</v>
      </c>
      <c r="F12" s="86" t="s">
        <v>31</v>
      </c>
      <c r="G12" s="82">
        <v>-0.7</v>
      </c>
      <c r="H12" s="87">
        <v>0.5</v>
      </c>
      <c r="I12" s="88" t="s">
        <v>14</v>
      </c>
    </row>
    <row r="14" spans="1:9" x14ac:dyDescent="0.25">
      <c r="A14" s="83" t="s">
        <v>32</v>
      </c>
    </row>
    <row r="15" spans="1:9" x14ac:dyDescent="0.25">
      <c r="A15" t="s">
        <v>33</v>
      </c>
    </row>
  </sheetData>
  <mergeCells count="1"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Signals</vt:lpstr>
      <vt:lpstr>Near-Miss BUYs</vt:lpstr>
      <vt:lpstr>Cohort Analysis</vt:lpstr>
      <vt:lpstr>How to Use</vt:lpstr>
      <vt:lpstr>Guardrail Trace</vt:lpstr>
      <vt:lpstr>Live Cohort Scoreboard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wood</cp:lastModifiedBy>
  <cp:revision>0</cp:revision>
  <dcterms:created xsi:type="dcterms:W3CDTF">2026-05-20T15:28:37Z</dcterms:created>
  <dcterms:modified xsi:type="dcterms:W3CDTF">2026-07-06T20:36:19Z</dcterms:modified>
  <dc:language>en-US</dc:language>
</cp:coreProperties>
</file>