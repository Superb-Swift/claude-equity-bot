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3" autoFilterDateGrouping="1"/>
  </bookViews>
  <sheets>
    <sheet name="Dashboard" sheetId="1" state="visible" r:id="rId1"/>
    <sheet name="Signals" sheetId="2" state="visible" r:id="rId2"/>
    <sheet name="Near-Miss BUYs" sheetId="3" state="visible" r:id="rId3"/>
    <sheet name="Cohort Analysis" sheetId="4" state="visible" r:id="rId4"/>
    <sheet name="How to Use" sheetId="5" state="visible" r:id="rId5"/>
    <sheet name="Guardrail Trace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0">
    <numFmt numFmtId="164" formatCode="0.0%"/>
    <numFmt numFmtId="165" formatCode="yyyy\-mm\-dd"/>
    <numFmt numFmtId="166" formatCode="\$#,##0.00"/>
    <numFmt numFmtId="167" formatCode="0.0%;[Red]\(0.0%\);\-"/>
    <numFmt numFmtId="168" formatCode="0.0%;[Red]\-0.0%"/>
    <numFmt numFmtId="169" formatCode="m/d"/>
    <numFmt numFmtId="170" formatCode="0.0"/>
    <numFmt numFmtId="171" formatCode="yyyy-mm-dd"/>
    <numFmt numFmtId="172" formatCode="$#,##0.00"/>
    <numFmt numFmtId="173" formatCode="0.0%;[Red]-0.0%"/>
  </numFmts>
  <fonts count="37">
    <font>
      <name val="Calibri"/>
      <charset val="1"/>
      <family val="2"/>
      <color theme="1"/>
      <sz val="11"/>
    </font>
    <font>
      <name val="Arial"/>
      <sz val="10"/>
    </font>
    <font>
      <name val="Calibri"/>
      <charset val="1"/>
      <b val="1"/>
      <color rgb="FF1F4E79"/>
      <sz val="14"/>
    </font>
    <font>
      <name val="Calibri"/>
      <charset val="1"/>
      <i val="1"/>
      <color rgb="FF595959"/>
      <sz val="10"/>
    </font>
    <font>
      <name val="Calibri"/>
      <charset val="1"/>
      <b val="1"/>
      <color rgb="FF1F4E79"/>
      <sz val="12"/>
    </font>
    <font>
      <name val="Calibri"/>
      <charset val="1"/>
      <b val="1"/>
      <sz val="11"/>
    </font>
    <font>
      <name val="Calibri"/>
      <charset val="1"/>
      <sz val="11"/>
    </font>
    <font>
      <name val="Calibri"/>
      <charset val="1"/>
      <b val="1"/>
      <color rgb="FFFFFFFF"/>
      <sz val="11"/>
    </font>
    <font>
      <name val="Arial"/>
      <charset val="1"/>
      <b val="1"/>
      <color rgb="FF000000"/>
      <sz val="12"/>
    </font>
    <font>
      <name val="Arial"/>
      <charset val="1"/>
      <color rgb="FF000000"/>
      <sz val="9"/>
    </font>
    <font>
      <name val="Arial"/>
      <charset val="1"/>
      <b val="1"/>
      <color rgb="FFFFFFFF"/>
      <sz val="9"/>
    </font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color rgb="FF808080"/>
      <sz val="9"/>
    </font>
    <font>
      <name val="Arial"/>
      <charset val="1"/>
      <b val="1"/>
      <color rgb="FF000000"/>
      <sz val="9"/>
    </font>
    <font>
      <name val="Arial"/>
      <charset val="1"/>
      <b val="1"/>
      <color rgb="FF1F4E78"/>
      <sz val="10"/>
    </font>
    <font>
      <name val="Arial"/>
      <charset val="1"/>
      <color rgb="FF808080"/>
      <sz val="8"/>
    </font>
    <font>
      <name val="Calibri"/>
      <charset val="1"/>
      <b val="1"/>
      <color rgb="FF1F4E79"/>
      <sz val="11"/>
    </font>
    <font>
      <name val="Cambria"/>
      <charset val="1"/>
      <b val="1"/>
      <sz val="13"/>
    </font>
    <font>
      <name val="Cambria"/>
      <charset val="1"/>
      <i val="1"/>
      <color rgb="FF666666"/>
      <sz val="9"/>
    </font>
    <font>
      <name val="Cambria"/>
      <charset val="1"/>
      <b val="1"/>
      <color rgb="FFFFFFFF"/>
      <sz val="10"/>
    </font>
    <font>
      <name val="Cambria"/>
      <charset val="1"/>
      <b val="1"/>
      <sz val="11"/>
    </font>
    <font>
      <name val="Calibri"/>
      <charset val="1"/>
      <family val="2"/>
      <b val="1"/>
      <color theme="1"/>
      <sz val="11"/>
    </font>
    <font>
      <name val="Calibri"/>
      <family val="2"/>
      <b val="1"/>
      <sz val="11"/>
      <scheme val="minor"/>
    </font>
    <font>
      <name val="Arial"/>
      <b val="1"/>
      <color rgb="00000000"/>
      <sz val="12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808080"/>
      <sz val="9"/>
    </font>
    <font>
      <name val="Arial"/>
      <b val="1"/>
      <color rgb="00000000"/>
      <sz val="9"/>
    </font>
    <font>
      <name val="Arial"/>
      <b val="1"/>
      <color rgb="001F4E78"/>
      <sz val="10"/>
    </font>
    <font>
      <name val="Arial"/>
      <color rgb="00808080"/>
      <sz val="8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</font>
  </fonts>
  <fills count="16">
    <fill>
      <patternFill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1F4E79"/>
        <bgColor rgb="FF1F4E78"/>
      </patternFill>
    </fill>
    <fill>
      <patternFill patternType="solid">
        <fgColor rgb="FFFFF2CC"/>
        <bgColor rgb="FFF2F2F2"/>
      </patternFill>
    </fill>
    <fill>
      <patternFill patternType="solid">
        <fgColor theme="0" tint="-0.3499862666707358"/>
        <bgColor rgb="FFBFBFBF"/>
      </patternFill>
    </fill>
    <fill>
      <patternFill patternType="solid">
        <fgColor rgb="FF1F4E78"/>
        <bgColor rgb="FF1F4E79"/>
      </patternFill>
    </fill>
    <fill>
      <patternFill patternType="solid">
        <fgColor rgb="FFF2F2F2"/>
        <bgColor rgb="FFE7E6E6"/>
      </patternFill>
    </fill>
    <fill>
      <patternFill patternType="solid">
        <fgColor rgb="FF1A237E"/>
        <bgColor rgb="FF000080"/>
      </patternFill>
    </fill>
    <fill>
      <patternFill patternType="solid">
        <fgColor rgb="FFE7E6E6"/>
        <bgColor indexed="64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A237E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9" fontId="1" fillId="0" borderId="0"/>
  </cellStyleXfs>
  <cellXfs count="139">
    <xf numFmtId="0" fontId="0" fillId="0" borderId="0" pivotButton="0" quotePrefix="0" xfId="0"/>
    <xf numFmtId="0" fontId="0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0" pivotButton="0" quotePrefix="0" xfId="0"/>
    <xf numFmtId="164" fontId="6" fillId="3" borderId="0" pivotButton="0" quotePrefix="0" xfId="0"/>
    <xf numFmtId="1" fontId="6" fillId="3" borderId="0" pivotButton="0" quotePrefix="0" xfId="0"/>
    <xf numFmtId="0" fontId="7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0" fontId="6" fillId="3" borderId="0" pivotButton="0" quotePrefix="0" xfId="0"/>
    <xf numFmtId="165" fontId="0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166" fontId="0" fillId="0" borderId="1" pivotButton="0" quotePrefix="0" xfId="0"/>
    <xf numFmtId="166" fontId="6" fillId="5" borderId="1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166" fontId="6" fillId="0" borderId="4" pivotButton="0" quotePrefix="0" xfId="0"/>
    <xf numFmtId="0" fontId="7" fillId="4" borderId="1" applyAlignment="1" pivotButton="0" quotePrefix="0" xfId="0">
      <alignment horizontal="center" vertical="center"/>
    </xf>
    <xf numFmtId="165" fontId="6" fillId="0" borderId="1" pivotButton="0" quotePrefix="0" xfId="0"/>
    <xf numFmtId="0" fontId="6" fillId="0" borderId="1" pivotButton="0" quotePrefix="0" xfId="0"/>
    <xf numFmtId="9" fontId="6" fillId="0" borderId="1" pivotButton="0" quotePrefix="0" xfId="0"/>
    <xf numFmtId="166" fontId="6" fillId="0" borderId="1" pivotButton="0" quotePrefix="0" xfId="0"/>
    <xf numFmtId="167" fontId="6" fillId="3" borderId="1" pivotButton="0" quotePrefix="0" xfId="0"/>
    <xf numFmtId="0" fontId="6" fillId="3" borderId="1" pivotButton="0" quotePrefix="0" xfId="0"/>
    <xf numFmtId="165" fontId="0" fillId="6" borderId="1" pivotButton="0" quotePrefix="0" xfId="0"/>
    <xf numFmtId="0" fontId="0" fillId="6" borderId="1" pivotButton="0" quotePrefix="0" xfId="0"/>
    <xf numFmtId="9" fontId="0" fillId="6" borderId="1" pivotButton="0" quotePrefix="0" xfId="0"/>
    <xf numFmtId="166" fontId="0" fillId="6" borderId="1" pivotButton="0" quotePrefix="0" xfId="0"/>
    <xf numFmtId="166" fontId="6" fillId="6" borderId="1" pivotButton="0" quotePrefix="0" xfId="0"/>
    <xf numFmtId="167" fontId="6" fillId="6" borderId="1" pivotButton="0" quotePrefix="0" xfId="0"/>
    <xf numFmtId="0" fontId="0" fillId="0" borderId="1" applyAlignment="1" pivotButton="0" quotePrefix="0" xfId="0">
      <alignment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7" borderId="5" applyAlignment="1" pivotButton="0" quotePrefix="0" xfId="0">
      <alignment horizontal="center" vertical="center"/>
    </xf>
    <xf numFmtId="165" fontId="11" fillId="2" borderId="5" applyAlignment="1" pivotButton="0" quotePrefix="0" xfId="0">
      <alignment horizontal="center" vertical="center"/>
    </xf>
    <xf numFmtId="0" fontId="12" fillId="2" borderId="5" applyAlignment="1" pivotButton="0" quotePrefix="0" xfId="0">
      <alignment horizontal="center" vertical="center"/>
    </xf>
    <xf numFmtId="0" fontId="11" fillId="2" borderId="5" applyAlignment="1" pivotButton="0" quotePrefix="0" xfId="0">
      <alignment horizontal="left" vertical="center"/>
    </xf>
    <xf numFmtId="9" fontId="11" fillId="2" borderId="5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166" fontId="11" fillId="2" borderId="5" applyAlignment="1" pivotButton="0" quotePrefix="0" xfId="0">
      <alignment horizontal="right" vertical="center"/>
    </xf>
    <xf numFmtId="168" fontId="11" fillId="2" borderId="5" applyAlignment="1" pivotButton="0" quotePrefix="0" xfId="0">
      <alignment horizontal="right" vertical="center"/>
    </xf>
    <xf numFmtId="0" fontId="9" fillId="2" borderId="5" applyAlignment="1" pivotButton="0" quotePrefix="0" xfId="0">
      <alignment horizontal="center" vertical="center"/>
    </xf>
    <xf numFmtId="165" fontId="11" fillId="5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1" fillId="5" borderId="5" applyAlignment="1" pivotButton="0" quotePrefix="0" xfId="0">
      <alignment horizontal="left" vertical="center"/>
    </xf>
    <xf numFmtId="9" fontId="11" fillId="5" borderId="5" applyAlignment="1" pivotButton="0" quotePrefix="0" xfId="0">
      <alignment horizontal="center" vertical="center"/>
    </xf>
    <xf numFmtId="0" fontId="11" fillId="5" borderId="5" applyAlignment="1" pivotButton="0" quotePrefix="0" xfId="0">
      <alignment horizontal="center" vertical="center"/>
    </xf>
    <xf numFmtId="166" fontId="11" fillId="5" borderId="5" applyAlignment="1" pivotButton="0" quotePrefix="0" xfId="0">
      <alignment horizontal="right" vertical="center"/>
    </xf>
    <xf numFmtId="168" fontId="11" fillId="5" borderId="5" applyAlignment="1" pivotButton="0" quotePrefix="0" xfId="0">
      <alignment horizontal="right" vertical="center"/>
    </xf>
    <xf numFmtId="0" fontId="9" fillId="5" borderId="5" applyAlignment="1" pivotButton="0" quotePrefix="0" xfId="0">
      <alignment horizontal="center" vertical="center"/>
    </xf>
    <xf numFmtId="0" fontId="12" fillId="8" borderId="5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5" applyAlignment="1" pivotButton="0" quotePrefix="0" xfId="0">
      <alignment horizontal="left" vertical="center"/>
    </xf>
    <xf numFmtId="1" fontId="9" fillId="0" borderId="5" applyAlignment="1" pivotButton="0" quotePrefix="0" xfId="0">
      <alignment horizontal="right" vertical="center"/>
    </xf>
    <xf numFmtId="164" fontId="9" fillId="0" borderId="5" applyAlignment="1" pivotButton="0" quotePrefix="0" xfId="0">
      <alignment horizontal="right" vertical="center"/>
    </xf>
    <xf numFmtId="168" fontId="9" fillId="0" borderId="5" applyAlignment="1" pivotButton="0" quotePrefix="0" xfId="0">
      <alignment horizontal="right" vertical="center"/>
    </xf>
    <xf numFmtId="0" fontId="14" fillId="0" borderId="5" applyAlignment="1" pivotButton="0" quotePrefix="0" xfId="0">
      <alignment horizontal="left" vertical="center"/>
    </xf>
    <xf numFmtId="1" fontId="14" fillId="0" borderId="5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7" fillId="4" borderId="5" applyAlignment="1" pivotButton="0" quotePrefix="0" xfId="0">
      <alignment horizontal="center" vertical="center" wrapText="1"/>
    </xf>
    <xf numFmtId="1" fontId="0" fillId="3" borderId="5" applyAlignment="1" pivotButton="0" quotePrefix="0" xfId="0">
      <alignment horizontal="right" vertical="center" wrapText="1"/>
    </xf>
    <xf numFmtId="9" fontId="0" fillId="3" borderId="5" applyAlignment="1" pivotButton="0" quotePrefix="0" xfId="0">
      <alignment horizontal="right" vertical="center" wrapText="1"/>
    </xf>
    <xf numFmtId="0" fontId="0" fillId="3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left" vertical="center" wrapText="1"/>
    </xf>
    <xf numFmtId="0" fontId="0" fillId="3" borderId="5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6" fillId="0" borderId="0" applyAlignment="1" pivotButton="0" quotePrefix="0" xfId="0">
      <alignment vertical="top" wrapText="1"/>
    </xf>
    <xf numFmtId="0" fontId="18" fillId="0" borderId="0" pivotButton="0" quotePrefix="0" xfId="0"/>
    <xf numFmtId="0" fontId="19" fillId="0" borderId="0" pivotButton="0" quotePrefix="0" xfId="0"/>
    <xf numFmtId="0" fontId="20" fillId="9" borderId="8" applyAlignment="1" pivotButton="0" quotePrefix="0" xfId="0">
      <alignment horizontal="center"/>
    </xf>
    <xf numFmtId="169" fontId="0" fillId="0" borderId="8" pivotButton="0" quotePrefix="0" xfId="0"/>
    <xf numFmtId="0" fontId="0" fillId="0" borderId="8" applyAlignment="1" pivotButton="0" quotePrefix="0" xfId="0">
      <alignment horizontal="center"/>
    </xf>
    <xf numFmtId="164" fontId="0" fillId="0" borderId="8" pivotButton="0" quotePrefix="0" xfId="0"/>
    <xf numFmtId="170" fontId="0" fillId="0" borderId="8" pivotButton="0" quotePrefix="0" xfId="0"/>
    <xf numFmtId="0" fontId="21" fillId="0" borderId="0" pivotButton="0" quotePrefix="0" xfId="0"/>
    <xf numFmtId="0" fontId="22" fillId="3" borderId="5" applyAlignment="1" pivotButton="0" quotePrefix="0" xfId="0">
      <alignment horizontal="center" vertical="center" wrapText="1"/>
    </xf>
    <xf numFmtId="1" fontId="22" fillId="3" borderId="5" applyAlignment="1" pivotButton="0" quotePrefix="0" xfId="0">
      <alignment horizontal="left" vertical="center" wrapText="1"/>
    </xf>
    <xf numFmtId="164" fontId="23" fillId="10" borderId="5" applyAlignment="1" pivotButton="0" quotePrefix="0" xfId="1">
      <alignment horizontal="left" vertical="center" wrapText="1"/>
    </xf>
    <xf numFmtId="0" fontId="4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0" borderId="2" applyAlignment="1" pivotButton="0" quotePrefix="0" xfId="0">
      <alignment horizontal="left" vertical="center"/>
    </xf>
    <xf numFmtId="0" fontId="3" fillId="0" borderId="3" pivotButton="0" quotePrefix="0" xfId="0"/>
    <xf numFmtId="0" fontId="4" fillId="0" borderId="0" pivotButton="0" quotePrefix="0" xfId="0"/>
    <xf numFmtId="0" fontId="0" fillId="0" borderId="5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6" fillId="11" borderId="12" applyAlignment="1" pivotButton="0" quotePrefix="0" xfId="0">
      <alignment horizontal="center" vertical="center"/>
    </xf>
    <xf numFmtId="171" fontId="27" fillId="12" borderId="12" applyAlignment="1" pivotButton="0" quotePrefix="0" xfId="0">
      <alignment horizontal="center" vertical="center"/>
    </xf>
    <xf numFmtId="0" fontId="28" fillId="12" borderId="12" applyAlignment="1" pivotButton="0" quotePrefix="0" xfId="0">
      <alignment horizontal="center" vertical="center"/>
    </xf>
    <xf numFmtId="0" fontId="27" fillId="12" borderId="12" applyAlignment="1" pivotButton="0" quotePrefix="0" xfId="0">
      <alignment horizontal="left" vertical="center"/>
    </xf>
    <xf numFmtId="9" fontId="27" fillId="12" borderId="12" applyAlignment="1" pivotButton="0" quotePrefix="0" xfId="0">
      <alignment horizontal="center" vertical="center"/>
    </xf>
    <xf numFmtId="0" fontId="27" fillId="12" borderId="12" applyAlignment="1" pivotButton="0" quotePrefix="0" xfId="0">
      <alignment horizontal="center" vertical="center"/>
    </xf>
    <xf numFmtId="172" fontId="27" fillId="12" borderId="12" applyAlignment="1" pivotButton="0" quotePrefix="0" xfId="0">
      <alignment horizontal="right" vertical="center"/>
    </xf>
    <xf numFmtId="173" fontId="27" fillId="12" borderId="12" applyAlignment="1" pivotButton="0" quotePrefix="0" xfId="0">
      <alignment horizontal="right" vertical="center"/>
    </xf>
    <xf numFmtId="0" fontId="25" fillId="12" borderId="12" applyAlignment="1" pivotButton="0" quotePrefix="0" xfId="0">
      <alignment horizontal="center" vertical="center"/>
    </xf>
    <xf numFmtId="171" fontId="27" fillId="13" borderId="12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0" fontId="27" fillId="13" borderId="12" applyAlignment="1" pivotButton="0" quotePrefix="0" xfId="0">
      <alignment horizontal="left" vertical="center"/>
    </xf>
    <xf numFmtId="9" fontId="27" fillId="13" borderId="12" applyAlignment="1" pivotButton="0" quotePrefix="0" xfId="0">
      <alignment horizontal="center" vertical="center"/>
    </xf>
    <xf numFmtId="0" fontId="27" fillId="13" borderId="12" applyAlignment="1" pivotButton="0" quotePrefix="0" xfId="0">
      <alignment horizontal="center" vertical="center"/>
    </xf>
    <xf numFmtId="172" fontId="27" fillId="13" borderId="12" applyAlignment="1" pivotButton="0" quotePrefix="0" xfId="0">
      <alignment horizontal="right" vertical="center"/>
    </xf>
    <xf numFmtId="173" fontId="27" fillId="13" borderId="12" applyAlignment="1" pivotButton="0" quotePrefix="0" xfId="0">
      <alignment horizontal="right" vertical="center"/>
    </xf>
    <xf numFmtId="0" fontId="25" fillId="13" borderId="12" applyAlignment="1" pivotButton="0" quotePrefix="0" xfId="0">
      <alignment horizontal="center" vertical="center"/>
    </xf>
    <xf numFmtId="0" fontId="28" fillId="14" borderId="12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25" fillId="0" borderId="12" applyAlignment="1" pivotButton="0" quotePrefix="0" xfId="0">
      <alignment horizontal="left" vertical="center"/>
    </xf>
    <xf numFmtId="1" fontId="25" fillId="0" borderId="12" applyAlignment="1" pivotButton="0" quotePrefix="0" xfId="0">
      <alignment horizontal="right" vertical="center"/>
    </xf>
    <xf numFmtId="164" fontId="25" fillId="0" borderId="12" applyAlignment="1" pivotButton="0" quotePrefix="0" xfId="0">
      <alignment horizontal="right" vertical="center"/>
    </xf>
    <xf numFmtId="173" fontId="25" fillId="0" borderId="12" applyAlignment="1" pivotButton="0" quotePrefix="0" xfId="0">
      <alignment horizontal="right" vertical="center"/>
    </xf>
    <xf numFmtId="0" fontId="30" fillId="0" borderId="12" applyAlignment="1" pivotButton="0" quotePrefix="0" xfId="0">
      <alignment horizontal="left" vertical="center"/>
    </xf>
    <xf numFmtId="1" fontId="30" fillId="0" borderId="12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171" fontId="27" fillId="12" borderId="12" applyAlignment="1" pivotButton="0" quotePrefix="0" xfId="0">
      <alignment horizontal="center" vertical="center"/>
    </xf>
    <xf numFmtId="172" fontId="27" fillId="12" borderId="12" applyAlignment="1" pivotButton="0" quotePrefix="0" xfId="0">
      <alignment horizontal="right" vertical="center"/>
    </xf>
    <xf numFmtId="173" fontId="27" fillId="12" borderId="12" applyAlignment="1" pivotButton="0" quotePrefix="0" xfId="0">
      <alignment horizontal="right" vertical="center"/>
    </xf>
    <xf numFmtId="171" fontId="27" fillId="13" borderId="12" applyAlignment="1" pivotButton="0" quotePrefix="0" xfId="0">
      <alignment horizontal="center" vertical="center"/>
    </xf>
    <xf numFmtId="172" fontId="27" fillId="13" borderId="12" applyAlignment="1" pivotButton="0" quotePrefix="0" xfId="0">
      <alignment horizontal="right" vertical="center"/>
    </xf>
    <xf numFmtId="173" fontId="27" fillId="13" borderId="12" applyAlignment="1" pivotButton="0" quotePrefix="0" xfId="0">
      <alignment horizontal="right" vertical="center"/>
    </xf>
    <xf numFmtId="173" fontId="25" fillId="0" borderId="12" applyAlignment="1" pivotButton="0" quotePrefix="0" xfId="0">
      <alignment horizontal="right" vertical="center"/>
    </xf>
    <xf numFmtId="0" fontId="33" fillId="0" borderId="0" pivotButton="0" quotePrefix="0" xfId="0"/>
    <xf numFmtId="0" fontId="34" fillId="0" borderId="0" pivotButton="0" quotePrefix="0" xfId="0"/>
    <xf numFmtId="0" fontId="35" fillId="15" borderId="13" applyAlignment="1" pivotButton="0" quotePrefix="0" xfId="0">
      <alignment horizontal="center"/>
    </xf>
    <xf numFmtId="169" fontId="0" fillId="0" borderId="13" pivotButton="0" quotePrefix="0" xfId="0"/>
    <xf numFmtId="0" fontId="0" fillId="0" borderId="13" applyAlignment="1" pivotButton="0" quotePrefix="0" xfId="0">
      <alignment horizontal="center"/>
    </xf>
    <xf numFmtId="164" fontId="0" fillId="0" borderId="13" pivotButton="0" quotePrefix="0" xfId="0"/>
    <xf numFmtId="170" fontId="0" fillId="0" borderId="13" pivotButton="0" quotePrefix="0" xfId="0"/>
    <xf numFmtId="0" fontId="36" fillId="0" borderId="0" pivotButton="0" quotePrefix="0" xfId="0"/>
  </cellXfs>
  <cellStyles count="2">
    <cellStyle name="Normal" xfId="0" builtinId="0"/>
    <cellStyle name="Percent" xfId="1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595959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E7E6E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A6A6A6"/>
      <rgbColor rgb="FF1A237E"/>
      <rgbColor rgb="FF339966"/>
      <rgbColor rgb="FF003300"/>
      <rgbColor rgb="FF333300"/>
      <rgbColor rgb="FF993300"/>
      <rgbColor rgb="FF993366"/>
      <rgbColor rgb="FF1F4E79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239000" cy="3914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topLeftCell="A24" zoomScaleNormal="100" workbookViewId="0">
      <selection activeCell="B59" sqref="B59"/>
    </sheetView>
  </sheetViews>
  <sheetFormatPr baseColWidth="8" defaultColWidth="8.7109375" defaultRowHeight="15"/>
  <cols>
    <col width="34.85546875" customWidth="1" min="1" max="1"/>
    <col width="18" customWidth="1" min="2" max="2"/>
    <col width="15" customWidth="1" min="3" max="5"/>
  </cols>
  <sheetData>
    <row r="1" ht="18.75" customHeight="1">
      <c r="A1" s="86" t="inlineStr">
        <is>
          <t>Claude Equity Bot — Performance Dashboard</t>
        </is>
      </c>
    </row>
    <row r="2" ht="15" customHeight="1">
      <c r="A2" s="85" t="inlineStr">
        <is>
          <t>Auto-updates as you fill in Price +5d/+10d/+20d on the Signals tab</t>
        </is>
      </c>
    </row>
    <row r="4" ht="15.75" customHeight="1">
      <c r="A4" s="84" t="inlineStr">
        <is>
          <t>SIGNAL DISTRIBUTION</t>
        </is>
      </c>
    </row>
    <row r="5" ht="15" customHeight="1">
      <c r="A5" s="3" t="inlineStr">
        <is>
          <t>Total Signals</t>
        </is>
      </c>
      <c r="B5" s="4">
        <f>COUNTA(Signals!B5:B2000)</f>
        <v/>
      </c>
    </row>
    <row r="6" ht="15" customHeight="1">
      <c r="A6" s="3" t="inlineStr">
        <is>
          <t>BUY Signals</t>
        </is>
      </c>
      <c r="B6" s="4">
        <f>COUNTIF(Signals!D5:D2000,"BUY")</f>
        <v/>
      </c>
    </row>
    <row r="7" ht="15" customHeight="1">
      <c r="A7" s="3" t="inlineStr">
        <is>
          <t>SELL Signals</t>
        </is>
      </c>
      <c r="B7" s="4">
        <f>COUNTIF(Signals!D5:D2000,"SELL")</f>
        <v/>
      </c>
    </row>
    <row r="8" ht="15" customHeight="1">
      <c r="A8" s="3" t="inlineStr">
        <is>
          <t>HOLD Signals</t>
        </is>
      </c>
      <c r="B8" s="4">
        <f>COUNTIF(Signals!D5:D2000,"HOLD")</f>
        <v/>
      </c>
    </row>
    <row r="9" ht="15" customHeight="1">
      <c r="A9" s="3" t="inlineStr">
        <is>
          <t>% HOLD</t>
        </is>
      </c>
      <c r="B9" s="5">
        <f>COUNTIF(Signals!D5:D2000,"HOLD")/COUNTA(Signals!D5:D2000)</f>
        <v/>
      </c>
    </row>
    <row r="11" ht="15.75" customHeight="1">
      <c r="A11" s="84" t="inlineStr">
        <is>
          <t>CONFIDENCE STATS</t>
        </is>
      </c>
    </row>
    <row r="12" ht="15" customHeight="1">
      <c r="A12" s="3" t="inlineStr">
        <is>
          <t>Average Confidence</t>
        </is>
      </c>
      <c r="B12" s="5">
        <f>AVERAGE(Signals!E5:E2000)</f>
        <v/>
      </c>
    </row>
    <row r="13" ht="15" customHeight="1">
      <c r="A13" s="3" t="inlineStr">
        <is>
          <t>Median Confidence</t>
        </is>
      </c>
      <c r="B13" s="5">
        <f>MEDIAN(Signals!E5:E2000)</f>
        <v/>
      </c>
    </row>
    <row r="14" ht="15" customHeight="1">
      <c r="A14" s="3" t="inlineStr">
        <is>
          <t>Highest Confidence</t>
        </is>
      </c>
      <c r="B14" s="5">
        <f>MAX(Signals!E5:E2000)</f>
        <v/>
      </c>
    </row>
    <row r="15" ht="15" customHeight="1">
      <c r="A15" s="3" t="inlineStr">
        <is>
          <t>Lowest Confidence</t>
        </is>
      </c>
      <c r="B15" s="5">
        <f>MIN(Signals!E5:E2000)</f>
        <v/>
      </c>
    </row>
    <row r="16" ht="15" customHeight="1">
      <c r="A16" s="3" t="inlineStr">
        <is>
          <t># Signals ≥ 70% (actionable)</t>
        </is>
      </c>
      <c r="B16" s="6">
        <f>COUNTIF(Signals!E5:E2000,"&gt;=0.7")</f>
        <v/>
      </c>
    </row>
    <row r="17" ht="15" customHeight="1">
      <c r="A17" s="3" t="inlineStr">
        <is>
          <t># Signals ≥ 60% (better than coin toss)</t>
        </is>
      </c>
      <c r="B17" s="6">
        <f>COUNTIF(Signals!E5:E2000,"&gt;=0.6")</f>
        <v/>
      </c>
    </row>
    <row r="18" ht="15" customHeight="1">
      <c r="A18" s="3" t="inlineStr">
        <is>
          <t># Signals &lt; 45% (weak)</t>
        </is>
      </c>
      <c r="B18" s="6">
        <f>COUNTIF(Signals!E5:E2000,"&lt;0.45")</f>
        <v/>
      </c>
    </row>
    <row r="19" ht="15" customHeight="1">
      <c r="A19" s="3" t="inlineStr">
        <is>
          <t># Signals &lt; 40% (very weak)</t>
        </is>
      </c>
      <c r="B19" s="6">
        <f>COUNTIF(Signals!E5:E2000,"&lt;0.40")</f>
        <v/>
      </c>
    </row>
    <row r="22" ht="15.75" customHeight="1">
      <c r="A22" s="84" t="inlineStr">
        <is>
          <t>DATA QUALITY DISTRIBUTION</t>
        </is>
      </c>
    </row>
    <row r="23" ht="15" customHeight="1">
      <c r="A23" s="7" t="inlineStr">
        <is>
          <t>Quality</t>
        </is>
      </c>
      <c r="B23" s="7" t="inlineStr">
        <is>
          <t>Count</t>
        </is>
      </c>
      <c r="C23" s="7" t="inlineStr">
        <is>
          <t>% of Total</t>
        </is>
      </c>
    </row>
    <row r="24" ht="15" customHeight="1">
      <c r="A24" s="8" t="inlineStr">
        <is>
          <t>HIGH</t>
        </is>
      </c>
      <c r="B24" s="4">
        <f>COUNTIF(Signals!F5:F2000,"HIGH")</f>
        <v/>
      </c>
      <c r="C24" s="5">
        <f>B24/SUM(B24:B26)</f>
        <v/>
      </c>
    </row>
    <row r="25" ht="15" customHeight="1">
      <c r="A25" s="8" t="inlineStr">
        <is>
          <t>MEDIUM</t>
        </is>
      </c>
      <c r="B25" s="4">
        <f>COUNTIF(Signals!F5:F2000,"MEDIUM")</f>
        <v/>
      </c>
      <c r="C25" s="5">
        <f>B25/SUM(B24:B26)</f>
        <v/>
      </c>
    </row>
    <row r="26" ht="15" customHeight="1">
      <c r="A26" s="8" t="inlineStr">
        <is>
          <t>LOW</t>
        </is>
      </c>
      <c r="B26" s="4">
        <f>COUNTIF(Signals!F5:F2000,"LOW")</f>
        <v/>
      </c>
      <c r="C26" s="5">
        <f>B26/SUM(B24:B26)</f>
        <v/>
      </c>
    </row>
    <row r="29" ht="15.75" customHeight="1">
      <c r="A29" s="84" t="inlineStr">
        <is>
          <t>ACCURACY BY CONFIDENCE BAND (5-Day Horizon)</t>
        </is>
      </c>
    </row>
    <row r="30" ht="15" customHeight="1">
      <c r="A30" s="85" t="inlineStr">
        <is>
          <t>Updates as you fill in 5-day prices. Bands compare 'was claude right' vs total signals in each band.</t>
        </is>
      </c>
    </row>
    <row r="31" ht="15" customHeight="1">
      <c r="A31" s="7" t="inlineStr">
        <is>
          <t>Confidence Band</t>
        </is>
      </c>
      <c r="B31" s="7" t="inlineStr">
        <is>
          <t>Total Signals</t>
        </is>
      </c>
      <c r="C31" s="7" t="inlineStr">
        <is>
          <t>YES (Right)</t>
        </is>
      </c>
      <c r="D31" s="7" t="inlineStr">
        <is>
          <t>NO (Wrong)</t>
        </is>
      </c>
      <c r="E31" s="7" t="inlineStr">
        <is>
          <t>Hit Rate</t>
        </is>
      </c>
    </row>
    <row r="32" ht="15" customHeight="1">
      <c r="A32" s="8" t="inlineStr">
        <is>
          <t>0-39%</t>
        </is>
      </c>
      <c r="B32" s="9">
        <f>COUNTIFS(Signals!E5:E2000,"&lt;0.4",Signals!E5:E2000,"&lt;0.4")</f>
        <v/>
      </c>
      <c r="C32" s="9">
        <f>COUNTIFS(Signals!E5:E2000,"&lt;0.4",Signals!E5:E2000,"&lt;0.4",Signals!N5:N2000,"YES")</f>
        <v/>
      </c>
      <c r="D32" s="9">
        <f>COUNTIFS(Signals!E5:E2000,"&lt;0.4",Signals!E5:E2000,"&lt;0.4",Signals!N5:N2000,"NO")</f>
        <v/>
      </c>
      <c r="E32" s="10">
        <f>IFERROR(C32/(C32+D32),"-")</f>
        <v/>
      </c>
    </row>
    <row r="33" ht="15" customHeight="1">
      <c r="A33" s="8" t="inlineStr">
        <is>
          <t>40-49%</t>
        </is>
      </c>
      <c r="B33" s="9">
        <f>COUNTIFS(Signals!E5:E2000,"&gt;=0.4",Signals!E5:E2000,"&lt;0.5")</f>
        <v/>
      </c>
      <c r="C33" s="9">
        <f>COUNTIFS(Signals!E5:E2000,"&gt;=0.4",Signals!E5:E2000,"&lt;0.5",Signals!N5:N2000,"YES")</f>
        <v/>
      </c>
      <c r="D33" s="9">
        <f>COUNTIFS(Signals!E5:E2000,"&gt;=0.4",Signals!E5:E2000,"&lt;0.5",Signals!N5:N2000,"NO")</f>
        <v/>
      </c>
      <c r="E33" s="10">
        <f>IFERROR(C33/(C33+D33),"-")</f>
        <v/>
      </c>
    </row>
    <row r="34" ht="15" customHeight="1">
      <c r="A34" s="8" t="inlineStr">
        <is>
          <t>50-59%</t>
        </is>
      </c>
      <c r="B34" s="9">
        <f>COUNTIFS(Signals!E5:E2000,"&gt;=0.5",Signals!E5:E2000,"&lt;0.6")</f>
        <v/>
      </c>
      <c r="C34" s="9">
        <f>COUNTIFS(Signals!E5:E2000,"&gt;=0.5",Signals!E5:E2000,"&lt;0.6",Signals!N5:N2000,"YES")</f>
        <v/>
      </c>
      <c r="D34" s="9">
        <f>COUNTIFS(Signals!E5:E2000,"&gt;=0.5",Signals!E5:E2000,"&lt;0.6",Signals!N5:N2000,"NO")</f>
        <v/>
      </c>
      <c r="E34" s="10">
        <f>IFERROR(C34/(C34+D34),"-")</f>
        <v/>
      </c>
    </row>
    <row r="35" ht="15" customHeight="1">
      <c r="A35" s="8" t="inlineStr">
        <is>
          <t>60-69%</t>
        </is>
      </c>
      <c r="B35" s="9">
        <f>COUNTIFS(Signals!E5:E2000,"&gt;=0.6",Signals!E5:E2000,"&lt;0.7")</f>
        <v/>
      </c>
      <c r="C35" s="9">
        <f>COUNTIFS(Signals!E5:E2000,"&gt;=0.6",Signals!E5:E2000,"&lt;0.7",Signals!N5:N2000,"YES")</f>
        <v/>
      </c>
      <c r="D35" s="9">
        <f>COUNTIFS(Signals!E5:E2000,"&gt;=0.6",Signals!E5:E2000,"&lt;0.7",Signals!N5:N2000,"NO")</f>
        <v/>
      </c>
      <c r="E35" s="10">
        <f>IFERROR(C35/(C35+D35),"-")</f>
        <v/>
      </c>
    </row>
    <row r="36" ht="15" customHeight="1">
      <c r="A36" s="8" t="inlineStr">
        <is>
          <t>70-79%</t>
        </is>
      </c>
      <c r="B36" s="9">
        <f>COUNTIFS(Signals!E5:E2000,"&gt;=0.7",Signals!E5:E2000,"&lt;0.8")</f>
        <v/>
      </c>
      <c r="C36" s="9">
        <f>COUNTIFS(Signals!E5:E2000,"&gt;=0.7",Signals!E5:E2000,"&lt;0.8",Signals!N5:N2000,"YES")</f>
        <v/>
      </c>
      <c r="D36" s="9">
        <f>COUNTIFS(Signals!E5:E2000,"&gt;=0.7",Signals!E5:E2000,"&lt;0.8",Signals!N5:N2000,"NO")</f>
        <v/>
      </c>
      <c r="E36" s="10">
        <f>IFERROR(C36/(C36+D36),"-")</f>
        <v/>
      </c>
    </row>
    <row r="37" ht="15" customHeight="1">
      <c r="A37" s="8" t="inlineStr">
        <is>
          <t>80-100%</t>
        </is>
      </c>
      <c r="B37" s="9">
        <f>COUNTIFS(Signals!E5:E2000,"&gt;=0.8",Signals!E5:E2000,"&lt;=1")</f>
        <v/>
      </c>
      <c r="C37" s="9">
        <f>COUNTIFS(Signals!E5:E2000,"&gt;=0.8",Signals!E5:E2000,"&lt;=1",Signals!N5:N2000,"YES")</f>
        <v/>
      </c>
      <c r="D37" s="9">
        <f>COUNTIFS(Signals!E5:E2000,"&gt;=0.8",Signals!E5:E2000,"&lt;=1",Signals!N5:N2000,"NO")</f>
        <v/>
      </c>
      <c r="E37" s="10">
        <f>IFERROR(C37/(C37+D37),"-")</f>
        <v/>
      </c>
    </row>
    <row r="40" ht="15.75" customHeight="1">
      <c r="A40" s="84" t="inlineStr">
        <is>
          <t>ACCURACY BY DATA QUALITY (5-Day Horizon)</t>
        </is>
      </c>
    </row>
    <row r="41" ht="15" customHeight="1">
      <c r="A41" s="7" t="inlineStr">
        <is>
          <t>Data Quality</t>
        </is>
      </c>
      <c r="B41" s="7" t="inlineStr">
        <is>
          <t>Total</t>
        </is>
      </c>
      <c r="C41" s="7" t="inlineStr">
        <is>
          <t>YES</t>
        </is>
      </c>
      <c r="D41" s="7" t="inlineStr">
        <is>
          <t>NO</t>
        </is>
      </c>
      <c r="E41" s="7" t="inlineStr">
        <is>
          <t>Hit Rate</t>
        </is>
      </c>
    </row>
    <row r="42" ht="15" customHeight="1">
      <c r="A42" s="8" t="inlineStr">
        <is>
          <t>HIGH</t>
        </is>
      </c>
      <c r="B42" s="9">
        <f>COUNTIF(Signals!F5:F2000,"HIGH")</f>
        <v/>
      </c>
      <c r="C42" s="9">
        <f>COUNTIFS(Signals!F5:F2000,"HIGH",Signals!N5:N2000,"YES")</f>
        <v/>
      </c>
      <c r="D42" s="9">
        <f>COUNTIFS(Signals!F5:F2000,"HIGH",Signals!N5:N2000,"NO")</f>
        <v/>
      </c>
      <c r="E42" s="10">
        <f>IFERROR(C42/(C42+D42),"-")</f>
        <v/>
      </c>
    </row>
    <row r="43" ht="15" customHeight="1">
      <c r="A43" s="8" t="inlineStr">
        <is>
          <t>MEDIUM</t>
        </is>
      </c>
      <c r="B43" s="9">
        <f>COUNTIF(Signals!F5:F2000,"MEDIUM")</f>
        <v/>
      </c>
      <c r="C43" s="9">
        <f>COUNTIFS(Signals!F5:F2000,"MEDIUM",Signals!N5:N2000,"YES")</f>
        <v/>
      </c>
      <c r="D43" s="9">
        <f>COUNTIFS(Signals!F5:F2000,"MEDIUM",Signals!N5:N2000,"NO")</f>
        <v/>
      </c>
      <c r="E43" s="10">
        <f>IFERROR(C43/(C43+D43),"-")</f>
        <v/>
      </c>
    </row>
    <row r="44" ht="15" customHeight="1">
      <c r="A44" s="8" t="inlineStr">
        <is>
          <t>LOW</t>
        </is>
      </c>
      <c r="B44" s="9">
        <f>COUNTIF(Signals!F5:F2000,"LOW")</f>
        <v/>
      </c>
      <c r="C44" s="9">
        <f>COUNTIFS(Signals!F5:F2000,"LOW",Signals!N5:N2000,"YES")</f>
        <v/>
      </c>
      <c r="D44" s="9">
        <f>COUNTIFS(Signals!F5:F2000,"LOW",Signals!N5:N2000,"NO")</f>
        <v/>
      </c>
      <c r="E44" s="10">
        <f>IFERROR(C44/(C44+D44),"-")</f>
        <v/>
      </c>
    </row>
    <row r="47" ht="15.75" customHeight="1">
      <c r="A47" s="84" t="inlineStr">
        <is>
          <t>FILL-IN PROGRESS</t>
        </is>
      </c>
    </row>
    <row r="48" ht="15" customHeight="1">
      <c r="A48" s="85" t="inlineStr">
        <is>
          <t>Tracks how much outcome data has been entered. Update Price +5d/+10d/+20d on Signals tab.</t>
        </is>
      </c>
    </row>
    <row r="49" ht="15" customHeight="1">
      <c r="A49" s="3" t="inlineStr">
        <is>
          <t>Total Signals</t>
        </is>
      </c>
      <c r="B49" s="6">
        <f>COUNTA(Signals!B5:B2000)</f>
        <v/>
      </c>
    </row>
    <row r="50" ht="15" customHeight="1">
      <c r="A50" s="3" t="inlineStr">
        <is>
          <t>Filled-in 5-Day Prices</t>
        </is>
      </c>
      <c r="B50" s="6">
        <f>COUNT(Signals!H5:H2000)</f>
        <v/>
      </c>
    </row>
    <row r="51" ht="15" customHeight="1">
      <c r="A51" s="3" t="inlineStr">
        <is>
          <t>% Complete (5-Day)</t>
        </is>
      </c>
      <c r="B51" s="5">
        <f>B50/B49</f>
        <v/>
      </c>
    </row>
    <row r="52" ht="15" customHeight="1">
      <c r="A52" s="3" t="inlineStr">
        <is>
          <t>Avg Return 5-Day</t>
        </is>
      </c>
      <c r="B52" s="11">
        <f>IFERROR(AVERAGE(Signals!K5:K2000),"-")</f>
        <v/>
      </c>
    </row>
    <row r="53" ht="15" customHeight="1">
      <c r="A53" s="3" t="inlineStr">
        <is>
          <t>Avg Return 10-Day</t>
        </is>
      </c>
      <c r="B53" s="11">
        <f>IFERROR(AVERAGE(Signals!L5:L2000),"-")</f>
        <v/>
      </c>
    </row>
    <row r="54" ht="15" customHeight="1">
      <c r="A54" s="3" t="inlineStr">
        <is>
          <t>Avg Return 20-Day</t>
        </is>
      </c>
      <c r="B54" s="11">
        <f>IFERROR(AVERAGE(Signals!M5:M2000),"-")</f>
        <v/>
      </c>
    </row>
  </sheetData>
  <mergeCells count="10">
    <mergeCell ref="A30:E30"/>
    <mergeCell ref="A29:E29"/>
    <mergeCell ref="A4:E4"/>
    <mergeCell ref="A48:E48"/>
    <mergeCell ref="A2:E2"/>
    <mergeCell ref="A11:E11"/>
    <mergeCell ref="A47:E47"/>
    <mergeCell ref="A1:E1"/>
    <mergeCell ref="A22:E22"/>
    <mergeCell ref="A40:E4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00"/>
  <sheetViews>
    <sheetView zoomScaleNormal="100" workbookViewId="0">
      <pane ySplit="4" topLeftCell="A113" activePane="bottomLeft" state="frozen"/>
      <selection pane="bottomLeft" activeCell="J101" sqref="J101:J124"/>
    </sheetView>
  </sheetViews>
  <sheetFormatPr baseColWidth="8" defaultColWidth="8.7109375" defaultRowHeight="15"/>
  <cols>
    <col width="10.42578125" customWidth="1" style="12" min="1" max="1"/>
    <col width="10.85546875" customWidth="1" style="13" min="2" max="2"/>
    <col width="18.28515625" customWidth="1" style="13" min="3" max="3"/>
    <col width="10.85546875" customWidth="1" style="13" min="4" max="4"/>
    <col width="11.7109375" customWidth="1" style="14" min="5" max="5"/>
    <col width="16.42578125" customWidth="1" style="13" min="6" max="6"/>
    <col width="18" customWidth="1" style="15" min="7" max="7"/>
    <col width="13.5703125" customWidth="1" style="16" min="8" max="8"/>
    <col width="14.5703125" customWidth="1" style="16" min="9" max="10"/>
    <col width="15.140625" customWidth="1" style="13" min="11" max="11"/>
    <col width="16.140625" customWidth="1" style="13" min="12" max="13"/>
    <col width="26.42578125" customWidth="1" style="13" min="14" max="14"/>
    <col width="43.28515625" customWidth="1" style="13" min="15" max="15"/>
  </cols>
  <sheetData>
    <row r="1" ht="18.75" customHeight="1">
      <c r="A1" s="87" t="inlineStr">
        <is>
          <t>Claude Equity Bot — Signal Outcome Tracker</t>
        </is>
      </c>
      <c r="B1" s="93" t="n"/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</row>
    <row r="2" ht="15" customHeight="1">
      <c r="A2" s="88" t="inlineStr">
        <is>
          <t>Yellow cells = fill in manually as time passes  |  Gray cells = auto-calculated  |  Formulas update as you enter prices</t>
        </is>
      </c>
      <c r="B2" s="94" t="n"/>
      <c r="C2" s="94" t="n"/>
      <c r="D2" s="94" t="n"/>
      <c r="E2" s="94" t="n"/>
      <c r="F2" s="94" t="n"/>
      <c r="G2" s="94" t="n"/>
      <c r="H2" s="94" t="n"/>
      <c r="I2" s="94" t="n"/>
      <c r="J2" s="94" t="n"/>
      <c r="K2" s="94" t="n"/>
      <c r="L2" s="94" t="n"/>
      <c r="M2" s="94" t="n"/>
      <c r="N2" s="94" t="n"/>
    </row>
    <row r="3" ht="15" customHeight="1">
      <c r="A3" s="17" t="n"/>
      <c r="E3" s="18" t="n"/>
      <c r="G3" s="19" t="n"/>
      <c r="H3" s="20" t="n"/>
      <c r="I3" s="20" t="n"/>
      <c r="J3" s="20" t="n"/>
    </row>
    <row r="4" ht="15" customHeight="1">
      <c r="A4" s="21" t="inlineStr">
        <is>
          <t>Date</t>
        </is>
      </c>
      <c r="B4" s="21" t="inlineStr">
        <is>
          <t>Ticker</t>
        </is>
      </c>
      <c r="C4" s="21" t="inlineStr">
        <is>
          <t>Account</t>
        </is>
      </c>
      <c r="D4" s="21" t="inlineStr">
        <is>
          <t>Signal</t>
        </is>
      </c>
      <c r="E4" s="21" t="inlineStr">
        <is>
          <t>Conf %</t>
        </is>
      </c>
      <c r="F4" s="21" t="inlineStr">
        <is>
          <t>Data Quality</t>
        </is>
      </c>
      <c r="G4" s="21" t="inlineStr">
        <is>
          <t>Price at Signal</t>
        </is>
      </c>
      <c r="H4" s="21" t="inlineStr">
        <is>
          <t>Price +5d</t>
        </is>
      </c>
      <c r="I4" s="21" t="inlineStr">
        <is>
          <t>Price +10d</t>
        </is>
      </c>
      <c r="J4" s="21" t="inlineStr">
        <is>
          <t>Price +20d</t>
        </is>
      </c>
      <c r="K4" s="21" t="inlineStr">
        <is>
          <t>Return +5d</t>
        </is>
      </c>
      <c r="L4" s="21" t="inlineStr">
        <is>
          <t>Return +10d</t>
        </is>
      </c>
      <c r="M4" s="21" t="inlineStr">
        <is>
          <t>Return +20d</t>
        </is>
      </c>
      <c r="N4" s="21" t="inlineStr">
        <is>
          <t>Was Claude Right? (5d)</t>
        </is>
      </c>
      <c r="O4" s="21" t="inlineStr">
        <is>
          <t>Notes / Outcome</t>
        </is>
      </c>
    </row>
    <row r="5" ht="15" customHeight="1">
      <c r="A5" s="22" t="n">
        <v>46160</v>
      </c>
      <c r="B5" s="23" t="inlineStr">
        <is>
          <t>WMT</t>
        </is>
      </c>
      <c r="C5" s="23" t="inlineStr">
        <is>
          <t>Roth IRA,Individual</t>
        </is>
      </c>
      <c r="D5" s="23" t="inlineStr">
        <is>
          <t>HOLD</t>
        </is>
      </c>
      <c r="E5" s="24" t="n">
        <v>0.62</v>
      </c>
      <c r="F5" s="23" t="inlineStr">
        <is>
          <t>MEDIUM</t>
        </is>
      </c>
      <c r="G5" s="25" t="n">
        <v>133.31</v>
      </c>
      <c r="H5" s="16" t="n">
        <v>118.57</v>
      </c>
      <c r="I5" s="16" t="n">
        <v>113.06</v>
      </c>
      <c r="J5" s="16" t="n">
        <v>121.03</v>
      </c>
      <c r="K5" s="26">
        <f>IF(H5="","",(H5-G5)/G5)</f>
        <v/>
      </c>
      <c r="L5" s="26">
        <f>IF(I5="","",(I5-G5)/G5)</f>
        <v/>
      </c>
      <c r="M5" s="26">
        <f>IF(J5="","",(J5-G5)/G5)</f>
        <v/>
      </c>
      <c r="N5" s="27">
        <f>IF(H5="","",IF(D5="HOLD",IF(ABS(K5)&lt;0.03,"YES","NO"),IF(D5="BUY",IF(K5&gt;0,"YES","NO"),IF(D5="SELL",IF(K5&lt;0,"YES","NO"),""))))</f>
        <v/>
      </c>
      <c r="O5" s="23" t="n"/>
    </row>
    <row r="6" ht="15" customHeight="1">
      <c r="A6" s="22" t="n">
        <v>46160</v>
      </c>
      <c r="B6" s="23" t="inlineStr">
        <is>
          <t>NTR</t>
        </is>
      </c>
      <c r="C6" s="23" t="inlineStr">
        <is>
          <t>Roth IRA</t>
        </is>
      </c>
      <c r="D6" s="23" t="inlineStr">
        <is>
          <t>HOLD</t>
        </is>
      </c>
      <c r="E6" s="24" t="n">
        <v>0.58</v>
      </c>
      <c r="F6" s="23" t="inlineStr">
        <is>
          <t>MEDIUM</t>
        </is>
      </c>
      <c r="G6" s="25" t="n">
        <v>71.78</v>
      </c>
      <c r="H6" s="16" t="n">
        <v>69.94</v>
      </c>
      <c r="I6" s="16" t="n">
        <v>68.5</v>
      </c>
      <c r="J6" s="16" t="n">
        <v>65.48</v>
      </c>
      <c r="K6" s="26">
        <f>IF(H6="","",(H6-G6)/G6)</f>
        <v/>
      </c>
      <c r="L6" s="26">
        <f>IF(I6="","",(I6-G6)/G6)</f>
        <v/>
      </c>
      <c r="M6" s="26">
        <f>IF(J6="","",(J6-G6)/G6)</f>
        <v/>
      </c>
      <c r="N6" s="27">
        <f>IF(H6="","",IF(D6="HOLD",IF(ABS(K6)&lt;0.03,"YES","NO"),IF(D6="BUY",IF(K6&gt;0,"YES","NO"),IF(D6="SELL",IF(K6&lt;0,"YES","NO"),""))))</f>
        <v/>
      </c>
      <c r="O6" s="23" t="n"/>
    </row>
    <row r="7" ht="15" customHeight="1">
      <c r="A7" s="22" t="n">
        <v>46160</v>
      </c>
      <c r="B7" s="23" t="inlineStr">
        <is>
          <t>MSFT</t>
        </is>
      </c>
      <c r="C7" s="23" t="inlineStr">
        <is>
          <t>Roth IRA,Individual</t>
        </is>
      </c>
      <c r="D7" s="23" t="inlineStr">
        <is>
          <t>HOLD</t>
        </is>
      </c>
      <c r="E7" s="24" t="n">
        <v>0.52</v>
      </c>
      <c r="F7" s="23" t="inlineStr">
        <is>
          <t>MEDIUM</t>
        </is>
      </c>
      <c r="G7" s="25" t="n">
        <v>423.03</v>
      </c>
      <c r="H7" s="16" t="n">
        <v>416.03</v>
      </c>
      <c r="I7" s="16" t="n">
        <v>441.31</v>
      </c>
      <c r="J7" s="16" t="n">
        <v>393.83</v>
      </c>
      <c r="K7" s="26">
        <f>IF(H7="","",(H7-G7)/G7)</f>
        <v/>
      </c>
      <c r="L7" s="26">
        <f>IF(I7="","",(I7-G7)/G7)</f>
        <v/>
      </c>
      <c r="M7" s="26">
        <f>IF(J7="","",(J7-G7)/G7)</f>
        <v/>
      </c>
      <c r="N7" s="27">
        <f>IF(H7="","",IF(D7="HOLD",IF(ABS(K7)&lt;0.03,"YES","NO"),IF(D7="BUY",IF(K7&gt;0,"YES","NO"),IF(D7="SELL",IF(K7&lt;0,"YES","NO"),""))))</f>
        <v/>
      </c>
      <c r="O7" s="23" t="n"/>
    </row>
    <row r="8" ht="15" customHeight="1">
      <c r="A8" s="22" t="n">
        <v>46160</v>
      </c>
      <c r="B8" s="23" t="inlineStr">
        <is>
          <t>NKE</t>
        </is>
      </c>
      <c r="C8" s="23" t="inlineStr">
        <is>
          <t>Roth IRA</t>
        </is>
      </c>
      <c r="D8" s="23" t="inlineStr">
        <is>
          <t>HOLD</t>
        </is>
      </c>
      <c r="E8" s="24" t="n">
        <v>0.45</v>
      </c>
      <c r="F8" s="23" t="inlineStr">
        <is>
          <t>MEDIUM</t>
        </is>
      </c>
      <c r="G8" s="25" t="n">
        <v>42.51</v>
      </c>
      <c r="H8" s="16" t="n">
        <v>44.94</v>
      </c>
      <c r="I8" s="16" t="n">
        <v>43.73</v>
      </c>
      <c r="J8" s="16" t="n">
        <v>45.04</v>
      </c>
      <c r="K8" s="26">
        <f>IF(H8="","",(H8-G8)/G8)</f>
        <v/>
      </c>
      <c r="L8" s="26">
        <f>IF(I8="","",(I8-G8)/G8)</f>
        <v/>
      </c>
      <c r="M8" s="26">
        <f>IF(J8="","",(J8-G8)/G8)</f>
        <v/>
      </c>
      <c r="N8" s="27">
        <f>IF(H8="","",IF(D8="HOLD",IF(ABS(K8)&lt;0.03,"YES","NO"),IF(D8="BUY",IF(K8&gt;0,"YES","NO"),IF(D8="SELL",IF(K8&lt;0,"YES","NO"),""))))</f>
        <v/>
      </c>
      <c r="O8" s="23" t="n"/>
    </row>
    <row r="9" ht="15" customHeight="1">
      <c r="A9" s="22" t="n">
        <v>46160</v>
      </c>
      <c r="B9" s="23" t="inlineStr">
        <is>
          <t>SCHD</t>
        </is>
      </c>
      <c r="C9" s="23" t="inlineStr">
        <is>
          <t>Roth IRA</t>
        </is>
      </c>
      <c r="D9" s="23" t="inlineStr">
        <is>
          <t>HOLD</t>
        </is>
      </c>
      <c r="E9" s="24" t="n">
        <v>0.65</v>
      </c>
      <c r="F9" s="23" t="inlineStr">
        <is>
          <t>MEDIUM</t>
        </is>
      </c>
      <c r="G9" s="25" t="n">
        <v>32.04</v>
      </c>
      <c r="H9" s="16" t="n">
        <v>32.67</v>
      </c>
      <c r="I9" s="16" t="n">
        <v>32.37</v>
      </c>
      <c r="J9" s="16" t="n">
        <v>32.53</v>
      </c>
      <c r="K9" s="26">
        <f>IF(H9="","",(H9-G9)/G9)</f>
        <v/>
      </c>
      <c r="L9" s="26">
        <f>IF(I9="","",(I9-G9)/G9)</f>
        <v/>
      </c>
      <c r="M9" s="26">
        <f>IF(J9="","",(J9-G9)/G9)</f>
        <v/>
      </c>
      <c r="N9" s="27">
        <f>IF(H9="","",IF(D9="HOLD",IF(ABS(K9)&lt;0.03,"YES","NO"),IF(D9="BUY",IF(K9&gt;0,"YES","NO"),IF(D9="SELL",IF(K9&lt;0,"YES","NO"),""))))</f>
        <v/>
      </c>
      <c r="O9" s="23" t="n"/>
    </row>
    <row r="10" ht="15" customHeight="1">
      <c r="A10" s="22" t="n">
        <v>46160</v>
      </c>
      <c r="B10" s="23" t="inlineStr">
        <is>
          <t>AAPL</t>
        </is>
      </c>
      <c r="C10" s="23" t="inlineStr">
        <is>
          <t>Roth IRA</t>
        </is>
      </c>
      <c r="D10" s="23" t="inlineStr">
        <is>
          <t>HOLD</t>
        </is>
      </c>
      <c r="E10" s="24" t="n">
        <v>0.52</v>
      </c>
      <c r="F10" s="23" t="inlineStr">
        <is>
          <t>MEDIUM</t>
        </is>
      </c>
      <c r="G10" s="25" t="n">
        <v>297.71</v>
      </c>
      <c r="H10" s="16" t="n">
        <v>308.33</v>
      </c>
      <c r="I10" s="16" t="n">
        <v>315.2</v>
      </c>
      <c r="J10" s="16" t="n">
        <v>299.24</v>
      </c>
      <c r="K10" s="26">
        <f>IF(H10="","",(H10-G10)/G10)</f>
        <v/>
      </c>
      <c r="L10" s="26">
        <f>IF(I10="","",(I10-G10)/G10)</f>
        <v/>
      </c>
      <c r="M10" s="26">
        <f>IF(J10="","",(J10-G10)/G10)</f>
        <v/>
      </c>
      <c r="N10" s="27">
        <f>IF(H10="","",IF(D10="HOLD",IF(ABS(K10)&lt;0.03,"YES","NO"),IF(D10="BUY",IF(K10&gt;0,"YES","NO"),IF(D10="SELL",IF(K10&lt;0,"YES","NO"),""))))</f>
        <v/>
      </c>
      <c r="O10" s="23" t="n"/>
    </row>
    <row r="11" ht="15" customHeight="1">
      <c r="A11" s="22" t="n">
        <v>46160</v>
      </c>
      <c r="B11" s="23" t="inlineStr">
        <is>
          <t>DOW</t>
        </is>
      </c>
      <c r="C11" s="23" t="inlineStr">
        <is>
          <t>Roth IRA,Individual</t>
        </is>
      </c>
      <c r="D11" s="23" t="inlineStr">
        <is>
          <t>HOLD</t>
        </is>
      </c>
      <c r="E11" s="24" t="n">
        <v>0.52</v>
      </c>
      <c r="F11" s="23" t="inlineStr">
        <is>
          <t>MEDIUM</t>
        </is>
      </c>
      <c r="G11" s="25" t="n">
        <v>38.6</v>
      </c>
      <c r="H11" s="16" t="n">
        <v>35.28</v>
      </c>
      <c r="I11" s="16" t="n">
        <v>34.72</v>
      </c>
      <c r="J11" s="16" t="n">
        <v>32.96</v>
      </c>
      <c r="K11" s="26">
        <f>IF(H11="","",(H11-G11)/G11)</f>
        <v/>
      </c>
      <c r="L11" s="26">
        <f>IF(I11="","",(I11-G11)/G11)</f>
        <v/>
      </c>
      <c r="M11" s="26">
        <f>IF(J11="","",(J11-G11)/G11)</f>
        <v/>
      </c>
      <c r="N11" s="27">
        <f>IF(H11="","",IF(D11="HOLD",IF(ABS(K11)&lt;0.03,"YES","NO"),IF(D11="BUY",IF(K11&gt;0,"YES","NO"),IF(D11="SELL",IF(K11&lt;0,"YES","NO"),""))))</f>
        <v/>
      </c>
      <c r="O11" s="23" t="n"/>
    </row>
    <row r="12" ht="15" customHeight="1">
      <c r="A12" s="22" t="n">
        <v>46160</v>
      </c>
      <c r="B12" s="23" t="inlineStr">
        <is>
          <t>AIQ</t>
        </is>
      </c>
      <c r="C12" s="23" t="inlineStr">
        <is>
          <t>Roth IRA,Individual</t>
        </is>
      </c>
      <c r="D12" s="23" t="inlineStr">
        <is>
          <t>HOLD</t>
        </is>
      </c>
      <c r="E12" s="24" t="n">
        <v>0.55</v>
      </c>
      <c r="F12" s="23" t="inlineStr">
        <is>
          <t>MEDIUM</t>
        </is>
      </c>
      <c r="G12" s="25" t="n">
        <v>60.73</v>
      </c>
      <c r="H12" s="16" t="n">
        <v>65.2</v>
      </c>
      <c r="I12" s="16" t="n">
        <v>70.14</v>
      </c>
      <c r="J12" s="16" t="n">
        <v>64.64</v>
      </c>
      <c r="K12" s="26">
        <f>IF(H12="","",(H12-G12)/G12)</f>
        <v/>
      </c>
      <c r="L12" s="26">
        <f>IF(I12="","",(I12-G12)/G12)</f>
        <v/>
      </c>
      <c r="M12" s="26">
        <f>IF(J12="","",(J12-G12)/G12)</f>
        <v/>
      </c>
      <c r="N12" s="27">
        <f>IF(H12="","",IF(D12="HOLD",IF(ABS(K12)&lt;0.03,"YES","NO"),IF(D12="BUY",IF(K12&gt;0,"YES","NO"),IF(D12="SELL",IF(K12&lt;0,"YES","NO"),""))))</f>
        <v/>
      </c>
      <c r="O12" s="23" t="n"/>
    </row>
    <row r="13" ht="15" customHeight="1">
      <c r="A13" s="22" t="n">
        <v>46160</v>
      </c>
      <c r="B13" s="23" t="inlineStr">
        <is>
          <t>JPM</t>
        </is>
      </c>
      <c r="C13" s="23" t="inlineStr">
        <is>
          <t>Roth IRA</t>
        </is>
      </c>
      <c r="D13" s="23" t="inlineStr">
        <is>
          <t>HOLD</t>
        </is>
      </c>
      <c r="E13" s="24" t="n">
        <v>0.52</v>
      </c>
      <c r="F13" s="23" t="inlineStr">
        <is>
          <t>MEDIUM</t>
        </is>
      </c>
      <c r="G13" s="25" t="n">
        <v>300.97</v>
      </c>
      <c r="H13" s="16" t="n">
        <v>306.74</v>
      </c>
      <c r="I13" s="16" t="n">
        <v>300.96</v>
      </c>
      <c r="J13" s="16" t="n">
        <v>331.14</v>
      </c>
      <c r="K13" s="26">
        <f>IF(H13="","",(H13-G13)/G13)</f>
        <v/>
      </c>
      <c r="L13" s="26">
        <f>IF(I13="","",(I13-G13)/G13)</f>
        <v/>
      </c>
      <c r="M13" s="26">
        <f>IF(J13="","",(J13-G13)/G13)</f>
        <v/>
      </c>
      <c r="N13" s="27">
        <f>IF(H13="","",IF(D13="HOLD",IF(ABS(K13)&lt;0.03,"YES","NO"),IF(D13="BUY",IF(K13&gt;0,"YES","NO"),IF(D13="SELL",IF(K13&lt;0,"YES","NO"),""))))</f>
        <v/>
      </c>
      <c r="O13" s="23" t="n"/>
    </row>
    <row r="14" ht="15" customHeight="1">
      <c r="A14" s="22" t="n">
        <v>46160</v>
      </c>
      <c r="B14" s="23" t="inlineStr">
        <is>
          <t>GM</t>
        </is>
      </c>
      <c r="C14" s="23" t="inlineStr">
        <is>
          <t>Roth IRA,Individual</t>
        </is>
      </c>
      <c r="D14" s="23" t="inlineStr">
        <is>
          <t>HOLD</t>
        </is>
      </c>
      <c r="E14" s="24" t="n">
        <v>0.42</v>
      </c>
      <c r="F14" s="23" t="inlineStr">
        <is>
          <t>MEDIUM</t>
        </is>
      </c>
      <c r="G14" s="25" t="n">
        <v>73.11</v>
      </c>
      <c r="H14" s="16" t="n">
        <v>79.79000000000001</v>
      </c>
      <c r="I14" s="16" t="n">
        <v>81.73</v>
      </c>
      <c r="J14" s="16" t="n">
        <v>82.51000000000001</v>
      </c>
      <c r="K14" s="26">
        <f>IF(H14="","",(H14-G14)/G14)</f>
        <v/>
      </c>
      <c r="L14" s="26">
        <f>IF(I14="","",(I14-G14)/G14)</f>
        <v/>
      </c>
      <c r="M14" s="26">
        <f>IF(J14="","",(J14-G14)/G14)</f>
        <v/>
      </c>
      <c r="N14" s="27">
        <f>IF(H14="","",IF(D14="HOLD",IF(ABS(K14)&lt;0.03,"YES","NO"),IF(D14="BUY",IF(K14&gt;0,"YES","NO"),IF(D14="SELL",IF(K14&lt;0,"YES","NO"),""))))</f>
        <v/>
      </c>
      <c r="O14" s="23" t="n"/>
    </row>
    <row r="15" ht="15" customHeight="1">
      <c r="A15" s="22" t="n">
        <v>46160</v>
      </c>
      <c r="B15" s="23" t="inlineStr">
        <is>
          <t>PWR</t>
        </is>
      </c>
      <c r="C15" s="23" t="inlineStr">
        <is>
          <t>Roth IRA</t>
        </is>
      </c>
      <c r="D15" s="23" t="inlineStr">
        <is>
          <t>HOLD</t>
        </is>
      </c>
      <c r="E15" s="24" t="n">
        <v>0.55</v>
      </c>
      <c r="F15" s="23" t="inlineStr">
        <is>
          <t>MEDIUM</t>
        </is>
      </c>
      <c r="G15" s="25" t="n">
        <v>722.6900000000001</v>
      </c>
      <c r="H15" s="16" t="n">
        <v>742.1799999999999</v>
      </c>
      <c r="I15" s="16" t="n">
        <v>706.0599999999999</v>
      </c>
      <c r="J15" s="16" t="n">
        <v>719.29</v>
      </c>
      <c r="K15" s="26">
        <f>IF(H15="","",(H15-G15)/G15)</f>
        <v/>
      </c>
      <c r="L15" s="26">
        <f>IF(I15="","",(I15-G15)/G15)</f>
        <v/>
      </c>
      <c r="M15" s="26">
        <f>IF(J15="","",(J15-G15)/G15)</f>
        <v/>
      </c>
      <c r="N15" s="27">
        <f>IF(H15="","",IF(D15="HOLD",IF(ABS(K15)&lt;0.03,"YES","NO"),IF(D15="BUY",IF(K15&gt;0,"YES","NO"),IF(D15="SELL",IF(K15&lt;0,"YES","NO"),""))))</f>
        <v/>
      </c>
      <c r="O15" s="23" t="n"/>
    </row>
    <row r="16" ht="15" customHeight="1">
      <c r="A16" s="22" t="n">
        <v>46160</v>
      </c>
      <c r="B16" s="23" t="inlineStr">
        <is>
          <t>XLU</t>
        </is>
      </c>
      <c r="C16" s="23" t="inlineStr">
        <is>
          <t>Roth IRA</t>
        </is>
      </c>
      <c r="D16" s="23" t="inlineStr">
        <is>
          <t>HOLD</t>
        </is>
      </c>
      <c r="E16" s="24" t="n">
        <v>0.52</v>
      </c>
      <c r="F16" s="23" t="inlineStr">
        <is>
          <t>MEDIUM</t>
        </is>
      </c>
      <c r="G16" s="25" t="n">
        <v>43.92</v>
      </c>
      <c r="H16" s="16" t="n">
        <v>45.33</v>
      </c>
      <c r="I16" s="16" t="n">
        <v>43.9</v>
      </c>
      <c r="J16" s="16" t="n">
        <v>45.06</v>
      </c>
      <c r="K16" s="26">
        <f>IF(H16="","",(H16-G16)/G16)</f>
        <v/>
      </c>
      <c r="L16" s="26">
        <f>IF(I16="","",(I16-G16)/G16)</f>
        <v/>
      </c>
      <c r="M16" s="26">
        <f>IF(J16="","",(J16-G16)/G16)</f>
        <v/>
      </c>
      <c r="N16" s="27">
        <f>IF(H16="","",IF(D16="HOLD",IF(ABS(K16)&lt;0.03,"YES","NO"),IF(D16="BUY",IF(K16&gt;0,"YES","NO"),IF(D16="SELL",IF(K16&lt;0,"YES","NO"),""))))</f>
        <v/>
      </c>
      <c r="O16" s="23" t="n"/>
    </row>
    <row r="17" ht="15" customHeight="1">
      <c r="A17" s="22" t="n">
        <v>46160</v>
      </c>
      <c r="B17" s="23" t="inlineStr">
        <is>
          <t>PM</t>
        </is>
      </c>
      <c r="C17" s="23" t="inlineStr">
        <is>
          <t>Roth IRA</t>
        </is>
      </c>
      <c r="D17" s="23" t="inlineStr">
        <is>
          <t>HOLD</t>
        </is>
      </c>
      <c r="E17" s="24" t="n">
        <v>0.62</v>
      </c>
      <c r="F17" s="23" t="inlineStr">
        <is>
          <t>MEDIUM</t>
        </is>
      </c>
      <c r="G17" s="25" t="n">
        <v>191.59</v>
      </c>
      <c r="H17" s="16" t="n">
        <v>181.53</v>
      </c>
      <c r="I17" s="16" t="n">
        <v>173.66</v>
      </c>
      <c r="J17" s="16" t="n">
        <v>184.06</v>
      </c>
      <c r="K17" s="26">
        <f>IF(H17="","",(H17-G17)/G17)</f>
        <v/>
      </c>
      <c r="L17" s="26">
        <f>IF(I17="","",(I17-G17)/G17)</f>
        <v/>
      </c>
      <c r="M17" s="26">
        <f>IF(J17="","",(J17-G17)/G17)</f>
        <v/>
      </c>
      <c r="N17" s="27">
        <f>IF(H17="","",IF(D17="HOLD",IF(ABS(K17)&lt;0.03,"YES","NO"),IF(D17="BUY",IF(K17&gt;0,"YES","NO"),IF(D17="SELL",IF(K17&lt;0,"YES","NO"),""))))</f>
        <v/>
      </c>
      <c r="O17" s="23" t="n"/>
    </row>
    <row r="18" ht="15" customHeight="1">
      <c r="A18" s="22" t="n">
        <v>46160</v>
      </c>
      <c r="B18" s="23" t="inlineStr">
        <is>
          <t>FTI</t>
        </is>
      </c>
      <c r="C18" s="23" t="inlineStr">
        <is>
          <t>Roth IRA,Individual</t>
        </is>
      </c>
      <c r="D18" s="23" t="inlineStr">
        <is>
          <t>HOLD</t>
        </is>
      </c>
      <c r="E18" s="24" t="n">
        <v>0.62</v>
      </c>
      <c r="F18" s="23" t="inlineStr">
        <is>
          <t>MEDIUM</t>
        </is>
      </c>
      <c r="G18" s="25" t="n">
        <v>73.45999999999999</v>
      </c>
      <c r="H18" s="16" t="n">
        <v>71.41</v>
      </c>
      <c r="I18" s="16" t="n">
        <v>69.45</v>
      </c>
      <c r="J18" s="16" t="n">
        <v>67</v>
      </c>
      <c r="K18" s="26">
        <f>IF(H18="","",(H18-G18)/G18)</f>
        <v/>
      </c>
      <c r="L18" s="26">
        <f>IF(I18="","",(I18-G18)/G18)</f>
        <v/>
      </c>
      <c r="M18" s="26">
        <f>IF(J18="","",(J18-G18)/G18)</f>
        <v/>
      </c>
      <c r="N18" s="27">
        <f>IF(H18="","",IF(D18="HOLD",IF(ABS(K18)&lt;0.03,"YES","NO"),IF(D18="BUY",IF(K18&gt;0,"YES","NO"),IF(D18="SELL",IF(K18&lt;0,"YES","NO"),""))))</f>
        <v/>
      </c>
      <c r="O18" s="23" t="n"/>
    </row>
    <row r="19" ht="15" customHeight="1">
      <c r="A19" s="22" t="n">
        <v>46160</v>
      </c>
      <c r="B19" s="23" t="inlineStr">
        <is>
          <t>AG</t>
        </is>
      </c>
      <c r="C19" s="23" t="inlineStr">
        <is>
          <t>Individual</t>
        </is>
      </c>
      <c r="D19" s="23" t="inlineStr">
        <is>
          <t>HOLD</t>
        </is>
      </c>
      <c r="E19" s="24" t="n">
        <v>0.52</v>
      </c>
      <c r="F19" s="23" t="inlineStr">
        <is>
          <t>MEDIUM</t>
        </is>
      </c>
      <c r="G19" s="25" t="n">
        <v>19.75</v>
      </c>
      <c r="H19" s="16" t="n">
        <v>20.28</v>
      </c>
      <c r="I19" s="16" t="n">
        <v>20.99</v>
      </c>
      <c r="J19" s="16" t="n">
        <v>19.42</v>
      </c>
      <c r="K19" s="26">
        <f>IF(H19="","",(H19-G19)/G19)</f>
        <v/>
      </c>
      <c r="L19" s="26">
        <f>IF(I19="","",(I19-G19)/G19)</f>
        <v/>
      </c>
      <c r="M19" s="26">
        <f>IF(J19="","",(J19-G19)/G19)</f>
        <v/>
      </c>
      <c r="N19" s="27">
        <f>IF(H19="","",IF(D19="HOLD",IF(ABS(K19)&lt;0.03,"YES","NO"),IF(D19="BUY",IF(K19&gt;0,"YES","NO"),IF(D19="SELL",IF(K19&lt;0,"YES","NO"),""))))</f>
        <v/>
      </c>
      <c r="O19" s="23" t="n"/>
    </row>
    <row r="20" ht="15" customHeight="1">
      <c r="A20" s="22" t="n">
        <v>46160</v>
      </c>
      <c r="B20" s="23" t="inlineStr">
        <is>
          <t>CBRS</t>
        </is>
      </c>
      <c r="C20" s="23" t="inlineStr">
        <is>
          <t>Individual</t>
        </is>
      </c>
      <c r="D20" s="23" t="inlineStr">
        <is>
          <t>HOLD</t>
        </is>
      </c>
      <c r="E20" s="24" t="n">
        <v>0.42</v>
      </c>
      <c r="F20" s="23" t="inlineStr">
        <is>
          <t>LOW</t>
        </is>
      </c>
      <c r="G20" s="25" t="n">
        <v>297</v>
      </c>
      <c r="H20" s="16" t="n">
        <v>241.71</v>
      </c>
      <c r="I20" s="16" t="n">
        <v>236.52</v>
      </c>
      <c r="J20" s="16" t="n">
        <v>212.45</v>
      </c>
      <c r="K20" s="26">
        <f>IF(H20="","",(H20-G20)/G20)</f>
        <v/>
      </c>
      <c r="L20" s="26">
        <f>IF(I20="","",(I20-G20)/G20)</f>
        <v/>
      </c>
      <c r="M20" s="26">
        <f>IF(J20="","",(J20-G20)/G20)</f>
        <v/>
      </c>
      <c r="N20" s="27">
        <f>IF(H20="","",IF(D20="HOLD",IF(ABS(K20)&lt;0.03,"YES","NO"),IF(D20="BUY",IF(K20&gt;0,"YES","NO"),IF(D20="SELL",IF(K20&lt;0,"YES","NO"),""))))</f>
        <v/>
      </c>
      <c r="O20" s="23" t="n"/>
    </row>
    <row r="21" ht="15" customHeight="1">
      <c r="A21" s="22" t="n">
        <v>46160</v>
      </c>
      <c r="B21" s="23" t="inlineStr">
        <is>
          <t>RTX</t>
        </is>
      </c>
      <c r="C21" s="23" t="inlineStr">
        <is>
          <t>Individual</t>
        </is>
      </c>
      <c r="D21" s="23" t="inlineStr">
        <is>
          <t>HOLD</t>
        </is>
      </c>
      <c r="E21" s="24" t="n">
        <v>0.52</v>
      </c>
      <c r="F21" s="23" t="inlineStr">
        <is>
          <t>MEDIUM</t>
        </is>
      </c>
      <c r="G21" s="25" t="n">
        <v>175.7</v>
      </c>
      <c r="H21" s="16" t="n">
        <v>178.97</v>
      </c>
      <c r="I21" s="16" t="n">
        <v>174.26</v>
      </c>
      <c r="J21" s="16" t="n">
        <v>186.77</v>
      </c>
      <c r="K21" s="26">
        <f>IF(H21="","",(H21-G21)/G21)</f>
        <v/>
      </c>
      <c r="L21" s="26">
        <f>IF(I21="","",(I21-G21)/G21)</f>
        <v/>
      </c>
      <c r="M21" s="26">
        <f>IF(J21="","",(J21-G21)/G21)</f>
        <v/>
      </c>
      <c r="N21" s="27">
        <f>IF(H21="","",IF(D21="HOLD",IF(ABS(K21)&lt;0.03,"YES","NO"),IF(D21="BUY",IF(K21&gt;0,"YES","NO"),IF(D21="SELL",IF(K21&lt;0,"YES","NO"),""))))</f>
        <v/>
      </c>
      <c r="O21" s="23" t="n"/>
    </row>
    <row r="22" ht="15" customHeight="1">
      <c r="A22" s="22" t="n">
        <v>46160</v>
      </c>
      <c r="B22" s="23" t="inlineStr">
        <is>
          <t>CORN</t>
        </is>
      </c>
      <c r="C22" s="23" t="inlineStr">
        <is>
          <t>Individual</t>
        </is>
      </c>
      <c r="D22" s="23" t="inlineStr">
        <is>
          <t>HOLD</t>
        </is>
      </c>
      <c r="E22" s="24" t="n">
        <v>0.52</v>
      </c>
      <c r="F22" s="23" t="inlineStr">
        <is>
          <t>LOW</t>
        </is>
      </c>
      <c r="G22" s="25" t="n">
        <v>18.74</v>
      </c>
      <c r="H22" s="16" t="n">
        <v>18.18</v>
      </c>
      <c r="I22" s="16" t="n">
        <v>17.71</v>
      </c>
      <c r="J22" s="16" t="n">
        <v>16.93</v>
      </c>
      <c r="K22" s="26">
        <f>IF(H22="","",(H22-G22)/G22)</f>
        <v/>
      </c>
      <c r="L22" s="26">
        <f>IF(I22="","",(I22-G22)/G22)</f>
        <v/>
      </c>
      <c r="M22" s="26">
        <f>IF(J22="","",(J22-G22)/G22)</f>
        <v/>
      </c>
      <c r="N22" s="27">
        <f>IF(H22="","",IF(D22="HOLD",IF(ABS(K22)&lt;0.03,"YES","NO"),IF(D22="BUY",IF(K22&gt;0,"YES","NO"),IF(D22="SELL",IF(K22&lt;0,"YES","NO"),""))))</f>
        <v/>
      </c>
      <c r="O22" s="23" t="n"/>
    </row>
    <row r="23" ht="15" customHeight="1">
      <c r="A23" s="22" t="n">
        <v>46160</v>
      </c>
      <c r="B23" s="23" t="inlineStr">
        <is>
          <t>SND</t>
        </is>
      </c>
      <c r="C23" s="23" t="inlineStr">
        <is>
          <t>Individual</t>
        </is>
      </c>
      <c r="D23" s="23" t="inlineStr">
        <is>
          <t>HOLD</t>
        </is>
      </c>
      <c r="E23" s="24" t="n">
        <v>0.52</v>
      </c>
      <c r="F23" s="23" t="inlineStr">
        <is>
          <t>MEDIUM</t>
        </is>
      </c>
      <c r="G23" s="25" t="n">
        <v>4.84</v>
      </c>
      <c r="H23" s="16" t="n">
        <v>4.99</v>
      </c>
      <c r="I23" s="16" t="n">
        <v>4.91</v>
      </c>
      <c r="J23" s="16" t="n">
        <v>5.02</v>
      </c>
      <c r="K23" s="26">
        <f>IF(H23="","",(H23-G23)/G23)</f>
        <v/>
      </c>
      <c r="L23" s="26">
        <f>IF(I23="","",(I23-G23)/G23)</f>
        <v/>
      </c>
      <c r="M23" s="26">
        <f>IF(J23="","",(J23-G23)/G23)</f>
        <v/>
      </c>
      <c r="N23" s="27">
        <f>IF(H23="","",IF(D23="HOLD",IF(ABS(K23)&lt;0.03,"YES","NO"),IF(D23="BUY",IF(K23&gt;0,"YES","NO"),IF(D23="SELL",IF(K23&lt;0,"YES","NO"),""))))</f>
        <v/>
      </c>
      <c r="O23" s="23" t="n"/>
    </row>
    <row r="24" ht="15" customHeight="1">
      <c r="A24" s="22" t="n">
        <v>46160</v>
      </c>
      <c r="B24" s="23" t="inlineStr">
        <is>
          <t>SPY</t>
        </is>
      </c>
      <c r="C24" s="23" t="inlineStr">
        <is>
          <t>Scout</t>
        </is>
      </c>
      <c r="D24" s="23" t="inlineStr">
        <is>
          <t>HOLD</t>
        </is>
      </c>
      <c r="E24" s="24" t="n">
        <v>0.48</v>
      </c>
      <c r="F24" s="23" t="inlineStr">
        <is>
          <t>LOW</t>
        </is>
      </c>
      <c r="G24" s="25" t="n">
        <v>738.49</v>
      </c>
      <c r="H24" s="16" t="n">
        <v>750.59</v>
      </c>
      <c r="I24" s="16" t="n">
        <v>759.5700000000001</v>
      </c>
      <c r="J24" s="16" t="n">
        <v>750.33</v>
      </c>
      <c r="K24" s="26">
        <f>IF(H24="","",(H24-G24)/G24)</f>
        <v/>
      </c>
      <c r="L24" s="26">
        <f>IF(I24="","",(I24-G24)/G24)</f>
        <v/>
      </c>
      <c r="M24" s="26">
        <f>IF(J24="","",(J24-G24)/G24)</f>
        <v/>
      </c>
      <c r="N24" s="27">
        <f>IF(H24="","",IF(D24="HOLD",IF(ABS(K24)&lt;0.03,"YES","NO"),IF(D24="BUY",IF(K24&gt;0,"YES","NO"),IF(D24="SELL",IF(K24&lt;0,"YES","NO"),""))))</f>
        <v/>
      </c>
      <c r="O24" s="23" t="n"/>
    </row>
    <row r="25" ht="15" customHeight="1">
      <c r="A25" s="22" t="n">
        <v>46160</v>
      </c>
      <c r="B25" s="23" t="inlineStr">
        <is>
          <t>QQQ</t>
        </is>
      </c>
      <c r="C25" s="23" t="inlineStr">
        <is>
          <t>Scout</t>
        </is>
      </c>
      <c r="D25" s="23" t="inlineStr">
        <is>
          <t>HOLD</t>
        </is>
      </c>
      <c r="E25" s="24" t="n">
        <v>0.48</v>
      </c>
      <c r="F25" s="23" t="inlineStr">
        <is>
          <t>MEDIUM</t>
        </is>
      </c>
      <c r="G25" s="25" t="n">
        <v>705.71</v>
      </c>
      <c r="H25" s="16" t="n">
        <v>730.28</v>
      </c>
      <c r="I25" s="16" t="n">
        <v>746.16</v>
      </c>
      <c r="J25" s="16" t="n">
        <v>729.86</v>
      </c>
      <c r="K25" s="26">
        <f>IF(H25="","",(H25-G25)/G25)</f>
        <v/>
      </c>
      <c r="L25" s="26">
        <f>IF(I25="","",(I25-G25)/G25)</f>
        <v/>
      </c>
      <c r="M25" s="26">
        <f>IF(J25="","",(J25-G25)/G25)</f>
        <v/>
      </c>
      <c r="N25" s="27">
        <f>IF(H25="","",IF(D25="HOLD",IF(ABS(K25)&lt;0.03,"YES","NO"),IF(D25="BUY",IF(K25&gt;0,"YES","NO"),IF(D25="SELL",IF(K25&lt;0,"YES","NO"),""))))</f>
        <v/>
      </c>
      <c r="O25" s="23" t="n"/>
    </row>
    <row r="26" ht="15" customHeight="1">
      <c r="A26" s="22" t="n">
        <v>46160</v>
      </c>
      <c r="B26" s="23" t="inlineStr">
        <is>
          <t>VTI</t>
        </is>
      </c>
      <c r="C26" s="23" t="inlineStr">
        <is>
          <t>Scout</t>
        </is>
      </c>
      <c r="D26" s="23" t="inlineStr">
        <is>
          <t>HOLD</t>
        </is>
      </c>
      <c r="E26" s="24" t="n">
        <v>0.52</v>
      </c>
      <c r="F26" s="23" t="inlineStr">
        <is>
          <t>LOW</t>
        </is>
      </c>
      <c r="G26" s="25" t="n">
        <v>362.28</v>
      </c>
      <c r="H26" s="16" t="n">
        <v>369.46</v>
      </c>
      <c r="I26" s="16" t="n">
        <v>374.36</v>
      </c>
      <c r="J26" s="16" t="n">
        <v>370.37</v>
      </c>
      <c r="K26" s="26">
        <f>IF(H26="","",(H26-G26)/G26)</f>
        <v/>
      </c>
      <c r="L26" s="26">
        <f>IF(I26="","",(I26-G26)/G26)</f>
        <v/>
      </c>
      <c r="M26" s="26">
        <f>IF(J26="","",(J26-G26)/G26)</f>
        <v/>
      </c>
      <c r="N26" s="27">
        <f>IF(H26="","",IF(D26="HOLD",IF(ABS(K26)&lt;0.03,"YES","NO"),IF(D26="BUY",IF(K26&gt;0,"YES","NO"),IF(D26="SELL",IF(K26&lt;0,"YES","NO"),""))))</f>
        <v/>
      </c>
      <c r="O26" s="23" t="n"/>
    </row>
    <row r="27" ht="15" customHeight="1">
      <c r="A27" s="22" t="n">
        <v>46160</v>
      </c>
      <c r="B27" s="23" t="inlineStr">
        <is>
          <t>NVDA</t>
        </is>
      </c>
      <c r="C27" s="23" t="inlineStr">
        <is>
          <t>Scout</t>
        </is>
      </c>
      <c r="D27" s="23" t="inlineStr">
        <is>
          <t>HOLD</t>
        </is>
      </c>
      <c r="E27" s="24" t="n">
        <v>0.52</v>
      </c>
      <c r="F27" s="23" t="inlineStr">
        <is>
          <t>MEDIUM</t>
        </is>
      </c>
      <c r="G27" s="25" t="n">
        <v>222.3</v>
      </c>
      <c r="H27" s="16" t="n">
        <v>214.86</v>
      </c>
      <c r="I27" s="16" t="n">
        <v>222.82</v>
      </c>
      <c r="J27" s="16" t="n">
        <v>207.41</v>
      </c>
      <c r="K27" s="26">
        <f>IF(H27="","",(H27-G27)/G27)</f>
        <v/>
      </c>
      <c r="L27" s="26">
        <f>IF(I27="","",(I27-G27)/G27)</f>
        <v/>
      </c>
      <c r="M27" s="26">
        <f>IF(J27="","",(J27-G27)/G27)</f>
        <v/>
      </c>
      <c r="N27" s="27">
        <f>IF(H27="","",IF(D27="HOLD",IF(ABS(K27)&lt;0.03,"YES","NO"),IF(D27="BUY",IF(K27&gt;0,"YES","NO"),IF(D27="SELL",IF(K27&lt;0,"YES","NO"),""))))</f>
        <v/>
      </c>
      <c r="O27" s="23" t="n"/>
    </row>
    <row r="28" ht="15" customHeight="1">
      <c r="A28" s="22" t="n">
        <v>46160</v>
      </c>
      <c r="B28" s="23" t="inlineStr">
        <is>
          <t>GLD</t>
        </is>
      </c>
      <c r="C28" s="23" t="inlineStr">
        <is>
          <t>Scout</t>
        </is>
      </c>
      <c r="D28" s="23" t="inlineStr">
        <is>
          <t>HOLD</t>
        </is>
      </c>
      <c r="E28" s="24" t="n">
        <v>0.48</v>
      </c>
      <c r="F28" s="23" t="inlineStr">
        <is>
          <t>MEDIUM</t>
        </is>
      </c>
      <c r="G28" s="25" t="n">
        <v>418.44</v>
      </c>
      <c r="H28" s="16" t="n">
        <v>414</v>
      </c>
      <c r="I28" s="16" t="n">
        <v>411.95</v>
      </c>
      <c r="J28" s="16" t="n">
        <v>397.64</v>
      </c>
      <c r="K28" s="26">
        <f>IF(H28="","",(H28-G28)/G28)</f>
        <v/>
      </c>
      <c r="L28" s="26">
        <f>IF(I28="","",(I28-G28)/G28)</f>
        <v/>
      </c>
      <c r="M28" s="26">
        <f>IF(J28="","",(J28-G28)/G28)</f>
        <v/>
      </c>
      <c r="N28" s="27">
        <f>IF(H28="","",IF(D28="HOLD",IF(ABS(K28)&lt;0.03,"YES","NO"),IF(D28="BUY",IF(K28&gt;0,"YES","NO"),IF(D28="SELL",IF(K28&lt;0,"YES","NO"),""))))</f>
        <v/>
      </c>
      <c r="O28" s="23" t="n"/>
    </row>
    <row r="29" ht="15" customHeight="1">
      <c r="A29" s="22" t="n">
        <v>46161</v>
      </c>
      <c r="B29" s="23" t="inlineStr">
        <is>
          <t>AAPL</t>
        </is>
      </c>
      <c r="C29" s="23" t="inlineStr">
        <is>
          <t>Roth IRA</t>
        </is>
      </c>
      <c r="D29" s="23" t="inlineStr">
        <is>
          <t>HOLD</t>
        </is>
      </c>
      <c r="E29" s="24" t="n">
        <v>0.62</v>
      </c>
      <c r="F29" s="23" t="inlineStr">
        <is>
          <t>HIGH</t>
        </is>
      </c>
      <c r="G29" s="25" t="n">
        <v>297.01</v>
      </c>
      <c r="H29" s="16" t="n">
        <v>310.85</v>
      </c>
      <c r="I29" s="16" t="n">
        <v>310.26</v>
      </c>
      <c r="J29" s="16" t="n">
        <v>295.95</v>
      </c>
      <c r="K29" s="26">
        <f>IF(H29="","",(H29-G29)/G29)</f>
        <v/>
      </c>
      <c r="L29" s="26">
        <f>IF(I29="","",(I29-G29)/G29)</f>
        <v/>
      </c>
      <c r="M29" s="26">
        <f>IF(J29="","",(J29-G29)/G29)</f>
        <v/>
      </c>
      <c r="N29" s="27">
        <f>IF(H29="","",IF(D29="HOLD",IF(ABS(K29)&lt;0.03,"YES","NO"),IF(D29="BUY",IF(K29&gt;0,"YES","NO"),IF(D29="SELL",IF(K29&lt;0,"YES","NO"),""))))</f>
        <v/>
      </c>
      <c r="O29" s="23" t="n"/>
    </row>
    <row r="30" ht="15" customHeight="1">
      <c r="A30" s="22" t="n">
        <v>46161</v>
      </c>
      <c r="B30" s="23" t="inlineStr">
        <is>
          <t>AG</t>
        </is>
      </c>
      <c r="C30" s="23" t="inlineStr">
        <is>
          <t>Individual</t>
        </is>
      </c>
      <c r="D30" s="23" t="inlineStr">
        <is>
          <t>HOLD</t>
        </is>
      </c>
      <c r="E30" s="24" t="n">
        <v>0.52</v>
      </c>
      <c r="F30" s="23" t="inlineStr">
        <is>
          <t>MEDIUM</t>
        </is>
      </c>
      <c r="G30" s="25" t="n">
        <v>18.81</v>
      </c>
      <c r="H30" s="16" t="n">
        <v>19.67</v>
      </c>
      <c r="I30" s="16" t="n">
        <v>19.77</v>
      </c>
      <c r="J30" s="16" t="n">
        <v>18.55</v>
      </c>
      <c r="K30" s="26">
        <f>IF(H30="","",(H30-G30)/G30)</f>
        <v/>
      </c>
      <c r="L30" s="26">
        <f>IF(I30="","",(I30-G30)/G30)</f>
        <v/>
      </c>
      <c r="M30" s="26">
        <f>IF(J30="","",(J30-G30)/G30)</f>
        <v/>
      </c>
      <c r="N30" s="27">
        <f>IF(H30="","",IF(D30="HOLD",IF(ABS(K30)&lt;0.03,"YES","NO"),IF(D30="BUY",IF(K30&gt;0,"YES","NO"),IF(D30="SELL",IF(K30&lt;0,"YES","NO"),""))))</f>
        <v/>
      </c>
      <c r="O30" s="23" t="n"/>
    </row>
    <row r="31" ht="15" customHeight="1">
      <c r="A31" s="22" t="n">
        <v>46161</v>
      </c>
      <c r="B31" s="23" t="inlineStr">
        <is>
          <t>AIQ</t>
        </is>
      </c>
      <c r="C31" s="23" t="inlineStr">
        <is>
          <t>Roth IRA,Individual</t>
        </is>
      </c>
      <c r="D31" s="23" t="inlineStr">
        <is>
          <t>HOLD</t>
        </is>
      </c>
      <c r="E31" s="24" t="n">
        <v>0.52</v>
      </c>
      <c r="F31" s="23" t="inlineStr">
        <is>
          <t>MEDIUM</t>
        </is>
      </c>
      <c r="G31" s="25" t="n">
        <v>59.8</v>
      </c>
      <c r="H31" s="16" t="n">
        <v>65.09999999999999</v>
      </c>
      <c r="I31" s="16" t="n">
        <v>69.16</v>
      </c>
      <c r="J31" s="16" t="n">
        <v>64.33</v>
      </c>
      <c r="K31" s="26">
        <f>IF(H31="","",(H31-G31)/G31)</f>
        <v/>
      </c>
      <c r="L31" s="26">
        <f>IF(I31="","",(I31-G31)/G31)</f>
        <v/>
      </c>
      <c r="M31" s="26">
        <f>IF(J31="","",(J31-G31)/G31)</f>
        <v/>
      </c>
      <c r="N31" s="27">
        <f>IF(H31="","",IF(D31="HOLD",IF(ABS(K31)&lt;0.03,"YES","NO"),IF(D31="BUY",IF(K31&gt;0,"YES","NO"),IF(D31="SELL",IF(K31&lt;0,"YES","NO"),""))))</f>
        <v/>
      </c>
      <c r="O31" s="23" t="n"/>
    </row>
    <row r="32" ht="15" customHeight="1">
      <c r="A32" s="22" t="n">
        <v>46161</v>
      </c>
      <c r="B32" s="23" t="inlineStr">
        <is>
          <t>CBRS</t>
        </is>
      </c>
      <c r="C32" s="23" t="inlineStr">
        <is>
          <t>Individual</t>
        </is>
      </c>
      <c r="D32" s="23" t="inlineStr">
        <is>
          <t>HOLD</t>
        </is>
      </c>
      <c r="E32" s="24" t="n">
        <v>0.42</v>
      </c>
      <c r="F32" s="23" t="inlineStr">
        <is>
          <t>MEDIUM</t>
        </is>
      </c>
      <c r="G32" s="25" t="n">
        <v>315.88</v>
      </c>
      <c r="H32" s="16" t="n">
        <v>266.9</v>
      </c>
      <c r="I32" s="16" t="n">
        <v>214.94</v>
      </c>
      <c r="J32" s="16" t="n">
        <v>213.67</v>
      </c>
      <c r="K32" s="26">
        <f>IF(H32="","",(H32-G32)/G32)</f>
        <v/>
      </c>
      <c r="L32" s="26">
        <f>IF(I32="","",(I32-G32)/G32)</f>
        <v/>
      </c>
      <c r="M32" s="26">
        <f>IF(J32="","",(J32-G32)/G32)</f>
        <v/>
      </c>
      <c r="N32" s="27">
        <f>IF(H32="","",IF(D32="HOLD",IF(ABS(K32)&lt;0.03,"YES","NO"),IF(D32="BUY",IF(K32&gt;0,"YES","NO"),IF(D32="SELL",IF(K32&lt;0,"YES","NO"),""))))</f>
        <v/>
      </c>
      <c r="O32" s="23" t="n"/>
    </row>
    <row r="33" ht="15" customHeight="1">
      <c r="A33" s="22" t="n">
        <v>46161</v>
      </c>
      <c r="B33" s="23" t="inlineStr">
        <is>
          <t>CORN</t>
        </is>
      </c>
      <c r="C33" s="23" t="inlineStr">
        <is>
          <t>Individual</t>
        </is>
      </c>
      <c r="D33" s="23" t="inlineStr">
        <is>
          <t>HOLD</t>
        </is>
      </c>
      <c r="E33" s="24" t="n">
        <v>0.52</v>
      </c>
      <c r="F33" s="23" t="inlineStr">
        <is>
          <t>MEDIUM</t>
        </is>
      </c>
      <c r="G33" s="25" t="n">
        <v>18.69</v>
      </c>
      <c r="H33" s="16" t="n">
        <v>18</v>
      </c>
      <c r="I33" s="16" t="n">
        <v>17.47</v>
      </c>
      <c r="J33" s="16" t="n">
        <v>17.15</v>
      </c>
      <c r="K33" s="26">
        <f>IF(H33="","",(H33-G33)/G33)</f>
        <v/>
      </c>
      <c r="L33" s="26">
        <f>IF(I33="","",(I33-G33)/G33)</f>
        <v/>
      </c>
      <c r="M33" s="26">
        <f>IF(J33="","",(J33-G33)/G33)</f>
        <v/>
      </c>
      <c r="N33" s="27">
        <f>IF(H33="","",IF(D33="HOLD",IF(ABS(K33)&lt;0.03,"YES","NO"),IF(D33="BUY",IF(K33&gt;0,"YES","NO"),IF(D33="SELL",IF(K33&lt;0,"YES","NO"),""))))</f>
        <v/>
      </c>
      <c r="O33" s="23" t="n"/>
    </row>
    <row r="34" ht="15" customHeight="1">
      <c r="A34" s="22" t="n">
        <v>46161</v>
      </c>
      <c r="B34" s="23" t="inlineStr">
        <is>
          <t>DOW</t>
        </is>
      </c>
      <c r="C34" s="23" t="inlineStr">
        <is>
          <t>Roth IRA,Individual</t>
        </is>
      </c>
      <c r="D34" s="23" t="inlineStr">
        <is>
          <t>HOLD</t>
        </is>
      </c>
      <c r="E34" s="24" t="n">
        <v>0.45</v>
      </c>
      <c r="F34" s="23" t="inlineStr">
        <is>
          <t>MEDIUM</t>
        </is>
      </c>
      <c r="G34" s="25" t="n">
        <v>37.46</v>
      </c>
      <c r="H34" s="16" t="n">
        <v>34.49</v>
      </c>
      <c r="I34" s="16" t="n">
        <v>35.4</v>
      </c>
      <c r="J34" s="16" t="n">
        <v>32.5</v>
      </c>
      <c r="K34" s="26">
        <f>IF(H34="","",(H34-G34)/G34)</f>
        <v/>
      </c>
      <c r="L34" s="26">
        <f>IF(I34="","",(I34-G34)/G34)</f>
        <v/>
      </c>
      <c r="M34" s="26">
        <f>IF(J34="","",(J34-G34)/G34)</f>
        <v/>
      </c>
      <c r="N34" s="27">
        <f>IF(H34="","",IF(D34="HOLD",IF(ABS(K34)&lt;0.03,"YES","NO"),IF(D34="BUY",IF(K34&gt;0,"YES","NO"),IF(D34="SELL",IF(K34&lt;0,"YES","NO"),""))))</f>
        <v/>
      </c>
      <c r="O34" s="23" t="n"/>
    </row>
    <row r="35" ht="15" customHeight="1">
      <c r="A35" s="22" t="n">
        <v>46161</v>
      </c>
      <c r="B35" s="23" t="inlineStr">
        <is>
          <t>FTI</t>
        </is>
      </c>
      <c r="C35" s="23" t="inlineStr">
        <is>
          <t>Individual</t>
        </is>
      </c>
      <c r="D35" s="23" t="inlineStr">
        <is>
          <t>HOLD</t>
        </is>
      </c>
      <c r="E35" s="24" t="n">
        <v>0.62</v>
      </c>
      <c r="F35" s="23" t="inlineStr">
        <is>
          <t>MEDIUM</t>
        </is>
      </c>
      <c r="G35" s="25" t="n">
        <v>72.89</v>
      </c>
      <c r="H35" s="16" t="n">
        <v>67.41</v>
      </c>
      <c r="I35" s="16" t="n">
        <v>67.94</v>
      </c>
      <c r="J35" s="16" t="n">
        <v>67.01000000000001</v>
      </c>
      <c r="K35" s="26">
        <f>IF(H35="","",(H35-G35)/G35)</f>
        <v/>
      </c>
      <c r="L35" s="26">
        <f>IF(I35="","",(I35-G35)/G35)</f>
        <v/>
      </c>
      <c r="M35" s="26">
        <f>IF(J35="","",(J35-G35)/G35)</f>
        <v/>
      </c>
      <c r="N35" s="27">
        <f>IF(H35="","",IF(D35="HOLD",IF(ABS(K35)&lt;0.03,"YES","NO"),IF(D35="BUY",IF(K35&gt;0,"YES","NO"),IF(D35="SELL",IF(K35&lt;0,"YES","NO"),""))))</f>
        <v/>
      </c>
      <c r="O35" s="23" t="n"/>
    </row>
    <row r="36" ht="15" customHeight="1">
      <c r="A36" s="22" t="n">
        <v>46161</v>
      </c>
      <c r="B36" s="23" t="inlineStr">
        <is>
          <t>GM</t>
        </is>
      </c>
      <c r="C36" s="23" t="inlineStr">
        <is>
          <t>Roth IRA,Individual</t>
        </is>
      </c>
      <c r="D36" s="23" t="inlineStr">
        <is>
          <t>HOLD</t>
        </is>
      </c>
      <c r="E36" s="24" t="n">
        <v>0.52</v>
      </c>
      <c r="F36" s="23" t="inlineStr">
        <is>
          <t>MEDIUM</t>
        </is>
      </c>
      <c r="G36" s="25" t="n">
        <v>71.15000000000001</v>
      </c>
      <c r="H36" s="16" t="n">
        <v>84.12</v>
      </c>
      <c r="I36" s="16" t="n">
        <v>81.7</v>
      </c>
      <c r="J36" s="16" t="n">
        <v>79.58</v>
      </c>
      <c r="K36" s="26">
        <f>IF(H36="","",(H36-G36)/G36)</f>
        <v/>
      </c>
      <c r="L36" s="26">
        <f>IF(I36="","",(I36-G36)/G36)</f>
        <v/>
      </c>
      <c r="M36" s="26">
        <f>IF(J36="","",(J36-G36)/G36)</f>
        <v/>
      </c>
      <c r="N36" s="27">
        <f>IF(H36="","",IF(D36="HOLD",IF(ABS(K36)&lt;0.03,"YES","NO"),IF(D36="BUY",IF(K36&gt;0,"YES","NO"),IF(D36="SELL",IF(K36&lt;0,"YES","NO"),""))))</f>
        <v/>
      </c>
      <c r="O36" s="23" t="n"/>
    </row>
    <row r="37" ht="15" customHeight="1">
      <c r="A37" s="22" t="n">
        <v>46161</v>
      </c>
      <c r="B37" s="23" t="inlineStr">
        <is>
          <t>JPM</t>
        </is>
      </c>
      <c r="C37" s="23" t="inlineStr">
        <is>
          <t>Roth IRA</t>
        </is>
      </c>
      <c r="D37" s="23" t="inlineStr">
        <is>
          <t>HOLD</t>
        </is>
      </c>
      <c r="E37" s="24" t="n">
        <v>0.55</v>
      </c>
      <c r="F37" s="23" t="inlineStr">
        <is>
          <t>MEDIUM</t>
        </is>
      </c>
      <c r="G37" s="25" t="n">
        <v>299.23</v>
      </c>
      <c r="H37" s="16" t="n">
        <v>299.28</v>
      </c>
      <c r="I37" s="16" t="n">
        <v>300.85</v>
      </c>
      <c r="J37" s="16" t="n">
        <v>333.46</v>
      </c>
      <c r="K37" s="26">
        <f>IF(H37="","",(H37-G37)/G37)</f>
        <v/>
      </c>
      <c r="L37" s="26">
        <f>IF(I37="","",(I37-G37)/G37)</f>
        <v/>
      </c>
      <c r="M37" s="26">
        <f>IF(J37="","",(J37-G37)/G37)</f>
        <v/>
      </c>
      <c r="N37" s="27">
        <f>IF(H37="","",IF(D37="HOLD",IF(ABS(K37)&lt;0.03,"YES","NO"),IF(D37="BUY",IF(K37&gt;0,"YES","NO"),IF(D37="SELL",IF(K37&lt;0,"YES","NO"),""))))</f>
        <v/>
      </c>
      <c r="O37" s="23" t="n"/>
    </row>
    <row r="38" ht="15" customHeight="1">
      <c r="A38" s="22" t="n">
        <v>46161</v>
      </c>
      <c r="B38" s="23" t="inlineStr">
        <is>
          <t>MSFT</t>
        </is>
      </c>
      <c r="C38" s="23" t="inlineStr">
        <is>
          <t>Roth IRA,Individual</t>
        </is>
      </c>
      <c r="D38" s="23" t="inlineStr">
        <is>
          <t>HOLD</t>
        </is>
      </c>
      <c r="E38" s="24" t="n">
        <v>0.52</v>
      </c>
      <c r="F38" s="23" t="inlineStr">
        <is>
          <t>MEDIUM</t>
        </is>
      </c>
      <c r="G38" s="25" t="n">
        <v>423.38</v>
      </c>
      <c r="H38" s="16" t="n">
        <v>412.67</v>
      </c>
      <c r="I38" s="16" t="n">
        <v>427.34</v>
      </c>
      <c r="J38" s="16" t="n">
        <v>378.91</v>
      </c>
      <c r="K38" s="26">
        <f>IF(H38="","",(H38-G38)/G38)</f>
        <v/>
      </c>
      <c r="L38" s="26">
        <f>IF(I38="","",(I38-G38)/G38)</f>
        <v/>
      </c>
      <c r="M38" s="26">
        <f>IF(J38="","",(J38-G38)/G38)</f>
        <v/>
      </c>
      <c r="N38" s="27">
        <f>IF(H38="","",IF(D38="HOLD",IF(ABS(K38)&lt;0.03,"YES","NO"),IF(D38="BUY",IF(K38&gt;0,"YES","NO"),IF(D38="SELL",IF(K38&lt;0,"YES","NO"),""))))</f>
        <v/>
      </c>
      <c r="O38" s="23" t="n"/>
    </row>
    <row r="39" ht="15" customHeight="1">
      <c r="A39" s="22" t="n">
        <v>46161</v>
      </c>
      <c r="B39" s="23" t="inlineStr">
        <is>
          <t>NKE</t>
        </is>
      </c>
      <c r="C39" s="23" t="inlineStr">
        <is>
          <t>Roth IRA</t>
        </is>
      </c>
      <c r="D39" s="23" t="inlineStr">
        <is>
          <t>HOLD</t>
        </is>
      </c>
      <c r="E39" s="24" t="n">
        <v>0.42</v>
      </c>
      <c r="F39" s="23" t="inlineStr">
        <is>
          <t>HIGH</t>
        </is>
      </c>
      <c r="G39" s="25" t="n">
        <v>43.08</v>
      </c>
      <c r="H39" s="16" t="n">
        <v>45.98</v>
      </c>
      <c r="I39" s="16" t="n">
        <v>43.81</v>
      </c>
      <c r="J39" s="16" t="n">
        <v>44.19</v>
      </c>
      <c r="K39" s="26">
        <f>IF(H39="","",(H39-G39)/G39)</f>
        <v/>
      </c>
      <c r="L39" s="26">
        <f>IF(I39="","",(I39-G39)/G39)</f>
        <v/>
      </c>
      <c r="M39" s="26">
        <f>IF(J39="","",(J39-G39)/G39)</f>
        <v/>
      </c>
      <c r="N39" s="27">
        <f>IF(H39="","",IF(D39="HOLD",IF(ABS(K39)&lt;0.03,"YES","NO"),IF(D39="BUY",IF(K39&gt;0,"YES","NO"),IF(D39="SELL",IF(K39&lt;0,"YES","NO"),""))))</f>
        <v/>
      </c>
      <c r="O39" s="23" t="n"/>
    </row>
    <row r="40" ht="15" customHeight="1">
      <c r="A40" s="22" t="n">
        <v>46161</v>
      </c>
      <c r="B40" s="23" t="inlineStr">
        <is>
          <t>NTR</t>
        </is>
      </c>
      <c r="C40" s="23" t="inlineStr">
        <is>
          <t>Roth IRA,Individual</t>
        </is>
      </c>
      <c r="D40" s="23" t="inlineStr">
        <is>
          <t>HOLD</t>
        </is>
      </c>
      <c r="E40" s="24" t="n">
        <v>0.62</v>
      </c>
      <c r="F40" s="23" t="inlineStr">
        <is>
          <t>HIGH</t>
        </is>
      </c>
      <c r="G40" s="25" t="n">
        <v>70.97</v>
      </c>
      <c r="H40" s="16" t="n">
        <v>68.73</v>
      </c>
      <c r="I40" s="16" t="n">
        <v>68.81</v>
      </c>
      <c r="J40" s="16" t="n">
        <v>64.28</v>
      </c>
      <c r="K40" s="26">
        <f>IF(H40="","",(H40-G40)/G40)</f>
        <v/>
      </c>
      <c r="L40" s="26">
        <f>IF(I40="","",(I40-G40)/G40)</f>
        <v/>
      </c>
      <c r="M40" s="26">
        <f>IF(J40="","",(J40-G40)/G40)</f>
        <v/>
      </c>
      <c r="N40" s="27">
        <f>IF(H40="","",IF(D40="HOLD",IF(ABS(K40)&lt;0.03,"YES","NO"),IF(D40="BUY",IF(K40&gt;0,"YES","NO"),IF(D40="SELL",IF(K40&lt;0,"YES","NO"),""))))</f>
        <v/>
      </c>
      <c r="O40" s="23" t="n"/>
    </row>
    <row r="41" ht="15" customHeight="1">
      <c r="A41" s="22" t="n">
        <v>46161</v>
      </c>
      <c r="B41" s="23" t="inlineStr">
        <is>
          <t>PM</t>
        </is>
      </c>
      <c r="C41" s="23" t="inlineStr">
        <is>
          <t>Roth IRA</t>
        </is>
      </c>
      <c r="D41" s="23" t="inlineStr">
        <is>
          <t>HOLD</t>
        </is>
      </c>
      <c r="E41" s="24" t="n">
        <v>0.62</v>
      </c>
      <c r="F41" s="23" t="inlineStr">
        <is>
          <t>HIGH</t>
        </is>
      </c>
      <c r="G41" s="25" t="n">
        <v>191.06</v>
      </c>
      <c r="H41" s="16" t="n">
        <v>182.04</v>
      </c>
      <c r="I41" s="16" t="n">
        <v>175.94</v>
      </c>
      <c r="J41" s="16" t="n">
        <v>179.44</v>
      </c>
      <c r="K41" s="26">
        <f>IF(H41="","",(H41-G41)/G41)</f>
        <v/>
      </c>
      <c r="L41" s="26">
        <f>IF(I41="","",(I41-G41)/G41)</f>
        <v/>
      </c>
      <c r="M41" s="26">
        <f>IF(J41="","",(J41-G41)/G41)</f>
        <v/>
      </c>
      <c r="N41" s="27">
        <f>IF(H41="","",IF(D41="HOLD",IF(ABS(K41)&lt;0.03,"YES","NO"),IF(D41="BUY",IF(K41&gt;0,"YES","NO"),IF(D41="SELL",IF(K41&lt;0,"YES","NO"),""))))</f>
        <v/>
      </c>
      <c r="O41" s="23" t="n"/>
    </row>
    <row r="42" ht="15" customHeight="1">
      <c r="A42" s="22" t="n">
        <v>46161</v>
      </c>
      <c r="B42" s="23" t="inlineStr">
        <is>
          <t>PWR</t>
        </is>
      </c>
      <c r="C42" s="23" t="inlineStr">
        <is>
          <t>Roth IRA</t>
        </is>
      </c>
      <c r="D42" s="23" t="inlineStr">
        <is>
          <t>HOLD</t>
        </is>
      </c>
      <c r="E42" s="24" t="n">
        <v>0.58</v>
      </c>
      <c r="F42" s="23" t="inlineStr">
        <is>
          <t>MEDIUM</t>
        </is>
      </c>
      <c r="G42" s="25" t="n">
        <v>695.86</v>
      </c>
      <c r="H42" s="16" t="n">
        <v>733.62</v>
      </c>
      <c r="I42" s="16" t="n">
        <v>715.67</v>
      </c>
      <c r="J42" s="16" t="n">
        <v>714.85</v>
      </c>
      <c r="K42" s="26">
        <f>IF(H42="","",(H42-G42)/G42)</f>
        <v/>
      </c>
      <c r="L42" s="26">
        <f>IF(I42="","",(I42-G42)/G42)</f>
        <v/>
      </c>
      <c r="M42" s="26">
        <f>IF(J42="","",(J42-G42)/G42)</f>
        <v/>
      </c>
      <c r="N42" s="27">
        <f>IF(H42="","",IF(D42="HOLD",IF(ABS(K42)&lt;0.03,"YES","NO"),IF(D42="BUY",IF(K42&gt;0,"YES","NO"),IF(D42="SELL",IF(K42&lt;0,"YES","NO"),""))))</f>
        <v/>
      </c>
      <c r="O42" s="23" t="n"/>
    </row>
    <row r="43" ht="15" customHeight="1">
      <c r="A43" s="22" t="n">
        <v>46161</v>
      </c>
      <c r="B43" s="23" t="inlineStr">
        <is>
          <t>RTX</t>
        </is>
      </c>
      <c r="C43" s="23" t="inlineStr">
        <is>
          <t>Individual</t>
        </is>
      </c>
      <c r="D43" s="23" t="inlineStr">
        <is>
          <t>HOLD</t>
        </is>
      </c>
      <c r="E43" s="24" t="n">
        <v>0.52</v>
      </c>
      <c r="F43" s="23" t="inlineStr">
        <is>
          <t>HIGH</t>
        </is>
      </c>
      <c r="G43" s="25" t="n">
        <v>175.8</v>
      </c>
      <c r="H43" s="16" t="n">
        <v>176.59</v>
      </c>
      <c r="I43" s="16" t="n">
        <v>172.55</v>
      </c>
      <c r="J43" s="16" t="n">
        <v>192.58</v>
      </c>
      <c r="K43" s="26">
        <f>IF(H43="","",(H43-G43)/G43)</f>
        <v/>
      </c>
      <c r="L43" s="26">
        <f>IF(I43="","",(I43-G43)/G43)</f>
        <v/>
      </c>
      <c r="M43" s="26">
        <f>IF(J43="","",(J43-G43)/G43)</f>
        <v/>
      </c>
      <c r="N43" s="27">
        <f>IF(H43="","",IF(D43="HOLD",IF(ABS(K43)&lt;0.03,"YES","NO"),IF(D43="BUY",IF(K43&gt;0,"YES","NO"),IF(D43="SELL",IF(K43&lt;0,"YES","NO"),""))))</f>
        <v/>
      </c>
      <c r="O43" s="23" t="n"/>
    </row>
    <row r="44" ht="15" customHeight="1">
      <c r="A44" s="22" t="n">
        <v>46161</v>
      </c>
      <c r="B44" s="23" t="inlineStr">
        <is>
          <t>SCHD</t>
        </is>
      </c>
      <c r="C44" s="23" t="inlineStr">
        <is>
          <t>Roth IRA</t>
        </is>
      </c>
      <c r="D44" s="23" t="inlineStr">
        <is>
          <t>HOLD</t>
        </is>
      </c>
      <c r="E44" s="24" t="n">
        <v>0.68</v>
      </c>
      <c r="F44" s="23" t="inlineStr">
        <is>
          <t>HIGH</t>
        </is>
      </c>
      <c r="G44" s="25" t="n">
        <v>32.08</v>
      </c>
      <c r="H44" s="16" t="n">
        <v>32.55</v>
      </c>
      <c r="I44" s="16" t="n">
        <v>32.37</v>
      </c>
      <c r="J44" s="16" t="n">
        <v>31.93</v>
      </c>
      <c r="K44" s="26">
        <f>IF(H44="","",(H44-G44)/G44)</f>
        <v/>
      </c>
      <c r="L44" s="26">
        <f>IF(I44="","",(I44-G44)/G44)</f>
        <v/>
      </c>
      <c r="M44" s="26">
        <f>IF(J44="","",(J44-G44)/G44)</f>
        <v/>
      </c>
      <c r="N44" s="27">
        <f>IF(H44="","",IF(D44="HOLD",IF(ABS(K44)&lt;0.03,"YES","NO"),IF(D44="BUY",IF(K44&gt;0,"YES","NO"),IF(D44="SELL",IF(K44&lt;0,"YES","NO"),""))))</f>
        <v/>
      </c>
      <c r="O44" s="23" t="n"/>
    </row>
    <row r="45" ht="15" customHeight="1">
      <c r="A45" s="22" t="n">
        <v>46161</v>
      </c>
      <c r="B45" s="23" t="inlineStr">
        <is>
          <t>SND</t>
        </is>
      </c>
      <c r="C45" s="23" t="inlineStr">
        <is>
          <t>Individual</t>
        </is>
      </c>
      <c r="D45" s="23" t="inlineStr">
        <is>
          <t>HOLD</t>
        </is>
      </c>
      <c r="E45" s="24" t="n">
        <v>0.48</v>
      </c>
      <c r="F45" s="23" t="inlineStr">
        <is>
          <t>MEDIUM</t>
        </is>
      </c>
      <c r="G45" s="25" t="n">
        <v>4.84</v>
      </c>
      <c r="H45" s="16" t="n">
        <v>4.9</v>
      </c>
      <c r="I45" s="16" t="n">
        <v>5.1</v>
      </c>
      <c r="J45" s="16" t="n">
        <v>5.03</v>
      </c>
      <c r="K45" s="26">
        <f>IF(H45="","",(H45-G45)/G45)</f>
        <v/>
      </c>
      <c r="L45" s="26">
        <f>IF(I45="","",(I45-G45)/G45)</f>
        <v/>
      </c>
      <c r="M45" s="26">
        <f>IF(J45="","",(J45-G45)/G45)</f>
        <v/>
      </c>
      <c r="N45" s="27">
        <f>IF(H45="","",IF(D45="HOLD",IF(ABS(K45)&lt;0.03,"YES","NO"),IF(D45="BUY",IF(K45&gt;0,"YES","NO"),IF(D45="SELL",IF(K45&lt;0,"YES","NO"),""))))</f>
        <v/>
      </c>
      <c r="O45" s="23" t="n"/>
    </row>
    <row r="46" ht="15" customHeight="1">
      <c r="A46" s="22" t="n">
        <v>46161</v>
      </c>
      <c r="B46" s="23" t="inlineStr">
        <is>
          <t>WMT</t>
        </is>
      </c>
      <c r="C46" s="23" t="inlineStr">
        <is>
          <t>Roth IRA,Individual</t>
        </is>
      </c>
      <c r="D46" s="23" t="inlineStr">
        <is>
          <t>HOLD</t>
        </is>
      </c>
      <c r="E46" s="24" t="n">
        <v>0.62</v>
      </c>
      <c r="F46" s="23" t="inlineStr">
        <is>
          <t>HIGH</t>
        </is>
      </c>
      <c r="G46" s="25" t="n">
        <v>134.16</v>
      </c>
      <c r="H46" s="16" t="n">
        <v>118.54</v>
      </c>
      <c r="I46" s="16" t="n">
        <v>116.89</v>
      </c>
      <c r="J46" s="16" t="n">
        <v>118.13</v>
      </c>
      <c r="K46" s="26">
        <f>IF(H46="","",(H46-G46)/G46)</f>
        <v/>
      </c>
      <c r="L46" s="26">
        <f>IF(I46="","",(I46-G46)/G46)</f>
        <v/>
      </c>
      <c r="M46" s="26">
        <f>IF(J46="","",(J46-G46)/G46)</f>
        <v/>
      </c>
      <c r="N46" s="27">
        <f>IF(H46="","",IF(D46="HOLD",IF(ABS(K46)&lt;0.03,"YES","NO"),IF(D46="BUY",IF(K46&gt;0,"YES","NO"),IF(D46="SELL",IF(K46&lt;0,"YES","NO"),""))))</f>
        <v/>
      </c>
      <c r="O46" s="23" t="n"/>
    </row>
    <row r="47" ht="15" customHeight="1">
      <c r="A47" s="22" t="n">
        <v>46161</v>
      </c>
      <c r="B47" s="23" t="inlineStr">
        <is>
          <t>XLU</t>
        </is>
      </c>
      <c r="C47" s="23" t="inlineStr">
        <is>
          <t>Roth IRA</t>
        </is>
      </c>
      <c r="D47" s="23" t="inlineStr">
        <is>
          <t>HOLD</t>
        </is>
      </c>
      <c r="E47" s="24" t="n">
        <v>0.52</v>
      </c>
      <c r="F47" s="23" t="inlineStr">
        <is>
          <t>HIGH</t>
        </is>
      </c>
      <c r="G47" s="25" t="n">
        <v>44.03</v>
      </c>
      <c r="H47" s="16" t="n">
        <v>45.14</v>
      </c>
      <c r="I47" s="16" t="n">
        <v>43.71</v>
      </c>
      <c r="J47" s="16" t="n">
        <v>44.46</v>
      </c>
      <c r="K47" s="26">
        <f>IF(H47="","",(H47-G47)/G47)</f>
        <v/>
      </c>
      <c r="L47" s="26">
        <f>IF(I47="","",(I47-G47)/G47)</f>
        <v/>
      </c>
      <c r="M47" s="26">
        <f>IF(J47="","",(J47-G47)/G47)</f>
        <v/>
      </c>
      <c r="N47" s="27">
        <f>IF(H47="","",IF(D47="HOLD",IF(ABS(K47)&lt;0.03,"YES","NO"),IF(D47="BUY",IF(K47&gt;0,"YES","NO"),IF(D47="SELL",IF(K47&lt;0,"YES","NO"),""))))</f>
        <v/>
      </c>
      <c r="O47" s="23" t="n"/>
    </row>
    <row r="48" ht="15" customHeight="1">
      <c r="A48" s="22" t="n">
        <v>46161</v>
      </c>
      <c r="B48" s="23" t="inlineStr">
        <is>
          <t>SPY</t>
        </is>
      </c>
      <c r="C48" s="23" t="inlineStr">
        <is>
          <t>Scout</t>
        </is>
      </c>
      <c r="D48" s="23" t="inlineStr">
        <is>
          <t>HOLD</t>
        </is>
      </c>
      <c r="E48" s="24" t="n">
        <v>0.45</v>
      </c>
      <c r="F48" s="23" t="inlineStr">
        <is>
          <t>HIGH</t>
        </is>
      </c>
      <c r="G48" s="25" t="n">
        <v>733.01</v>
      </c>
      <c r="H48" s="16" t="n">
        <v>750.46</v>
      </c>
      <c r="I48" s="16" t="n">
        <v>754.24</v>
      </c>
      <c r="J48" s="16" t="n">
        <v>740.96</v>
      </c>
      <c r="K48" s="26">
        <f>IF(H48="","",(H48-G48)/G48)</f>
        <v/>
      </c>
      <c r="L48" s="26">
        <f>IF(I48="","",(I48-G48)/G48)</f>
        <v/>
      </c>
      <c r="M48" s="26">
        <f>IF(J48="","",(J48-G48)/G48)</f>
        <v/>
      </c>
      <c r="N48" s="27">
        <f>IF(H48="","",IF(D48="HOLD",IF(ABS(K48)&lt;0.03,"YES","NO"),IF(D48="BUY",IF(K48&gt;0,"YES","NO"),IF(D48="SELL",IF(K48&lt;0,"YES","NO"),""))))</f>
        <v/>
      </c>
      <c r="O48" s="23" t="n"/>
    </row>
    <row r="49" ht="15" customHeight="1">
      <c r="A49" s="22" t="n">
        <v>46161</v>
      </c>
      <c r="B49" s="23" t="inlineStr">
        <is>
          <t>QQQ</t>
        </is>
      </c>
      <c r="C49" s="23" t="inlineStr">
        <is>
          <t>Scout</t>
        </is>
      </c>
      <c r="D49" s="23" t="inlineStr">
        <is>
          <t>HOLD</t>
        </is>
      </c>
      <c r="E49" s="24" t="n">
        <v>0.42</v>
      </c>
      <c r="F49" s="23" t="inlineStr">
        <is>
          <t>MEDIUM</t>
        </is>
      </c>
      <c r="G49" s="25" t="n">
        <v>698.41</v>
      </c>
      <c r="H49" s="16" t="n">
        <v>729.45</v>
      </c>
      <c r="I49" s="16" t="n">
        <v>744.21</v>
      </c>
      <c r="J49" s="16" t="n">
        <v>722.51</v>
      </c>
      <c r="K49" s="26">
        <f>IF(H49="","",(H49-G49)/G49)</f>
        <v/>
      </c>
      <c r="L49" s="26">
        <f>IF(I49="","",(I49-G49)/G49)</f>
        <v/>
      </c>
      <c r="M49" s="26">
        <f>IF(J49="","",(J49-G49)/G49)</f>
        <v/>
      </c>
      <c r="N49" s="27">
        <f>IF(H49="","",IF(D49="HOLD",IF(ABS(K49)&lt;0.03,"YES","NO"),IF(D49="BUY",IF(K49&gt;0,"YES","NO"),IF(D49="SELL",IF(K49&lt;0,"YES","NO"),""))))</f>
        <v/>
      </c>
      <c r="O49" s="23" t="n"/>
    </row>
    <row r="50" ht="15" customHeight="1">
      <c r="A50" s="22" t="n">
        <v>46161</v>
      </c>
      <c r="B50" s="23" t="inlineStr">
        <is>
          <t>VTI</t>
        </is>
      </c>
      <c r="C50" s="23" t="inlineStr">
        <is>
          <t>Scout</t>
        </is>
      </c>
      <c r="D50" s="23" t="inlineStr">
        <is>
          <t>HOLD</t>
        </is>
      </c>
      <c r="E50" s="24" t="n">
        <v>0.52</v>
      </c>
      <c r="F50" s="23" t="inlineStr">
        <is>
          <t>MEDIUM</t>
        </is>
      </c>
      <c r="G50" s="25" t="n">
        <v>359.51</v>
      </c>
      <c r="H50" s="16" t="n">
        <v>369.36</v>
      </c>
      <c r="I50" s="16" t="n">
        <v>371.65</v>
      </c>
      <c r="J50" s="16" t="n">
        <v>365.76</v>
      </c>
      <c r="K50" s="26">
        <f>IF(H50="","",(H50-G50)/G50)</f>
        <v/>
      </c>
      <c r="L50" s="26">
        <f>IF(I50="","",(I50-G50)/G50)</f>
        <v/>
      </c>
      <c r="M50" s="26">
        <f>IF(J50="","",(J50-G50)/G50)</f>
        <v/>
      </c>
      <c r="N50" s="27">
        <f>IF(H50="","",IF(D50="HOLD",IF(ABS(K50)&lt;0.03,"YES","NO"),IF(D50="BUY",IF(K50&gt;0,"YES","NO"),IF(D50="SELL",IF(K50&lt;0,"YES","NO"),""))))</f>
        <v/>
      </c>
      <c r="O50" s="23" t="n"/>
    </row>
    <row r="51" ht="15" customHeight="1">
      <c r="A51" s="22" t="n">
        <v>46161</v>
      </c>
      <c r="B51" s="23" t="inlineStr">
        <is>
          <t>NVDA</t>
        </is>
      </c>
      <c r="C51" s="23" t="inlineStr">
        <is>
          <t>Scout</t>
        </is>
      </c>
      <c r="D51" s="23" t="inlineStr">
        <is>
          <t>BUY</t>
        </is>
      </c>
      <c r="E51" s="24" t="n">
        <v>0.62</v>
      </c>
      <c r="F51" s="23" t="inlineStr">
        <is>
          <t>MEDIUM</t>
        </is>
      </c>
      <c r="G51" s="25" t="n">
        <v>220.58</v>
      </c>
      <c r="H51" s="16" t="n">
        <v>212.6</v>
      </c>
      <c r="I51" s="16" t="n">
        <v>214.75</v>
      </c>
      <c r="J51" s="16" t="n">
        <v>204.65</v>
      </c>
      <c r="K51" s="26">
        <f>IF(H51="","",(H51-G51)/G51)</f>
        <v/>
      </c>
      <c r="L51" s="26">
        <f>IF(I51="","",(I51-G51)/G51)</f>
        <v/>
      </c>
      <c r="M51" s="26">
        <f>IF(J51="","",(J51-G51)/G51)</f>
        <v/>
      </c>
      <c r="N51" s="27">
        <f>IF(H51="","",IF(D51="HOLD",IF(ABS(K51)&lt;0.03,"YES","NO"),IF(D51="BUY",IF(K51&gt;0,"YES","NO"),IF(D51="SELL",IF(K51&lt;0,"YES","NO"),""))))</f>
        <v/>
      </c>
      <c r="O51" s="23" t="inlineStr">
        <is>
          <t>First BUY signal. Rejected: 62% &lt; 70% threshold</t>
        </is>
      </c>
    </row>
    <row r="52" ht="15" customHeight="1">
      <c r="A52" s="22" t="n">
        <v>46161</v>
      </c>
      <c r="B52" s="23" t="inlineStr">
        <is>
          <t>GLD</t>
        </is>
      </c>
      <c r="C52" s="23" t="inlineStr">
        <is>
          <t>Scout</t>
        </is>
      </c>
      <c r="D52" s="23" t="inlineStr">
        <is>
          <t>HOLD</t>
        </is>
      </c>
      <c r="E52" s="24" t="n">
        <v>0.42</v>
      </c>
      <c r="F52" s="23" t="inlineStr">
        <is>
          <t>MEDIUM</t>
        </is>
      </c>
      <c r="G52" s="25" t="n">
        <v>412.56</v>
      </c>
      <c r="H52" s="16" t="n">
        <v>404.49</v>
      </c>
      <c r="I52" s="16" t="n">
        <v>407.87</v>
      </c>
      <c r="J52" s="16" t="n">
        <v>388.6</v>
      </c>
      <c r="K52" s="26">
        <f>IF(H52="","",(H52-G52)/G52)</f>
        <v/>
      </c>
      <c r="L52" s="26">
        <f>IF(I52="","",(I52-G52)/G52)</f>
        <v/>
      </c>
      <c r="M52" s="26">
        <f>IF(J52="","",(J52-G52)/G52)</f>
        <v/>
      </c>
      <c r="N52" s="27">
        <f>IF(H52="","",IF(D52="HOLD",IF(ABS(K52)&lt;0.03,"YES","NO"),IF(D52="BUY",IF(K52&gt;0,"YES","NO"),IF(D52="SELL",IF(K52&lt;0,"YES","NO"),""))))</f>
        <v/>
      </c>
      <c r="O52" s="23" t="n"/>
    </row>
    <row r="53" ht="15" customHeight="1">
      <c r="A53" s="22" t="n">
        <v>46162</v>
      </c>
      <c r="B53" s="23" t="inlineStr">
        <is>
          <t>AAPL</t>
        </is>
      </c>
      <c r="C53" s="23" t="inlineStr">
        <is>
          <t>Roth IRA</t>
        </is>
      </c>
      <c r="D53" s="23" t="inlineStr">
        <is>
          <t>HOLD</t>
        </is>
      </c>
      <c r="E53" s="24" t="n">
        <v>0.52</v>
      </c>
      <c r="F53" s="23" t="inlineStr">
        <is>
          <t>MEDIUM</t>
        </is>
      </c>
      <c r="G53" s="25" t="n">
        <v>299.43</v>
      </c>
      <c r="H53" s="16" t="n">
        <v>312.51</v>
      </c>
      <c r="I53" s="16" t="n">
        <v>311.23</v>
      </c>
      <c r="J53" s="16" t="n">
        <v>298.01</v>
      </c>
      <c r="K53" s="26">
        <f>IF(H53="","",(H53-G53)/G53)</f>
        <v/>
      </c>
      <c r="L53" s="26">
        <f>IF(I53="","",(I53-G53)/G53)</f>
        <v/>
      </c>
      <c r="M53" s="26">
        <f>IF(J53="","",(J53-G53)/G53)</f>
        <v/>
      </c>
      <c r="N53" s="27">
        <f>IF(H53="","",IF(D53="HOLD",IF(ABS(K53)&lt;0.03,"YES","NO"),IF(D53="BUY",IF(K53&gt;0,"YES","NO"),IF(D53="SELL",IF(K53&lt;0,"YES","NO"),""))))</f>
        <v/>
      </c>
      <c r="O53" s="23" t="n"/>
    </row>
    <row r="54" ht="15" customHeight="1">
      <c r="A54" s="22" t="n">
        <v>46162</v>
      </c>
      <c r="B54" s="23" t="inlineStr">
        <is>
          <t>AG</t>
        </is>
      </c>
      <c r="C54" s="23" t="inlineStr">
        <is>
          <t>Individual</t>
        </is>
      </c>
      <c r="D54" s="23" t="inlineStr">
        <is>
          <t>HOLD</t>
        </is>
      </c>
      <c r="E54" s="24" t="n">
        <v>0.45</v>
      </c>
      <c r="F54" s="23" t="inlineStr">
        <is>
          <t>MEDIUM</t>
        </is>
      </c>
      <c r="G54" s="25" t="n">
        <v>19.69</v>
      </c>
      <c r="H54" s="16" t="n">
        <v>20.58</v>
      </c>
      <c r="I54" s="16" t="n">
        <v>19.77</v>
      </c>
      <c r="J54" s="16" t="n">
        <v>18</v>
      </c>
      <c r="K54" s="26">
        <f>IF(H54="","",(H54-G54)/G54)</f>
        <v/>
      </c>
      <c r="L54" s="26">
        <f>IF(I54="","",(I54-G54)/G54)</f>
        <v/>
      </c>
      <c r="M54" s="26">
        <f>IF(J54="","",(J54-G54)/G54)</f>
        <v/>
      </c>
      <c r="N54" s="27">
        <f>IF(H54="","",IF(D54="HOLD",IF(ABS(K54)&lt;0.03,"YES","NO"),IF(D54="BUY",IF(K54&gt;0,"YES","NO"),IF(D54="SELL",IF(K54&lt;0,"YES","NO"),""))))</f>
        <v/>
      </c>
      <c r="O54" s="23" t="n"/>
    </row>
    <row r="55" ht="15" customHeight="1">
      <c r="A55" s="22" t="n">
        <v>46162</v>
      </c>
      <c r="B55" s="23" t="inlineStr">
        <is>
          <t>AIQ</t>
        </is>
      </c>
      <c r="C55" s="23" t="inlineStr">
        <is>
          <t>Roth IRA,Individual</t>
        </is>
      </c>
      <c r="D55" s="23" t="inlineStr">
        <is>
          <t>HOLD</t>
        </is>
      </c>
      <c r="E55" s="24" t="n">
        <v>0.45</v>
      </c>
      <c r="F55" s="23" t="inlineStr">
        <is>
          <t>MEDIUM</t>
        </is>
      </c>
      <c r="G55" s="25" t="n">
        <v>61.25</v>
      </c>
      <c r="H55" s="16" t="n">
        <v>66.34</v>
      </c>
      <c r="I55" s="16" t="n">
        <v>68.06999999999999</v>
      </c>
      <c r="J55" s="16" t="n">
        <v>66.8</v>
      </c>
      <c r="K55" s="26">
        <f>IF(H55="","",(H55-G55)/G55)</f>
        <v/>
      </c>
      <c r="L55" s="26">
        <f>IF(I55="","",(I55-G55)/G55)</f>
        <v/>
      </c>
      <c r="M55" s="26">
        <f>IF(J55="","",(J55-G55)/G55)</f>
        <v/>
      </c>
      <c r="N55" s="27">
        <f>IF(H55="","",IF(D55="HOLD",IF(ABS(K55)&lt;0.03,"YES","NO"),IF(D55="BUY",IF(K55&gt;0,"YES","NO"),IF(D55="SELL",IF(K55&lt;0,"YES","NO"),""))))</f>
        <v/>
      </c>
      <c r="O55" s="23" t="n"/>
    </row>
    <row r="56" ht="15" customHeight="1">
      <c r="A56" s="22" t="n">
        <v>46162</v>
      </c>
      <c r="B56" s="23" t="inlineStr">
        <is>
          <t>CBRS</t>
        </is>
      </c>
      <c r="C56" s="23" t="inlineStr">
        <is>
          <t>Individual</t>
        </is>
      </c>
      <c r="D56" s="23" t="inlineStr">
        <is>
          <t>HOLD</t>
        </is>
      </c>
      <c r="E56" s="24" t="n">
        <v>0.42</v>
      </c>
      <c r="F56" s="23" t="inlineStr">
        <is>
          <t>LOW</t>
        </is>
      </c>
      <c r="G56" s="25" t="n">
        <v>322.42</v>
      </c>
      <c r="H56" s="16" t="n">
        <v>242.59</v>
      </c>
      <c r="I56" s="16" t="n">
        <v>215.4</v>
      </c>
      <c r="J56" s="16" t="n">
        <v>234.71</v>
      </c>
      <c r="K56" s="26">
        <f>IF(H56="","",(H56-G56)/G56)</f>
        <v/>
      </c>
      <c r="L56" s="26">
        <f>IF(I56="","",(I56-G56)/G56)</f>
        <v/>
      </c>
      <c r="M56" s="26">
        <f>IF(J56="","",(J56-G56)/G56)</f>
        <v/>
      </c>
      <c r="N56" s="27">
        <f>IF(H56="","",IF(D56="HOLD",IF(ABS(K56)&lt;0.03,"YES","NO"),IF(D56="BUY",IF(K56&gt;0,"YES","NO"),IF(D56="SELL",IF(K56&lt;0,"YES","NO"),""))))</f>
        <v/>
      </c>
      <c r="O56" s="23" t="n"/>
    </row>
    <row r="57" ht="15" customHeight="1">
      <c r="A57" s="22" t="n">
        <v>46162</v>
      </c>
      <c r="B57" s="23" t="inlineStr">
        <is>
          <t>CORN</t>
        </is>
      </c>
      <c r="C57" s="23" t="inlineStr">
        <is>
          <t>Individual</t>
        </is>
      </c>
      <c r="D57" s="23" t="inlineStr">
        <is>
          <t>HOLD</t>
        </is>
      </c>
      <c r="E57" s="24" t="n">
        <v>0.42</v>
      </c>
      <c r="F57" s="23" t="inlineStr">
        <is>
          <t>LOW</t>
        </is>
      </c>
      <c r="G57" s="25" t="n">
        <v>18.5</v>
      </c>
      <c r="H57" s="16" t="n">
        <v>18.21</v>
      </c>
      <c r="I57" s="16" t="n">
        <v>17.23</v>
      </c>
      <c r="J57" s="16" t="n">
        <v>16.95</v>
      </c>
      <c r="K57" s="26">
        <f>IF(H57="","",(H57-G57)/G57)</f>
        <v/>
      </c>
      <c r="L57" s="26">
        <f>IF(I57="","",(I57-G57)/G57)</f>
        <v/>
      </c>
      <c r="M57" s="26">
        <f>IF(J57="","",(J57-G57)/G57)</f>
        <v/>
      </c>
      <c r="N57" s="27">
        <f>IF(H57="","",IF(D57="HOLD",IF(ABS(K57)&lt;0.03,"YES","NO"),IF(D57="BUY",IF(K57&gt;0,"YES","NO"),IF(D57="SELL",IF(K57&lt;0,"YES","NO"),""))))</f>
        <v/>
      </c>
      <c r="O57" s="23" t="n"/>
    </row>
    <row r="58" ht="15" customHeight="1">
      <c r="A58" s="22" t="n">
        <v>46162</v>
      </c>
      <c r="B58" s="23" t="inlineStr">
        <is>
          <t>DOW</t>
        </is>
      </c>
      <c r="C58" s="23" t="inlineStr">
        <is>
          <t>Roth IRA,Individual</t>
        </is>
      </c>
      <c r="D58" s="23" t="inlineStr">
        <is>
          <t>HOLD</t>
        </is>
      </c>
      <c r="E58" s="24" t="n">
        <v>0.42</v>
      </c>
      <c r="F58" s="23" t="inlineStr">
        <is>
          <t>MEDIUM</t>
        </is>
      </c>
      <c r="G58" s="25" t="n">
        <v>36.85</v>
      </c>
      <c r="H58" s="16" t="n">
        <v>34.77</v>
      </c>
      <c r="I58" s="16" t="n">
        <v>34.79</v>
      </c>
      <c r="J58" s="16" t="n">
        <v>31.73</v>
      </c>
      <c r="K58" s="26">
        <f>IF(H58="","",(H58-G58)/G58)</f>
        <v/>
      </c>
      <c r="L58" s="26">
        <f>IF(I58="","",(I58-G58)/G58)</f>
        <v/>
      </c>
      <c r="M58" s="26">
        <f>IF(J58="","",(J58-G58)/G58)</f>
        <v/>
      </c>
      <c r="N58" s="27">
        <f>IF(H58="","",IF(D58="HOLD",IF(ABS(K58)&lt;0.03,"YES","NO"),IF(D58="BUY",IF(K58&gt;0,"YES","NO"),IF(D58="SELL",IF(K58&lt;0,"YES","NO"),""))))</f>
        <v/>
      </c>
      <c r="O58" s="23" t="n"/>
    </row>
    <row r="59" ht="15" customHeight="1">
      <c r="A59" s="22" t="n">
        <v>46162</v>
      </c>
      <c r="B59" s="23" t="inlineStr">
        <is>
          <t>FTI</t>
        </is>
      </c>
      <c r="C59" s="23" t="inlineStr">
        <is>
          <t>Individual</t>
        </is>
      </c>
      <c r="D59" s="23" t="inlineStr">
        <is>
          <t>HOLD</t>
        </is>
      </c>
      <c r="E59" s="24" t="n">
        <v>0.55</v>
      </c>
      <c r="F59" s="23" t="inlineStr">
        <is>
          <t>MEDIUM</t>
        </is>
      </c>
      <c r="G59" s="25" t="n">
        <v>73.93000000000001</v>
      </c>
      <c r="H59" s="16" t="n">
        <v>67.7</v>
      </c>
      <c r="I59" s="16" t="n">
        <v>69.01000000000001</v>
      </c>
      <c r="J59" s="16" t="n">
        <v>65.17</v>
      </c>
      <c r="K59" s="26">
        <f>IF(H59="","",(H59-G59)/G59)</f>
        <v/>
      </c>
      <c r="L59" s="26">
        <f>IF(I59="","",(I59-G59)/G59)</f>
        <v/>
      </c>
      <c r="M59" s="26">
        <f>IF(J59="","",(J59-G59)/G59)</f>
        <v/>
      </c>
      <c r="N59" s="27">
        <f>IF(H59="","",IF(D59="HOLD",IF(ABS(K59)&lt;0.03,"YES","NO"),IF(D59="BUY",IF(K59&gt;0,"YES","NO"),IF(D59="SELL",IF(K59&lt;0,"YES","NO"),""))))</f>
        <v/>
      </c>
      <c r="O59" s="23" t="n"/>
    </row>
    <row r="60" ht="15" customHeight="1">
      <c r="A60" s="22" t="n">
        <v>46162</v>
      </c>
      <c r="B60" s="23" t="inlineStr">
        <is>
          <t>GM</t>
        </is>
      </c>
      <c r="C60" s="23" t="inlineStr">
        <is>
          <t>Roth IRA,Individual</t>
        </is>
      </c>
      <c r="D60" s="23" t="inlineStr">
        <is>
          <t>HOLD</t>
        </is>
      </c>
      <c r="E60" s="24" t="n">
        <v>0.45</v>
      </c>
      <c r="F60" s="23" t="inlineStr">
        <is>
          <t>MEDIUM</t>
        </is>
      </c>
      <c r="G60" s="25" t="n">
        <v>74.48</v>
      </c>
      <c r="H60" s="16" t="n">
        <v>84.34999999999999</v>
      </c>
      <c r="I60" s="16" t="n">
        <v>83.22</v>
      </c>
      <c r="J60" s="16" t="n">
        <v>79.29000000000001</v>
      </c>
      <c r="K60" s="26">
        <f>IF(H60="","",(H60-G60)/G60)</f>
        <v/>
      </c>
      <c r="L60" s="26">
        <f>IF(I60="","",(I60-G60)/G60)</f>
        <v/>
      </c>
      <c r="M60" s="26">
        <f>IF(J60="","",(J60-G60)/G60)</f>
        <v/>
      </c>
      <c r="N60" s="27">
        <f>IF(H60="","",IF(D60="HOLD",IF(ABS(K60)&lt;0.03,"YES","NO"),IF(D60="BUY",IF(K60&gt;0,"YES","NO"),IF(D60="SELL",IF(K60&lt;0,"YES","NO"),""))))</f>
        <v/>
      </c>
      <c r="O60" s="23" t="n"/>
    </row>
    <row r="61" ht="15" customHeight="1">
      <c r="A61" s="22" t="n">
        <v>46162</v>
      </c>
      <c r="B61" s="23" t="inlineStr">
        <is>
          <t>JPM</t>
        </is>
      </c>
      <c r="C61" s="23" t="inlineStr">
        <is>
          <t>Roth IRA</t>
        </is>
      </c>
      <c r="D61" s="23" t="inlineStr">
        <is>
          <t>HOLD</t>
        </is>
      </c>
      <c r="E61" s="24" t="n">
        <v>0.52</v>
      </c>
      <c r="F61" s="23" t="inlineStr">
        <is>
          <t>MEDIUM</t>
        </is>
      </c>
      <c r="G61" s="25" t="n">
        <v>299.5</v>
      </c>
      <c r="H61" s="16" t="n">
        <v>296.73</v>
      </c>
      <c r="I61" s="16" t="n">
        <v>310.89</v>
      </c>
      <c r="J61" s="16" t="n">
        <v>325.22</v>
      </c>
      <c r="K61" s="26">
        <f>IF(H61="","",(H61-G61)/G61)</f>
        <v/>
      </c>
      <c r="L61" s="26">
        <f>IF(I61="","",(I61-G61)/G61)</f>
        <v/>
      </c>
      <c r="M61" s="26">
        <f>IF(J61="","",(J61-G61)/G61)</f>
        <v/>
      </c>
      <c r="N61" s="27">
        <f>IF(H61="","",IF(D61="HOLD",IF(ABS(K61)&lt;0.03,"YES","NO"),IF(D61="BUY",IF(K61&gt;0,"YES","NO"),IF(D61="SELL",IF(K61&lt;0,"YES","NO"),""))))</f>
        <v/>
      </c>
      <c r="O61" s="23" t="n"/>
    </row>
    <row r="62" ht="15" customHeight="1">
      <c r="A62" s="22" t="n">
        <v>46162</v>
      </c>
      <c r="B62" s="23" t="inlineStr">
        <is>
          <t>MSFT</t>
        </is>
      </c>
      <c r="C62" s="23" t="inlineStr">
        <is>
          <t>Roth IRA,Individual</t>
        </is>
      </c>
      <c r="D62" s="23" t="inlineStr">
        <is>
          <t>HOLD</t>
        </is>
      </c>
      <c r="E62" s="24" t="n">
        <v>0.52</v>
      </c>
      <c r="F62" s="23" t="inlineStr">
        <is>
          <t>MEDIUM</t>
        </is>
      </c>
      <c r="G62" s="25" t="n">
        <v>414.49</v>
      </c>
      <c r="H62" s="16" t="n">
        <v>426.99</v>
      </c>
      <c r="I62" s="16" t="n">
        <v>428.05</v>
      </c>
      <c r="J62" s="16" t="n">
        <v>379.4</v>
      </c>
      <c r="K62" s="26">
        <f>IF(H62="","",(H62-G62)/G62)</f>
        <v/>
      </c>
      <c r="L62" s="26">
        <f>IF(I62="","",(I62-G62)/G62)</f>
        <v/>
      </c>
      <c r="M62" s="26">
        <f>IF(J62="","",(J62-G62)/G62)</f>
        <v/>
      </c>
      <c r="N62" s="27">
        <f>IF(H62="","",IF(D62="HOLD",IF(ABS(K62)&lt;0.03,"YES","NO"),IF(D62="BUY",IF(K62&gt;0,"YES","NO"),IF(D62="SELL",IF(K62&lt;0,"YES","NO"),""))))</f>
        <v/>
      </c>
      <c r="O62" s="23" t="n"/>
    </row>
    <row r="63" ht="15" customHeight="1">
      <c r="A63" s="22" t="n">
        <v>46162</v>
      </c>
      <c r="B63" s="23" t="inlineStr">
        <is>
          <t>NKE</t>
        </is>
      </c>
      <c r="C63" s="23" t="inlineStr">
        <is>
          <t>Roth IRA</t>
        </is>
      </c>
      <c r="D63" s="23" t="inlineStr">
        <is>
          <t>HOLD</t>
        </is>
      </c>
      <c r="E63" s="24" t="n">
        <v>0.48</v>
      </c>
      <c r="F63" s="23" t="inlineStr">
        <is>
          <t>MEDIUM</t>
        </is>
      </c>
      <c r="G63" s="25" t="n">
        <v>43.08</v>
      </c>
      <c r="H63" s="16" t="n">
        <v>47.37</v>
      </c>
      <c r="I63" s="16" t="n">
        <v>43.62</v>
      </c>
      <c r="J63" s="16" t="n">
        <v>45.2</v>
      </c>
      <c r="K63" s="26">
        <f>IF(H63="","",(H63-G63)/G63)</f>
        <v/>
      </c>
      <c r="L63" s="26">
        <f>IF(I63="","",(I63-G63)/G63)</f>
        <v/>
      </c>
      <c r="M63" s="26">
        <f>IF(J63="","",(J63-G63)/G63)</f>
        <v/>
      </c>
      <c r="N63" s="27">
        <f>IF(H63="","",IF(D63="HOLD",IF(ABS(K63)&lt;0.03,"YES","NO"),IF(D63="BUY",IF(K63&gt;0,"YES","NO"),IF(D63="SELL",IF(K63&lt;0,"YES","NO"),""))))</f>
        <v/>
      </c>
      <c r="O63" s="23" t="n"/>
    </row>
    <row r="64" ht="15" customHeight="1">
      <c r="A64" s="22" t="n">
        <v>46162</v>
      </c>
      <c r="B64" s="23" t="inlineStr">
        <is>
          <t>NTR</t>
        </is>
      </c>
      <c r="C64" s="23" t="inlineStr">
        <is>
          <t>Roth IRA,Individual</t>
        </is>
      </c>
      <c r="D64" s="23" t="inlineStr">
        <is>
          <t>HOLD</t>
        </is>
      </c>
      <c r="E64" s="24" t="n">
        <v>0.58</v>
      </c>
      <c r="F64" s="23" t="inlineStr">
        <is>
          <t>MEDIUM</t>
        </is>
      </c>
      <c r="G64" s="25" t="n">
        <v>70.97</v>
      </c>
      <c r="H64" s="16" t="n">
        <v>69.65000000000001</v>
      </c>
      <c r="I64" s="16" t="n">
        <v>69</v>
      </c>
      <c r="J64" s="16" t="n">
        <v>62.86</v>
      </c>
      <c r="K64" s="26">
        <f>IF(H64="","",(H64-G64)/G64)</f>
        <v/>
      </c>
      <c r="L64" s="26">
        <f>IF(I64="","",(I64-G64)/G64)</f>
        <v/>
      </c>
      <c r="M64" s="26">
        <f>IF(J64="","",(J64-G64)/G64)</f>
        <v/>
      </c>
      <c r="N64" s="27">
        <f>IF(H64="","",IF(D64="HOLD",IF(ABS(K64)&lt;0.03,"YES","NO"),IF(D64="BUY",IF(K64&gt;0,"YES","NO"),IF(D64="SELL",IF(K64&lt;0,"YES","NO"),""))))</f>
        <v/>
      </c>
      <c r="O64" s="23" t="n"/>
    </row>
    <row r="65" ht="15" customHeight="1">
      <c r="A65" s="22" t="n">
        <v>46162</v>
      </c>
      <c r="B65" s="23" t="inlineStr">
        <is>
          <t>PM</t>
        </is>
      </c>
      <c r="C65" s="23" t="inlineStr">
        <is>
          <t>Roth IRA</t>
        </is>
      </c>
      <c r="D65" s="23" t="inlineStr">
        <is>
          <t>HOLD</t>
        </is>
      </c>
      <c r="E65" s="24" t="n">
        <v>0.62</v>
      </c>
      <c r="F65" s="23" t="inlineStr">
        <is>
          <t>MEDIUM</t>
        </is>
      </c>
      <c r="G65" s="25" t="n">
        <v>191.06</v>
      </c>
      <c r="H65" s="16" t="n">
        <v>178.57</v>
      </c>
      <c r="I65" s="16" t="n">
        <v>174.99</v>
      </c>
      <c r="J65" s="16" t="n">
        <v>178.4</v>
      </c>
      <c r="K65" s="26">
        <f>IF(H65="","",(H65-G65)/G65)</f>
        <v/>
      </c>
      <c r="L65" s="26">
        <f>IF(I65="","",(I65-G65)/G65)</f>
        <v/>
      </c>
      <c r="M65" s="26">
        <f>IF(J65="","",(J65-G65)/G65)</f>
        <v/>
      </c>
      <c r="N65" s="27">
        <f>IF(H65="","",IF(D65="HOLD",IF(ABS(K65)&lt;0.03,"YES","NO"),IF(D65="BUY",IF(K65&gt;0,"YES","NO"),IF(D65="SELL",IF(K65&lt;0,"YES","NO"),""))))</f>
        <v/>
      </c>
      <c r="O65" s="23" t="n"/>
    </row>
    <row r="66" ht="15" customHeight="1">
      <c r="A66" s="22" t="n">
        <v>46162</v>
      </c>
      <c r="B66" s="23" t="inlineStr">
        <is>
          <t>PWR</t>
        </is>
      </c>
      <c r="C66" s="23" t="inlineStr">
        <is>
          <t>Roth IRA</t>
        </is>
      </c>
      <c r="D66" s="23" t="inlineStr">
        <is>
          <t>HOLD</t>
        </is>
      </c>
      <c r="E66" s="24" t="n">
        <v>0.52</v>
      </c>
      <c r="F66" s="23" t="inlineStr">
        <is>
          <t>MEDIUM</t>
        </is>
      </c>
      <c r="G66" s="25" t="n">
        <v>695.86</v>
      </c>
      <c r="H66" s="16" t="n">
        <v>730.1</v>
      </c>
      <c r="I66" s="16" t="n">
        <v>719.17</v>
      </c>
      <c r="J66" s="16" t="n">
        <v>702.25</v>
      </c>
      <c r="K66" s="26">
        <f>IF(H66="","",(H66-G66)/G66)</f>
        <v/>
      </c>
      <c r="L66" s="26">
        <f>IF(I66="","",(I66-G66)/G66)</f>
        <v/>
      </c>
      <c r="M66" s="26">
        <f>IF(J66="","",(J66-G66)/G66)</f>
        <v/>
      </c>
      <c r="N66" s="27">
        <f>IF(H66="","",IF(D66="HOLD",IF(ABS(K66)&lt;0.03,"YES","NO"),IF(D66="BUY",IF(K66&gt;0,"YES","NO"),IF(D66="SELL",IF(K66&lt;0,"YES","NO"),""))))</f>
        <v/>
      </c>
      <c r="O66" s="23" t="n"/>
    </row>
    <row r="67" ht="15" customHeight="1">
      <c r="A67" s="22" t="n">
        <v>46162</v>
      </c>
      <c r="B67" s="23" t="inlineStr">
        <is>
          <t>RTX</t>
        </is>
      </c>
      <c r="C67" s="23" t="inlineStr">
        <is>
          <t>Individual</t>
        </is>
      </c>
      <c r="D67" s="23" t="inlineStr">
        <is>
          <t>HOLD</t>
        </is>
      </c>
      <c r="E67" s="24" t="n">
        <v>0.48</v>
      </c>
      <c r="F67" s="23" t="inlineStr">
        <is>
          <t>MEDIUM</t>
        </is>
      </c>
      <c r="G67" s="25" t="n">
        <v>175.8</v>
      </c>
      <c r="H67" s="16" t="n">
        <v>178.96</v>
      </c>
      <c r="I67" s="16" t="n">
        <v>179.41</v>
      </c>
      <c r="J67" s="16" t="n">
        <v>185.6</v>
      </c>
      <c r="K67" s="26">
        <f>IF(H67="","",(H67-G67)/G67)</f>
        <v/>
      </c>
      <c r="L67" s="26">
        <f>IF(I67="","",(I67-G67)/G67)</f>
        <v/>
      </c>
      <c r="M67" s="26">
        <f>IF(J67="","",(J67-G67)/G67)</f>
        <v/>
      </c>
      <c r="N67" s="27">
        <f>IF(H67="","",IF(D67="HOLD",IF(ABS(K67)&lt;0.03,"YES","NO"),IF(D67="BUY",IF(K67&gt;0,"YES","NO"),IF(D67="SELL",IF(K67&lt;0,"YES","NO"),""))))</f>
        <v/>
      </c>
      <c r="O67" s="23" t="n"/>
    </row>
    <row r="68" ht="15" customHeight="1">
      <c r="A68" s="22" t="n">
        <v>46162</v>
      </c>
      <c r="B68" s="23" t="inlineStr">
        <is>
          <t>SCHD</t>
        </is>
      </c>
      <c r="C68" s="23" t="inlineStr">
        <is>
          <t>Roth IRA</t>
        </is>
      </c>
      <c r="D68" s="23" t="inlineStr">
        <is>
          <t>HOLD</t>
        </is>
      </c>
      <c r="E68" s="24" t="n">
        <v>0.62</v>
      </c>
      <c r="F68" s="23" t="inlineStr">
        <is>
          <t>HIGH</t>
        </is>
      </c>
      <c r="G68" s="25" t="n">
        <v>32.08</v>
      </c>
      <c r="H68" s="16" t="n">
        <v>32.63</v>
      </c>
      <c r="I68" s="16" t="n">
        <v>32.59</v>
      </c>
      <c r="J68" s="16" t="n">
        <v>31.86</v>
      </c>
      <c r="K68" s="26">
        <f>IF(H68="","",(H68-G68)/G68)</f>
        <v/>
      </c>
      <c r="L68" s="26">
        <f>IF(I68="","",(I68-G68)/G68)</f>
        <v/>
      </c>
      <c r="M68" s="26">
        <f>IF(J68="","",(J68-G68)/G68)</f>
        <v/>
      </c>
      <c r="N68" s="27">
        <f>IF(H68="","",IF(D68="HOLD",IF(ABS(K68)&lt;0.03,"YES","NO"),IF(D68="BUY",IF(K68&gt;0,"YES","NO"),IF(D68="SELL",IF(K68&lt;0,"YES","NO"),""))))</f>
        <v/>
      </c>
      <c r="O68" s="23" t="n"/>
    </row>
    <row r="69" ht="15" customHeight="1">
      <c r="A69" s="22" t="n">
        <v>46162</v>
      </c>
      <c r="B69" s="23" t="inlineStr">
        <is>
          <t>SND</t>
        </is>
      </c>
      <c r="C69" s="23" t="inlineStr">
        <is>
          <t>Individual</t>
        </is>
      </c>
      <c r="D69" s="23" t="inlineStr">
        <is>
          <t>HOLD</t>
        </is>
      </c>
      <c r="E69" s="24" t="n">
        <v>0.48</v>
      </c>
      <c r="F69" s="23" t="inlineStr">
        <is>
          <t>MEDIUM</t>
        </is>
      </c>
      <c r="G69" s="25" t="n">
        <v>4.84</v>
      </c>
      <c r="H69" s="16" t="n">
        <v>4.64</v>
      </c>
      <c r="I69" s="16" t="n">
        <v>5.71</v>
      </c>
      <c r="J69" s="16" t="n">
        <v>4.79</v>
      </c>
      <c r="K69" s="26">
        <f>IF(H69="","",(H69-G69)/G69)</f>
        <v/>
      </c>
      <c r="L69" s="26">
        <f>IF(I69="","",(I69-G69)/G69)</f>
        <v/>
      </c>
      <c r="M69" s="26">
        <f>IF(J69="","",(J69-G69)/G69)</f>
        <v/>
      </c>
      <c r="N69" s="27">
        <f>IF(H69="","",IF(D69="HOLD",IF(ABS(K69)&lt;0.03,"YES","NO"),IF(D69="BUY",IF(K69&gt;0,"YES","NO"),IF(D69="SELL",IF(K69&lt;0,"YES","NO"),""))))</f>
        <v/>
      </c>
      <c r="O69" s="23" t="n"/>
    </row>
    <row r="70" ht="15" customHeight="1">
      <c r="A70" s="22" t="n">
        <v>46162</v>
      </c>
      <c r="B70" s="23" t="inlineStr">
        <is>
          <t>WMT</t>
        </is>
      </c>
      <c r="C70" s="23" t="inlineStr">
        <is>
          <t>Roth IRA,Individual</t>
        </is>
      </c>
      <c r="D70" s="23" t="inlineStr">
        <is>
          <t>HOLD</t>
        </is>
      </c>
      <c r="E70" s="24" t="n">
        <v>0.62</v>
      </c>
      <c r="F70" s="23" t="inlineStr">
        <is>
          <t>MEDIUM</t>
        </is>
      </c>
      <c r="G70" s="25" t="n">
        <v>134.16</v>
      </c>
      <c r="H70" s="16" t="n">
        <v>118.9</v>
      </c>
      <c r="I70" s="16" t="n">
        <v>117.74</v>
      </c>
      <c r="J70" s="16" t="n">
        <v>117.18</v>
      </c>
      <c r="K70" s="26">
        <f>IF(H70="","",(H70-G70)/G70)</f>
        <v/>
      </c>
      <c r="L70" s="26">
        <f>IF(I70="","",(I70-G70)/G70)</f>
        <v/>
      </c>
      <c r="M70" s="26">
        <f>IF(J70="","",(J70-G70)/G70)</f>
        <v/>
      </c>
      <c r="N70" s="27">
        <f>IF(H70="","",IF(D70="HOLD",IF(ABS(K70)&lt;0.03,"YES","NO"),IF(D70="BUY",IF(K70&gt;0,"YES","NO"),IF(D70="SELL",IF(K70&lt;0,"YES","NO"),""))))</f>
        <v/>
      </c>
      <c r="O70" s="23" t="n"/>
    </row>
    <row r="71" ht="15" customHeight="1">
      <c r="A71" s="22" t="n">
        <v>46162</v>
      </c>
      <c r="B71" s="23" t="inlineStr">
        <is>
          <t>XLU</t>
        </is>
      </c>
      <c r="C71" s="23" t="inlineStr">
        <is>
          <t>Roth IRA</t>
        </is>
      </c>
      <c r="D71" s="23" t="inlineStr">
        <is>
          <t>HOLD</t>
        </is>
      </c>
      <c r="E71" s="24" t="n">
        <v>0.48</v>
      </c>
      <c r="F71" s="23" t="inlineStr">
        <is>
          <t>HIGH</t>
        </is>
      </c>
      <c r="G71" s="25" t="n">
        <v>44.03</v>
      </c>
      <c r="H71" s="16" t="n">
        <v>44.63</v>
      </c>
      <c r="I71" s="16" t="n">
        <v>43.94</v>
      </c>
      <c r="J71" s="16" t="n">
        <v>44.76</v>
      </c>
      <c r="K71" s="26">
        <f>IF(H71="","",(H71-G71)/G71)</f>
        <v/>
      </c>
      <c r="L71" s="26">
        <f>IF(I71="","",(I71-G71)/G71)</f>
        <v/>
      </c>
      <c r="M71" s="26">
        <f>IF(J71="","",(J71-G71)/G71)</f>
        <v/>
      </c>
      <c r="N71" s="27">
        <f>IF(H71="","",IF(D71="HOLD",IF(ABS(K71)&lt;0.03,"YES","NO"),IF(D71="BUY",IF(K71&gt;0,"YES","NO"),IF(D71="SELL",IF(K71&lt;0,"YES","NO"),""))))</f>
        <v/>
      </c>
      <c r="O71" s="23" t="n"/>
    </row>
    <row r="72" ht="15" customHeight="1">
      <c r="A72" s="22" t="n">
        <v>46162</v>
      </c>
      <c r="B72" s="23" t="inlineStr">
        <is>
          <t>SPY</t>
        </is>
      </c>
      <c r="C72" s="23" t="inlineStr">
        <is>
          <t>Scout</t>
        </is>
      </c>
      <c r="D72" s="23" t="inlineStr">
        <is>
          <t>HOLD</t>
        </is>
      </c>
      <c r="E72" s="24" t="n">
        <v>0.42</v>
      </c>
      <c r="F72" s="23" t="inlineStr">
        <is>
          <t>MEDIUM</t>
        </is>
      </c>
      <c r="G72" s="25" t="n">
        <v>733.01</v>
      </c>
      <c r="H72" s="16" t="n">
        <v>754.6</v>
      </c>
      <c r="I72" s="16" t="n">
        <v>757.09</v>
      </c>
      <c r="J72" s="16" t="n">
        <v>746.74</v>
      </c>
      <c r="K72" s="26">
        <f>IF(H72="","",(H72-G72)/G72)</f>
        <v/>
      </c>
      <c r="L72" s="26">
        <f>IF(I72="","",(I72-G72)/G72)</f>
        <v/>
      </c>
      <c r="M72" s="26">
        <f>IF(J72="","",(J72-G72)/G72)</f>
        <v/>
      </c>
      <c r="N72" s="27">
        <f>IF(H72="","",IF(D72="HOLD",IF(ABS(K72)&lt;0.03,"YES","NO"),IF(D72="BUY",IF(K72&gt;0,"YES","NO"),IF(D72="SELL",IF(K72&lt;0,"YES","NO"),""))))</f>
        <v/>
      </c>
      <c r="O72" s="23" t="n"/>
    </row>
    <row r="73" ht="15" customHeight="1">
      <c r="A73" s="22" t="n">
        <v>46162</v>
      </c>
      <c r="B73" s="23" t="inlineStr">
        <is>
          <t>QQQ</t>
        </is>
      </c>
      <c r="C73" s="23" t="inlineStr">
        <is>
          <t>Scout</t>
        </is>
      </c>
      <c r="D73" s="23" t="inlineStr">
        <is>
          <t>HOLD</t>
        </is>
      </c>
      <c r="E73" s="24" t="n">
        <v>0.42</v>
      </c>
      <c r="F73" s="23" t="inlineStr">
        <is>
          <t>MEDIUM</t>
        </is>
      </c>
      <c r="G73" s="25" t="n">
        <v>698.41</v>
      </c>
      <c r="H73" s="16" t="n">
        <v>735.6</v>
      </c>
      <c r="I73" s="16" t="n">
        <v>740.61</v>
      </c>
      <c r="J73" s="16" t="n">
        <v>740.62</v>
      </c>
      <c r="K73" s="26">
        <f>IF(H73="","",(H73-G73)/G73)</f>
        <v/>
      </c>
      <c r="L73" s="26">
        <f>IF(I73="","",(I73-G73)/G73)</f>
        <v/>
      </c>
      <c r="M73" s="26">
        <f>IF(J73="","",(J73-G73)/G73)</f>
        <v/>
      </c>
      <c r="N73" s="27">
        <f>IF(H73="","",IF(D73="HOLD",IF(ABS(K73)&lt;0.03,"YES","NO"),IF(D73="BUY",IF(K73&gt;0,"YES","NO"),IF(D73="SELL",IF(K73&lt;0,"YES","NO"),""))))</f>
        <v/>
      </c>
      <c r="O73" s="23" t="n"/>
    </row>
    <row r="74" ht="15" customHeight="1">
      <c r="A74" s="22" t="n">
        <v>46162</v>
      </c>
      <c r="B74" s="23" t="inlineStr">
        <is>
          <t>VTI</t>
        </is>
      </c>
      <c r="C74" s="23" t="inlineStr">
        <is>
          <t>Scout</t>
        </is>
      </c>
      <c r="D74" s="23" t="inlineStr">
        <is>
          <t>HOLD</t>
        </is>
      </c>
      <c r="E74" s="24" t="n">
        <v>0.48</v>
      </c>
      <c r="F74" s="23" t="inlineStr">
        <is>
          <t>MEDIUM</t>
        </is>
      </c>
      <c r="G74" s="25" t="n">
        <v>359.51</v>
      </c>
      <c r="H74" s="16" t="n">
        <v>371.66</v>
      </c>
      <c r="I74" s="16" t="n">
        <v>373.38</v>
      </c>
      <c r="J74" s="16" t="n">
        <v>369.99</v>
      </c>
      <c r="K74" s="26">
        <f>IF(H74="","",(H74-G74)/G74)</f>
        <v/>
      </c>
      <c r="L74" s="26">
        <f>IF(I74="","",(I74-G74)/G74)</f>
        <v/>
      </c>
      <c r="M74" s="26">
        <f>IF(J74="","",(J74-G74)/G74)</f>
        <v/>
      </c>
      <c r="N74" s="27">
        <f>IF(H74="","",IF(D74="HOLD",IF(ABS(K74)&lt;0.03,"YES","NO"),IF(D74="BUY",IF(K74&gt;0,"YES","NO"),IF(D74="SELL",IF(K74&lt;0,"YES","NO"),""))))</f>
        <v/>
      </c>
      <c r="O74" s="23" t="n"/>
    </row>
    <row r="75" ht="15" customHeight="1">
      <c r="A75" s="22" t="n">
        <v>46162</v>
      </c>
      <c r="B75" s="23" t="inlineStr">
        <is>
          <t>NVDA</t>
        </is>
      </c>
      <c r="C75" s="23" t="inlineStr">
        <is>
          <t>Scout</t>
        </is>
      </c>
      <c r="D75" s="23" t="inlineStr">
        <is>
          <t>HOLD</t>
        </is>
      </c>
      <c r="E75" s="24" t="n">
        <v>0.58</v>
      </c>
      <c r="F75" s="23" t="inlineStr">
        <is>
          <t>HIGH</t>
        </is>
      </c>
      <c r="G75" s="25" t="n">
        <v>220.58</v>
      </c>
      <c r="H75" s="16" t="n">
        <v>214.25</v>
      </c>
      <c r="I75" s="16" t="n">
        <v>218.66</v>
      </c>
      <c r="J75" s="16" t="n">
        <v>210.15</v>
      </c>
      <c r="K75" s="26">
        <f>IF(H75="","",(H75-G75)/G75)</f>
        <v/>
      </c>
      <c r="L75" s="26">
        <f>IF(I75="","",(I75-G75)/G75)</f>
        <v/>
      </c>
      <c r="M75" s="26">
        <f>IF(J75="","",(J75-G75)/G75)</f>
        <v/>
      </c>
      <c r="N75" s="27">
        <f>IF(H75="","",IF(D75="HOLD",IF(ABS(K75)&lt;0.03,"YES","NO"),IF(D75="BUY",IF(K75&gt;0,"YES","NO"),IF(D75="SELL",IF(K75&lt;0,"YES","NO"),""))))</f>
        <v/>
      </c>
      <c r="O75" s="23" t="n"/>
    </row>
    <row r="76" ht="15" customHeight="1">
      <c r="A76" s="22" t="n">
        <v>46162</v>
      </c>
      <c r="B76" s="23" t="inlineStr">
        <is>
          <t>GLD</t>
        </is>
      </c>
      <c r="C76" s="23" t="inlineStr">
        <is>
          <t>Scout</t>
        </is>
      </c>
      <c r="D76" s="23" t="inlineStr">
        <is>
          <t>HOLD</t>
        </is>
      </c>
      <c r="E76" s="24" t="n">
        <v>0.42</v>
      </c>
      <c r="F76" s="23" t="inlineStr">
        <is>
          <t>MEDIUM</t>
        </is>
      </c>
      <c r="G76" s="25" t="n">
        <v>412.56</v>
      </c>
      <c r="H76" s="16" t="n">
        <v>412.77</v>
      </c>
      <c r="I76" s="16" t="n">
        <v>411.27</v>
      </c>
      <c r="J76" s="16" t="n">
        <v>387.12</v>
      </c>
      <c r="K76" s="26">
        <f>IF(H76="","",(H76-G76)/G76)</f>
        <v/>
      </c>
      <c r="L76" s="26">
        <f>IF(I76="","",(I76-G76)/G76)</f>
        <v/>
      </c>
      <c r="M76" s="26">
        <f>IF(J76="","",(J76-G76)/G76)</f>
        <v/>
      </c>
      <c r="N76" s="27">
        <f>IF(H76="","",IF(D76="HOLD",IF(ABS(K76)&lt;0.03,"YES","NO"),IF(D76="BUY",IF(K76&gt;0,"YES","NO"),IF(D76="SELL",IF(K76&lt;0,"YES","NO"),""))))</f>
        <v/>
      </c>
      <c r="O76" s="23" t="n"/>
    </row>
    <row r="77" ht="15" customHeight="1">
      <c r="A77" s="22" t="n">
        <v>46163</v>
      </c>
      <c r="B77" s="13" t="inlineStr">
        <is>
          <t>AAPL</t>
        </is>
      </c>
      <c r="C77" s="13" t="inlineStr">
        <is>
          <t>Roth IRA</t>
        </is>
      </c>
      <c r="D77" s="13" t="inlineStr">
        <is>
          <t>HOLD</t>
        </is>
      </c>
      <c r="E77" s="14" t="n">
        <v>0.55</v>
      </c>
      <c r="F77" s="13" t="inlineStr">
        <is>
          <t>HIGH</t>
        </is>
      </c>
      <c r="G77" s="15" t="n">
        <v>302.15</v>
      </c>
      <c r="H77" s="16" t="n">
        <v>312.06</v>
      </c>
      <c r="I77" s="16" t="n">
        <v>307.34</v>
      </c>
      <c r="J77" s="16" t="n">
        <v>297.01</v>
      </c>
      <c r="K77" s="26">
        <f>IF(H77="","",(H77-G77)/G77)</f>
        <v/>
      </c>
      <c r="L77" s="26">
        <f>IF(I77="","",(I77-G77)/G77)</f>
        <v/>
      </c>
      <c r="M77" s="26">
        <f>IF(J77="","",(J77-G77)/G77)</f>
        <v/>
      </c>
      <c r="N77" s="23">
        <f>IF(H77="","",IF(D77="HOLD",IF(ABS(K77)&lt;0.03,"YES","NO"),IF(D77="BUY",IF(K77&gt;0,"YES","NO"),IF(D77="SELL",IF(K77&lt;0,"YES","NO"),""))))</f>
        <v/>
      </c>
    </row>
    <row r="78" ht="15" customHeight="1">
      <c r="A78" s="12" t="n">
        <v>46163</v>
      </c>
      <c r="B78" s="13" t="inlineStr">
        <is>
          <t>AG</t>
        </is>
      </c>
      <c r="C78" s="13" t="inlineStr">
        <is>
          <t>Individual</t>
        </is>
      </c>
      <c r="D78" s="13" t="inlineStr">
        <is>
          <t>HOLD</t>
        </is>
      </c>
      <c r="E78" s="14" t="n">
        <v>0.52</v>
      </c>
      <c r="F78" s="13" t="inlineStr">
        <is>
          <t>MEDIUM</t>
        </is>
      </c>
      <c r="G78" s="15" t="n">
        <v>19.57</v>
      </c>
      <c r="H78" s="16" t="n">
        <v>21.08</v>
      </c>
      <c r="I78" s="16" t="n">
        <v>16.99</v>
      </c>
      <c r="J78" s="16" t="n">
        <v>17.72</v>
      </c>
      <c r="K78" s="26">
        <f>IF(H78="","",(H78-G78)/G78)</f>
        <v/>
      </c>
      <c r="L78" s="26">
        <f>IF(I78="","",(I78-G78)/G78)</f>
        <v/>
      </c>
      <c r="M78" s="26">
        <f>IF(J78="","",(J78-G78)/G78)</f>
        <v/>
      </c>
      <c r="N78" s="27">
        <f>IF(H78="","",IF(D78="HOLD",IF(ABS(K78)&lt;0.03,"YES","NO"),IF(D78="BUY",IF(K78&gt;0,"YES","NO"),IF(D78="SELL",IF(K78&lt;0,"YES","NO"),""))))</f>
        <v/>
      </c>
    </row>
    <row r="79" ht="15" customHeight="1">
      <c r="A79" s="12" t="n">
        <v>46163</v>
      </c>
      <c r="B79" s="13" t="inlineStr">
        <is>
          <t>AIQ</t>
        </is>
      </c>
      <c r="C79" s="13" t="inlineStr">
        <is>
          <t>Roth IRA,Individual</t>
        </is>
      </c>
      <c r="D79" s="13" t="inlineStr">
        <is>
          <t>HOLD</t>
        </is>
      </c>
      <c r="E79" s="14" t="n">
        <v>0.55</v>
      </c>
      <c r="F79" s="13" t="inlineStr">
        <is>
          <t>HIGH</t>
        </is>
      </c>
      <c r="G79" s="15" t="n">
        <v>61.75</v>
      </c>
      <c r="H79" s="16" t="n">
        <v>67.31999999999999</v>
      </c>
      <c r="I79" s="16" t="n">
        <v>62.52</v>
      </c>
      <c r="J79" s="16" t="n">
        <v>67.09</v>
      </c>
      <c r="K79" s="26">
        <f>IF(H79="","",(H79-G79)/G79)</f>
        <v/>
      </c>
      <c r="L79" s="26">
        <f>IF(I79="","",(I79-G79)/G79)</f>
        <v/>
      </c>
      <c r="M79" s="26">
        <f>IF(J79="","",(J79-G79)/G79)</f>
        <v/>
      </c>
      <c r="N79" s="27">
        <f>IF(H79="","",IF(D79="HOLD",IF(ABS(K79)&lt;0.03,"YES","NO"),IF(D79="BUY",IF(K79&gt;0,"YES","NO"),IF(D79="SELL",IF(K79&lt;0,"YES","NO"),""))))</f>
        <v/>
      </c>
    </row>
    <row r="80" ht="15" customHeight="1">
      <c r="A80" s="12" t="n">
        <v>46163</v>
      </c>
      <c r="B80" s="13" t="inlineStr">
        <is>
          <t>CBRS</t>
        </is>
      </c>
      <c r="C80" s="13" t="inlineStr">
        <is>
          <t>Individual</t>
        </is>
      </c>
      <c r="D80" s="13" t="inlineStr">
        <is>
          <t>HOLD</t>
        </is>
      </c>
      <c r="E80" s="14" t="n">
        <v>0.42</v>
      </c>
      <c r="F80" s="13" t="inlineStr">
        <is>
          <t>MEDIUM</t>
        </is>
      </c>
      <c r="G80" s="15" t="n">
        <v>286.925</v>
      </c>
      <c r="H80" s="16" t="n">
        <v>236.99</v>
      </c>
      <c r="I80" s="16" t="n">
        <v>201.01</v>
      </c>
      <c r="J80" s="16" t="n">
        <v>224.43</v>
      </c>
      <c r="K80" s="26">
        <f>IF(H80="","",(H80-G80)/G80)</f>
        <v/>
      </c>
      <c r="L80" s="26">
        <f>IF(I80="","",(I80-G80)/G80)</f>
        <v/>
      </c>
      <c r="M80" s="26">
        <f>IF(J80="","",(J80-G80)/G80)</f>
        <v/>
      </c>
      <c r="N80" s="27">
        <f>IF(H80="","",IF(D80="HOLD",IF(ABS(K80)&lt;0.03,"YES","NO"),IF(D80="BUY",IF(K80&gt;0,"YES","NO"),IF(D80="SELL",IF(K80&lt;0,"YES","NO"),""))))</f>
        <v/>
      </c>
    </row>
    <row r="81" ht="15" customHeight="1">
      <c r="A81" s="12" t="n">
        <v>46163</v>
      </c>
      <c r="B81" s="13" t="inlineStr">
        <is>
          <t>CORN</t>
        </is>
      </c>
      <c r="C81" s="13" t="inlineStr">
        <is>
          <t>Individual</t>
        </is>
      </c>
      <c r="D81" s="13" t="inlineStr">
        <is>
          <t>HOLD</t>
        </is>
      </c>
      <c r="E81" s="14" t="n">
        <v>0.42</v>
      </c>
      <c r="F81" s="13" t="inlineStr">
        <is>
          <t>LOW</t>
        </is>
      </c>
      <c r="G81" s="15" t="n">
        <v>18.44</v>
      </c>
      <c r="H81" s="16" t="n">
        <v>17.93</v>
      </c>
      <c r="I81" s="16" t="n">
        <v>17.06</v>
      </c>
      <c r="J81" s="16" t="n">
        <v>16.77</v>
      </c>
      <c r="K81" s="26">
        <f>IF(H81="","",(H81-G81)/G81)</f>
        <v/>
      </c>
      <c r="L81" s="26">
        <f>IF(I81="","",(I81-G81)/G81)</f>
        <v/>
      </c>
      <c r="M81" s="26">
        <f>IF(J81="","",(J81-G81)/G81)</f>
        <v/>
      </c>
      <c r="N81" s="27">
        <f>IF(H81="","",IF(D81="HOLD",IF(ABS(K81)&lt;0.03,"YES","NO"),IF(D81="BUY",IF(K81&gt;0,"YES","NO"),IF(D81="SELL",IF(K81&lt;0,"YES","NO"),""))))</f>
        <v/>
      </c>
    </row>
    <row r="82" ht="15" customHeight="1">
      <c r="A82" s="12" t="n">
        <v>46163</v>
      </c>
      <c r="B82" s="13" t="inlineStr">
        <is>
          <t>DOW</t>
        </is>
      </c>
      <c r="C82" s="13" t="inlineStr">
        <is>
          <t>Roth IRA,Individual</t>
        </is>
      </c>
      <c r="D82" s="13" t="inlineStr">
        <is>
          <t>HOLD</t>
        </is>
      </c>
      <c r="E82" s="14" t="n">
        <v>0.45</v>
      </c>
      <c r="F82" s="13" t="inlineStr">
        <is>
          <t>MEDIUM</t>
        </is>
      </c>
      <c r="G82" s="15" t="n">
        <v>36.22</v>
      </c>
      <c r="H82" s="16" t="n">
        <v>33.75</v>
      </c>
      <c r="I82" s="16" t="n">
        <v>33.97</v>
      </c>
      <c r="J82" s="16" t="n">
        <v>30.79</v>
      </c>
      <c r="K82" s="26">
        <f>IF(H82="","",(H82-G82)/G82)</f>
        <v/>
      </c>
      <c r="L82" s="26">
        <f>IF(I82="","",(I82-G82)/G82)</f>
        <v/>
      </c>
      <c r="M82" s="26">
        <f>IF(J82="","",(J82-G82)/G82)</f>
        <v/>
      </c>
      <c r="N82" s="27">
        <f>IF(H82="","",IF(D82="HOLD",IF(ABS(K82)&lt;0.03,"YES","NO"),IF(D82="BUY",IF(K82&gt;0,"YES","NO"),IF(D82="SELL",IF(K82&lt;0,"YES","NO"),""))))</f>
        <v/>
      </c>
    </row>
    <row r="83" ht="15" customHeight="1">
      <c r="A83" s="12" t="n">
        <v>46163</v>
      </c>
      <c r="B83" s="13" t="inlineStr">
        <is>
          <t>FTI</t>
        </is>
      </c>
      <c r="C83" s="13" t="inlineStr">
        <is>
          <t>Individual</t>
        </is>
      </c>
      <c r="D83" s="13" t="inlineStr">
        <is>
          <t>HOLD</t>
        </is>
      </c>
      <c r="E83" s="14" t="n">
        <v>0.55</v>
      </c>
      <c r="F83" s="13" t="inlineStr">
        <is>
          <t>MEDIUM</t>
        </is>
      </c>
      <c r="G83" s="15" t="n">
        <v>72.68000000000001</v>
      </c>
      <c r="H83" s="16" t="n">
        <v>68.42</v>
      </c>
      <c r="I83" s="16" t="n">
        <v>66.81999999999999</v>
      </c>
      <c r="J83" s="16" t="n">
        <v>67.39</v>
      </c>
      <c r="K83" s="26">
        <f>IF(H83="","",(H83-G83)/G83)</f>
        <v/>
      </c>
      <c r="L83" s="26">
        <f>IF(I83="","",(I83-G83)/G83)</f>
        <v/>
      </c>
      <c r="M83" s="26">
        <f>IF(J83="","",(J83-G83)/G83)</f>
        <v/>
      </c>
      <c r="N83" s="27">
        <f>IF(H83="","",IF(D83="HOLD",IF(ABS(K83)&lt;0.03,"YES","NO"),IF(D83="BUY",IF(K83&gt;0,"YES","NO"),IF(D83="SELL",IF(K83&lt;0,"YES","NO"),""))))</f>
        <v/>
      </c>
    </row>
    <row r="84" ht="15" customHeight="1">
      <c r="A84" s="12" t="n">
        <v>46163</v>
      </c>
      <c r="B84" s="13" t="inlineStr">
        <is>
          <t>GM</t>
        </is>
      </c>
      <c r="C84" s="13" t="inlineStr">
        <is>
          <t>Roth IRA,Individual</t>
        </is>
      </c>
      <c r="D84" s="13" t="inlineStr">
        <is>
          <t>HOLD</t>
        </is>
      </c>
      <c r="E84" s="14" t="n">
        <v>0.52</v>
      </c>
      <c r="F84" s="13" t="inlineStr">
        <is>
          <t>MEDIUM</t>
        </is>
      </c>
      <c r="G84" s="15" t="n">
        <v>76.2</v>
      </c>
      <c r="H84" s="16" t="n">
        <v>83.23999999999999</v>
      </c>
      <c r="I84" s="16" t="n">
        <v>82.11</v>
      </c>
      <c r="J84" s="16" t="n">
        <v>80.43000000000001</v>
      </c>
      <c r="K84" s="26">
        <f>IF(H84="","",(H84-G84)/G84)</f>
        <v/>
      </c>
      <c r="L84" s="26">
        <f>IF(I84="","",(I84-G84)/G84)</f>
        <v/>
      </c>
      <c r="M84" s="26">
        <f>IF(J84="","",(J84-G84)/G84)</f>
        <v/>
      </c>
      <c r="N84" s="27">
        <f>IF(H84="","",IF(D84="HOLD",IF(ABS(K84)&lt;0.03,"YES","NO"),IF(D84="BUY",IF(K84&gt;0,"YES","NO"),IF(D84="SELL",IF(K84&lt;0,"YES","NO"),""))))</f>
        <v/>
      </c>
    </row>
    <row r="85" ht="15" customHeight="1">
      <c r="A85" s="12" t="n">
        <v>46163</v>
      </c>
      <c r="B85" s="13" t="inlineStr">
        <is>
          <t>JPM</t>
        </is>
      </c>
      <c r="C85" s="13" t="inlineStr">
        <is>
          <t>Roth IRA</t>
        </is>
      </c>
      <c r="D85" s="13" t="inlineStr">
        <is>
          <t>HOLD</t>
        </is>
      </c>
      <c r="E85" s="14" t="n">
        <v>0.55</v>
      </c>
      <c r="F85" s="13" t="inlineStr">
        <is>
          <t>HIGH</t>
        </is>
      </c>
      <c r="G85" s="15" t="n">
        <v>302.7725</v>
      </c>
      <c r="H85" s="16" t="n">
        <v>299.31</v>
      </c>
      <c r="I85" s="16" t="n">
        <v>312.37</v>
      </c>
      <c r="J85" s="16" t="n">
        <v>331.48</v>
      </c>
      <c r="K85" s="26">
        <f>IF(H85="","",(H85-G85)/G85)</f>
        <v/>
      </c>
      <c r="L85" s="26">
        <f>IF(I85="","",(I85-G85)/G85)</f>
        <v/>
      </c>
      <c r="M85" s="26">
        <f>IF(J85="","",(J85-G85)/G85)</f>
        <v/>
      </c>
      <c r="N85" s="27">
        <f>IF(H85="","",IF(D85="HOLD",IF(ABS(K85)&lt;0.03,"YES","NO"),IF(D85="BUY",IF(K85&gt;0,"YES","NO"),IF(D85="SELL",IF(K85&lt;0,"YES","NO"),""))))</f>
        <v/>
      </c>
    </row>
    <row r="86" ht="15" customHeight="1">
      <c r="A86" s="12" t="n">
        <v>46163</v>
      </c>
      <c r="B86" s="13" t="inlineStr">
        <is>
          <t>MSFT</t>
        </is>
      </c>
      <c r="C86" s="13" t="inlineStr">
        <is>
          <t>Roth IRA,Individual</t>
        </is>
      </c>
      <c r="D86" s="13" t="inlineStr">
        <is>
          <t>HOLD</t>
        </is>
      </c>
      <c r="E86" s="14" t="n">
        <v>0.55</v>
      </c>
      <c r="F86" s="13" t="inlineStr">
        <is>
          <t>HIGH</t>
        </is>
      </c>
      <c r="G86" s="15" t="n">
        <v>416.745</v>
      </c>
      <c r="H86" s="16" t="n">
        <v>450.24</v>
      </c>
      <c r="I86" s="16" t="n">
        <v>416.67</v>
      </c>
      <c r="J86" s="16" t="n">
        <v>367.34</v>
      </c>
      <c r="K86" s="26">
        <f>IF(H86="","",(H86-G86)/G86)</f>
        <v/>
      </c>
      <c r="L86" s="26">
        <f>IF(I86="","",(I86-G86)/G86)</f>
        <v/>
      </c>
      <c r="M86" s="26">
        <f>IF(J86="","",(J86-G86)/G86)</f>
        <v/>
      </c>
      <c r="N86" s="27">
        <f>IF(H86="","",IF(D86="HOLD",IF(ABS(K86)&lt;0.03,"YES","NO"),IF(D86="BUY",IF(K86&gt;0,"YES","NO"),IF(D86="SELL",IF(K86&lt;0,"YES","NO"),""))))</f>
        <v/>
      </c>
    </row>
    <row r="87" ht="15" customHeight="1">
      <c r="A87" s="12" t="n">
        <v>46163</v>
      </c>
      <c r="B87" s="13" t="inlineStr">
        <is>
          <t>NKE</t>
        </is>
      </c>
      <c r="C87" s="13" t="inlineStr">
        <is>
          <t>Roth IRA</t>
        </is>
      </c>
      <c r="D87" s="13" t="inlineStr">
        <is>
          <t>HOLD</t>
        </is>
      </c>
      <c r="E87" s="14" t="n">
        <v>0.45</v>
      </c>
      <c r="F87" s="13" t="inlineStr">
        <is>
          <t>MEDIUM</t>
        </is>
      </c>
      <c r="G87" s="15" t="n">
        <v>43.855</v>
      </c>
      <c r="H87" s="16" t="n">
        <v>46.23</v>
      </c>
      <c r="I87" s="16" t="n">
        <v>42.98</v>
      </c>
      <c r="J87" s="16" t="n">
        <v>43.19</v>
      </c>
      <c r="K87" s="26">
        <f>IF(H87="","",(H87-G87)/G87)</f>
        <v/>
      </c>
      <c r="L87" s="26">
        <f>IF(I87="","",(I87-G87)/G87)</f>
        <v/>
      </c>
      <c r="M87" s="26">
        <f>IF(J87="","",(J87-G87)/G87)</f>
        <v/>
      </c>
      <c r="N87" s="27">
        <f>IF(H87="","",IF(D87="HOLD",IF(ABS(K87)&lt;0.03,"YES","NO"),IF(D87="BUY",IF(K87&gt;0,"YES","NO"),IF(D87="SELL",IF(K87&lt;0,"YES","NO"),""))))</f>
        <v/>
      </c>
    </row>
    <row r="88" ht="15" customHeight="1">
      <c r="A88" s="12" t="n">
        <v>46163</v>
      </c>
      <c r="B88" s="13" t="inlineStr">
        <is>
          <t>NTR</t>
        </is>
      </c>
      <c r="C88" s="13" t="inlineStr">
        <is>
          <t>Roth IRA,Individual</t>
        </is>
      </c>
      <c r="D88" s="13" t="inlineStr">
        <is>
          <t>HOLD</t>
        </is>
      </c>
      <c r="E88" s="14" t="n">
        <v>0.52</v>
      </c>
      <c r="F88" s="13" t="inlineStr">
        <is>
          <t>MEDIUM</t>
        </is>
      </c>
      <c r="G88" s="15" t="n">
        <v>70.315</v>
      </c>
      <c r="H88" s="16" t="n">
        <v>68.55</v>
      </c>
      <c r="I88" s="16" t="n">
        <v>67.2</v>
      </c>
      <c r="J88" s="16" t="n">
        <v>62.25</v>
      </c>
      <c r="K88" s="26">
        <f>IF(H88="","",(H88-G88)/G88)</f>
        <v/>
      </c>
      <c r="L88" s="26">
        <f>IF(I88="","",(I88-G88)/G88)</f>
        <v/>
      </c>
      <c r="M88" s="26">
        <f>IF(J88="","",(J88-G88)/G88)</f>
        <v/>
      </c>
      <c r="N88" s="27">
        <f>IF(H88="","",IF(D88="HOLD",IF(ABS(K88)&lt;0.03,"YES","NO"),IF(D88="BUY",IF(K88&gt;0,"YES","NO"),IF(D88="SELL",IF(K88&lt;0,"YES","NO"),""))))</f>
        <v/>
      </c>
    </row>
    <row r="89" ht="15" customHeight="1">
      <c r="A89" s="12" t="n">
        <v>46163</v>
      </c>
      <c r="B89" s="13" t="inlineStr">
        <is>
          <t>PM</t>
        </is>
      </c>
      <c r="C89" s="13" t="inlineStr">
        <is>
          <t>Roth IRA</t>
        </is>
      </c>
      <c r="D89" s="13" t="inlineStr">
        <is>
          <t>HOLD</t>
        </is>
      </c>
      <c r="E89" s="14" t="n">
        <v>0.62</v>
      </c>
      <c r="F89" s="13" t="inlineStr">
        <is>
          <t>HIGH</t>
        </is>
      </c>
      <c r="G89" s="15" t="n">
        <v>189.6899</v>
      </c>
      <c r="H89" s="16" t="n">
        <v>177.38</v>
      </c>
      <c r="I89" s="16" t="n">
        <v>178.29</v>
      </c>
      <c r="J89" s="16" t="n">
        <v>173.17</v>
      </c>
      <c r="K89" s="26">
        <f>IF(H89="","",(H89-G89)/G89)</f>
        <v/>
      </c>
      <c r="L89" s="26">
        <f>IF(I89="","",(I89-G89)/G89)</f>
        <v/>
      </c>
      <c r="M89" s="26">
        <f>IF(J89="","",(J89-G89)/G89)</f>
        <v/>
      </c>
      <c r="N89" s="27">
        <f>IF(H89="","",IF(D89="HOLD",IF(ABS(K89)&lt;0.03,"YES","NO"),IF(D89="BUY",IF(K89&gt;0,"YES","NO"),IF(D89="SELL",IF(K89&lt;0,"YES","NO"),""))))</f>
        <v/>
      </c>
    </row>
    <row r="90" ht="15" customHeight="1">
      <c r="A90" s="12" t="n">
        <v>46163</v>
      </c>
      <c r="B90" s="13" t="inlineStr">
        <is>
          <t>PWR</t>
        </is>
      </c>
      <c r="C90" s="13" t="inlineStr">
        <is>
          <t>Roth IRA</t>
        </is>
      </c>
      <c r="D90" s="13" t="inlineStr">
        <is>
          <t>HOLD</t>
        </is>
      </c>
      <c r="E90" s="14" t="n">
        <v>0.62</v>
      </c>
      <c r="F90" s="13" t="inlineStr">
        <is>
          <t>HIGH</t>
        </is>
      </c>
      <c r="G90" s="15" t="n">
        <v>708.9425</v>
      </c>
      <c r="H90" s="16" t="n">
        <v>711.73</v>
      </c>
      <c r="I90" s="16" t="n">
        <v>695.11</v>
      </c>
      <c r="J90" s="16" t="n">
        <v>740.14</v>
      </c>
      <c r="K90" s="26">
        <f>IF(H90="","",(H90-G90)/G90)</f>
        <v/>
      </c>
      <c r="L90" s="26">
        <f>IF(I90="","",(I90-G90)/G90)</f>
        <v/>
      </c>
      <c r="M90" s="26">
        <f>IF(J90="","",(J90-G90)/G90)</f>
        <v/>
      </c>
      <c r="N90" s="27">
        <f>IF(H90="","",IF(D90="HOLD",IF(ABS(K90)&lt;0.03,"YES","NO"),IF(D90="BUY",IF(K90&gt;0,"YES","NO"),IF(D90="SELL",IF(K90&lt;0,"YES","NO"),""))))</f>
        <v/>
      </c>
    </row>
    <row r="91" ht="15" customHeight="1">
      <c r="A91" s="12" t="n">
        <v>46163</v>
      </c>
      <c r="B91" s="13" t="inlineStr">
        <is>
          <t>RTX</t>
        </is>
      </c>
      <c r="C91" s="13" t="inlineStr">
        <is>
          <t>Individual</t>
        </is>
      </c>
      <c r="D91" s="13" t="inlineStr">
        <is>
          <t>HOLD</t>
        </is>
      </c>
      <c r="E91" s="14" t="n">
        <v>0.45</v>
      </c>
      <c r="F91" s="13" t="inlineStr">
        <is>
          <t>MEDIUM</t>
        </is>
      </c>
      <c r="G91" s="15" t="n">
        <v>175.2</v>
      </c>
      <c r="H91" s="16" t="n">
        <v>179.66</v>
      </c>
      <c r="I91" s="16" t="n">
        <v>180.99</v>
      </c>
      <c r="J91" s="16" t="n">
        <v>181.83</v>
      </c>
      <c r="K91" s="26">
        <f>IF(H91="","",(H91-G91)/G91)</f>
        <v/>
      </c>
      <c r="L91" s="26">
        <f>IF(I91="","",(I91-G91)/G91)</f>
        <v/>
      </c>
      <c r="M91" s="26">
        <f>IF(J91="","",(J91-G91)/G91)</f>
        <v/>
      </c>
      <c r="N91" s="27">
        <f>IF(H91="","",IF(D91="HOLD",IF(ABS(K91)&lt;0.03,"YES","NO"),IF(D91="BUY",IF(K91&gt;0,"YES","NO"),IF(D91="SELL",IF(K91&lt;0,"YES","NO"),""))))</f>
        <v/>
      </c>
    </row>
    <row r="92" ht="15" customHeight="1">
      <c r="A92" s="12" t="n">
        <v>46163</v>
      </c>
      <c r="B92" s="13" t="inlineStr">
        <is>
          <t>SCHD</t>
        </is>
      </c>
      <c r="C92" s="13" t="inlineStr">
        <is>
          <t>Roth IRA</t>
        </is>
      </c>
      <c r="D92" s="13" t="inlineStr">
        <is>
          <t>BUY</t>
        </is>
      </c>
      <c r="E92" s="14" t="n">
        <v>0.68</v>
      </c>
      <c r="F92" s="13" t="inlineStr">
        <is>
          <t>HIGH</t>
        </is>
      </c>
      <c r="G92" s="15" t="n">
        <v>32.109</v>
      </c>
      <c r="H92" s="16" t="n">
        <v>32.5</v>
      </c>
      <c r="I92" s="16" t="n">
        <v>32.3</v>
      </c>
      <c r="J92" s="16" t="n">
        <v>31.89</v>
      </c>
      <c r="K92" s="26">
        <f>IF(H92="","",(H92-G92)/G92)</f>
        <v/>
      </c>
      <c r="L92" s="26">
        <f>IF(I92="","",(I92-G92)/G92)</f>
        <v/>
      </c>
      <c r="M92" s="26">
        <f>IF(J92="","",(J92-G92)/G92)</f>
        <v/>
      </c>
      <c r="N92" s="27">
        <f>IF(H92="","",IF(D92="HOLD",IF(ABS(K92)&lt;0.03,"YES","NO"),IF(D92="BUY",IF(K92&gt;0,"YES","NO"),IF(D92="SELL",IF(K92&lt;0,"YES","NO"),""))))</f>
        <v/>
      </c>
    </row>
    <row r="93" ht="15" customHeight="1">
      <c r="A93" s="12" t="n">
        <v>46163</v>
      </c>
      <c r="B93" s="13" t="inlineStr">
        <is>
          <t>SND</t>
        </is>
      </c>
      <c r="C93" s="13" t="inlineStr">
        <is>
          <t>Individual</t>
        </is>
      </c>
      <c r="D93" s="13" t="inlineStr">
        <is>
          <t>HOLD</t>
        </is>
      </c>
      <c r="E93" s="14" t="n">
        <v>0.42</v>
      </c>
      <c r="F93" s="13" t="inlineStr">
        <is>
          <t>MEDIUM</t>
        </is>
      </c>
      <c r="G93" s="15" t="n">
        <v>4.865</v>
      </c>
      <c r="H93" s="16" t="n">
        <v>4.29</v>
      </c>
      <c r="I93" s="16" t="n">
        <v>5.45</v>
      </c>
      <c r="J93" s="16" t="n">
        <v>4.65</v>
      </c>
      <c r="K93" s="26">
        <f>IF(H93="","",(H93-G93)/G93)</f>
        <v/>
      </c>
      <c r="L93" s="26">
        <f>IF(I93="","",(I93-G93)/G93)</f>
        <v/>
      </c>
      <c r="M93" s="26">
        <f>IF(J93="","",(J93-G93)/G93)</f>
        <v/>
      </c>
      <c r="N93" s="27">
        <f>IF(H93="","",IF(D93="HOLD",IF(ABS(K93)&lt;0.03,"YES","NO"),IF(D93="BUY",IF(K93&gt;0,"YES","NO"),IF(D93="SELL",IF(K93&lt;0,"YES","NO"),""))))</f>
        <v/>
      </c>
    </row>
    <row r="94" ht="15" customHeight="1">
      <c r="A94" s="12" t="n">
        <v>46163</v>
      </c>
      <c r="B94" s="13" t="inlineStr">
        <is>
          <t>WMT</t>
        </is>
      </c>
      <c r="C94" s="13" t="inlineStr">
        <is>
          <t>Roth IRA,Individual</t>
        </is>
      </c>
      <c r="D94" s="13" t="inlineStr">
        <is>
          <t>HOLD</t>
        </is>
      </c>
      <c r="E94" s="14" t="n">
        <v>0.48</v>
      </c>
      <c r="F94" s="13" t="inlineStr">
        <is>
          <t>HIGH</t>
        </is>
      </c>
      <c r="G94" s="15" t="n">
        <v>121.975</v>
      </c>
      <c r="H94" s="16" t="n">
        <v>115.75</v>
      </c>
      <c r="I94" s="16" t="n">
        <v>118.88</v>
      </c>
      <c r="J94" s="16" t="n">
        <v>117.18</v>
      </c>
      <c r="K94" s="26">
        <f>IF(H94="","",(H94-G94)/G94)</f>
        <v/>
      </c>
      <c r="L94" s="26">
        <f>IF(I94="","",(I94-G94)/G94)</f>
        <v/>
      </c>
      <c r="M94" s="26">
        <f>IF(J94="","",(J94-G94)/G94)</f>
        <v/>
      </c>
      <c r="N94" s="27">
        <f>IF(H94="","",IF(D94="HOLD",IF(ABS(K94)&lt;0.03,"YES","NO"),IF(D94="BUY",IF(K94&gt;0,"YES","NO"),IF(D94="SELL",IF(K94&lt;0,"YES","NO"),""))))</f>
        <v/>
      </c>
    </row>
    <row r="95" ht="15" customHeight="1">
      <c r="A95" s="12" t="n">
        <v>46163</v>
      </c>
      <c r="B95" s="13" t="inlineStr">
        <is>
          <t>XLU</t>
        </is>
      </c>
      <c r="C95" s="13" t="inlineStr">
        <is>
          <t>Roth IRA</t>
        </is>
      </c>
      <c r="D95" s="13" t="inlineStr">
        <is>
          <t>HOLD</t>
        </is>
      </c>
      <c r="E95" s="14" t="n">
        <v>0.52</v>
      </c>
      <c r="F95" s="13" t="inlineStr">
        <is>
          <t>MEDIUM</t>
        </is>
      </c>
      <c r="G95" s="15" t="n">
        <v>44.875</v>
      </c>
      <c r="H95" s="16" t="n">
        <v>44.42</v>
      </c>
      <c r="I95" s="16" t="n">
        <v>44.35</v>
      </c>
      <c r="J95" s="16" t="n">
        <v>44.72</v>
      </c>
      <c r="K95" s="26">
        <f>IF(H95="","",(H95-G95)/G95)</f>
        <v/>
      </c>
      <c r="L95" s="26">
        <f>IF(I95="","",(I95-G95)/G95)</f>
        <v/>
      </c>
      <c r="M95" s="26">
        <f>IF(J95="","",(J95-G95)/G95)</f>
        <v/>
      </c>
      <c r="N95" s="27">
        <f>IF(H95="","",IF(D95="HOLD",IF(ABS(K95)&lt;0.03,"YES","NO"),IF(D95="BUY",IF(K95&gt;0,"YES","NO"),IF(D95="SELL",IF(K95&lt;0,"YES","NO"),""))))</f>
        <v/>
      </c>
    </row>
    <row r="96" ht="15" customHeight="1">
      <c r="A96" s="12" t="n">
        <v>46163</v>
      </c>
      <c r="B96" s="13" t="inlineStr">
        <is>
          <t>SPY</t>
        </is>
      </c>
      <c r="C96" s="13" t="inlineStr">
        <is>
          <t>Scout</t>
        </is>
      </c>
      <c r="D96" s="13" t="inlineStr">
        <is>
          <t>HOLD</t>
        </is>
      </c>
      <c r="E96" s="14" t="n">
        <v>0.52</v>
      </c>
      <c r="F96" s="13" t="inlineStr">
        <is>
          <t>HIGH</t>
        </is>
      </c>
      <c r="G96" s="15" t="n">
        <v>738.8200000000001</v>
      </c>
      <c r="H96" s="16" t="n">
        <v>756.48</v>
      </c>
      <c r="I96" s="16" t="n">
        <v>737.55</v>
      </c>
      <c r="J96" s="16" t="n">
        <v>744.39</v>
      </c>
      <c r="K96" s="26">
        <f>IF(H96="","",(H96-G96)/G96)</f>
        <v/>
      </c>
      <c r="L96" s="26">
        <f>IF(I96="","",(I96-G96)/G96)</f>
        <v/>
      </c>
      <c r="M96" s="26">
        <f>IF(J96="","",(J96-G96)/G96)</f>
        <v/>
      </c>
      <c r="N96" s="27">
        <f>IF(H96="","",IF(D96="HOLD",IF(ABS(K96)&lt;0.03,"YES","NO"),IF(D96="BUY",IF(K96&gt;0,"YES","NO"),IF(D96="SELL",IF(K96&lt;0,"YES","NO"),""))))</f>
        <v/>
      </c>
    </row>
    <row r="97" ht="15" customHeight="1">
      <c r="A97" s="12" t="n">
        <v>46163</v>
      </c>
      <c r="B97" s="13" t="inlineStr">
        <is>
          <t>QQQ</t>
        </is>
      </c>
      <c r="C97" s="13" t="inlineStr">
        <is>
          <t>Scout</t>
        </is>
      </c>
      <c r="D97" s="13" t="inlineStr">
        <is>
          <t>HOLD</t>
        </is>
      </c>
      <c r="E97" s="14" t="n">
        <v>0.48</v>
      </c>
      <c r="F97" s="13" t="inlineStr">
        <is>
          <t>MEDIUM</t>
        </is>
      </c>
      <c r="G97" s="15" t="n">
        <v>709.0399</v>
      </c>
      <c r="H97" s="16" t="n">
        <v>738.3099999999999</v>
      </c>
      <c r="I97" s="16" t="n">
        <v>705.0599999999999</v>
      </c>
      <c r="J97" s="16" t="n">
        <v>737.95</v>
      </c>
      <c r="K97" s="26">
        <f>IF(H97="","",(H97-G97)/G97)</f>
        <v/>
      </c>
      <c r="L97" s="26">
        <f>IF(I97="","",(I97-G97)/G97)</f>
        <v/>
      </c>
      <c r="M97" s="26">
        <f>IF(J97="","",(J97-G97)/G97)</f>
        <v/>
      </c>
      <c r="N97" s="27">
        <f>IF(H97="","",IF(D97="HOLD",IF(ABS(K97)&lt;0.03,"YES","NO"),IF(D97="BUY",IF(K97&gt;0,"YES","NO"),IF(D97="SELL",IF(K97&lt;0,"YES","NO"),""))))</f>
        <v/>
      </c>
    </row>
    <row r="98" ht="15" customHeight="1">
      <c r="A98" s="12" t="n">
        <v>46163</v>
      </c>
      <c r="B98" s="13" t="inlineStr">
        <is>
          <t>VTI</t>
        </is>
      </c>
      <c r="C98" s="13" t="inlineStr">
        <is>
          <t>Scout</t>
        </is>
      </c>
      <c r="D98" s="13" t="inlineStr">
        <is>
          <t>HOLD</t>
        </is>
      </c>
      <c r="E98" s="14" t="n">
        <v>0.52</v>
      </c>
      <c r="F98" s="13" t="inlineStr">
        <is>
          <t>MEDIUM</t>
        </is>
      </c>
      <c r="G98" s="15" t="n">
        <v>363.075</v>
      </c>
      <c r="H98" s="16" t="n">
        <v>372.54</v>
      </c>
      <c r="I98" s="16" t="n">
        <v>363.38</v>
      </c>
      <c r="J98" s="16" t="n">
        <v>368.81</v>
      </c>
      <c r="K98" s="26">
        <f>IF(H98="","",(H98-G98)/G98)</f>
        <v/>
      </c>
      <c r="L98" s="26">
        <f>IF(I98="","",(I98-G98)/G98)</f>
        <v/>
      </c>
      <c r="M98" s="26">
        <f>IF(J98="","",(J98-G98)/G98)</f>
        <v/>
      </c>
      <c r="N98" s="27">
        <f>IF(H98="","",IF(D98="HOLD",IF(ABS(K98)&lt;0.03,"YES","NO"),IF(D98="BUY",IF(K98&gt;0,"YES","NO"),IF(D98="SELL",IF(K98&lt;0,"YES","NO"),""))))</f>
        <v/>
      </c>
    </row>
    <row r="99" ht="15" customHeight="1">
      <c r="A99" s="12" t="n">
        <v>46163</v>
      </c>
      <c r="B99" s="13" t="inlineStr">
        <is>
          <t>NVDA</t>
        </is>
      </c>
      <c r="C99" s="13" t="inlineStr">
        <is>
          <t>Scout</t>
        </is>
      </c>
      <c r="D99" s="13" t="inlineStr">
        <is>
          <t>HOLD</t>
        </is>
      </c>
      <c r="E99" s="14" t="n">
        <v>0.52</v>
      </c>
      <c r="F99" s="13" t="inlineStr">
        <is>
          <t>HIGH</t>
        </is>
      </c>
      <c r="G99" s="15" t="n">
        <v>219.035</v>
      </c>
      <c r="H99" s="16" t="n">
        <v>211.14</v>
      </c>
      <c r="I99" s="16" t="n">
        <v>205.1</v>
      </c>
      <c r="J99" s="16" t="n">
        <v>208.65</v>
      </c>
      <c r="K99" s="26">
        <f>IF(H99="","",(H99-G99)/G99)</f>
        <v/>
      </c>
      <c r="L99" s="26">
        <f>IF(I99="","",(I99-G99)/G99)</f>
        <v/>
      </c>
      <c r="M99" s="26">
        <f>IF(J99="","",(J99-G99)/G99)</f>
        <v/>
      </c>
      <c r="N99" s="27">
        <f>IF(H99="","",IF(D99="HOLD",IF(ABS(K99)&lt;0.03,"YES","NO"),IF(D99="BUY",IF(K99&gt;0,"YES","NO"),IF(D99="SELL",IF(K99&lt;0,"YES","NO"),""))))</f>
        <v/>
      </c>
    </row>
    <row r="100" ht="15" customHeight="1">
      <c r="A100" s="12" t="n">
        <v>46163</v>
      </c>
      <c r="B100" s="13" t="inlineStr">
        <is>
          <t>GLD</t>
        </is>
      </c>
      <c r="C100" s="13" t="inlineStr">
        <is>
          <t>Scout</t>
        </is>
      </c>
      <c r="D100" s="13" t="inlineStr">
        <is>
          <t>HOLD</t>
        </is>
      </c>
      <c r="E100" s="14" t="n">
        <v>0.48</v>
      </c>
      <c r="F100" s="13" t="inlineStr">
        <is>
          <t>MEDIUM</t>
        </is>
      </c>
      <c r="G100" s="15" t="n">
        <v>413.8407</v>
      </c>
      <c r="H100" s="16" t="n">
        <v>417.12</v>
      </c>
      <c r="I100" s="16" t="n">
        <v>396.24</v>
      </c>
      <c r="J100" s="16" t="n">
        <v>384.59</v>
      </c>
      <c r="K100" s="26">
        <f>IF(H100="","",(H100-G100)/G100)</f>
        <v/>
      </c>
      <c r="L100" s="26">
        <f>IF(I100="","",(I100-G100)/G100)</f>
        <v/>
      </c>
      <c r="M100" s="26">
        <f>IF(J100="","",(J100-G100)/G100)</f>
        <v/>
      </c>
      <c r="N100" s="27">
        <f>IF(H100="","",IF(D100="HOLD",IF(ABS(K100)&lt;0.03,"YES","NO"),IF(D100="BUY",IF(K100&gt;0,"YES","NO"),IF(D100="SELL",IF(K100&lt;0,"YES","NO"),""))))</f>
        <v/>
      </c>
    </row>
    <row r="101" ht="15" customHeight="1">
      <c r="A101" s="12" t="n">
        <v>46164</v>
      </c>
      <c r="B101" s="13" t="inlineStr">
        <is>
          <t>AAPL</t>
        </is>
      </c>
      <c r="C101" s="13" t="inlineStr">
        <is>
          <t>Roth IRA</t>
        </is>
      </c>
      <c r="D101" s="13" t="inlineStr">
        <is>
          <t>HOLD</t>
        </is>
      </c>
      <c r="E101" s="14" t="n">
        <v>0.55</v>
      </c>
      <c r="F101" s="13" t="inlineStr">
        <is>
          <t>MEDIUM</t>
        </is>
      </c>
      <c r="G101" s="15" t="n">
        <v>309.24</v>
      </c>
      <c r="H101" s="16" t="n">
        <v>306.31</v>
      </c>
      <c r="I101" s="16" t="n">
        <v>301.54</v>
      </c>
      <c r="J101" s="16" t="n">
        <v>294.3</v>
      </c>
      <c r="K101" s="26">
        <f>IF(H101="","",(H101-G101)/G101)</f>
        <v/>
      </c>
      <c r="L101" s="26">
        <f>IF(I101="","",(I101-G101)/G101)</f>
        <v/>
      </c>
      <c r="M101" s="26">
        <f>IF(J101="","",(J101-G101)/G101)</f>
        <v/>
      </c>
      <c r="N101" s="27">
        <f>IF(H101="","",IF(D101="HOLD",IF(ABS(K101)&lt;0.03,"YES","NO"),IF(D101="BUY",IF(K101&gt;0,"YES","NO"),IF(D101="SELL",IF(K101&lt;0,"YES","NO"),""))))</f>
        <v/>
      </c>
    </row>
    <row r="102" ht="15" customHeight="1">
      <c r="A102" s="12" t="n">
        <v>46164</v>
      </c>
      <c r="B102" s="13" t="inlineStr">
        <is>
          <t>AG</t>
        </is>
      </c>
      <c r="C102" s="13" t="inlineStr">
        <is>
          <t>Individual</t>
        </is>
      </c>
      <c r="D102" s="13" t="inlineStr">
        <is>
          <t>HOLD</t>
        </is>
      </c>
      <c r="E102" s="14" t="n">
        <v>0.48</v>
      </c>
      <c r="F102" s="13" t="inlineStr">
        <is>
          <t>MEDIUM</t>
        </is>
      </c>
      <c r="G102" s="15" t="n">
        <v>19.205</v>
      </c>
      <c r="H102" s="16" t="n">
        <v>20.83</v>
      </c>
      <c r="I102" s="16" t="n">
        <v>17.17</v>
      </c>
      <c r="J102" s="16" t="n">
        <v>16.5</v>
      </c>
      <c r="K102" s="26">
        <f>IF(H102="","",(H102-G102)/G102)</f>
        <v/>
      </c>
      <c r="L102" s="26">
        <f>IF(I102="","",(I102-G102)/G102)</f>
        <v/>
      </c>
      <c r="M102" s="26">
        <f>IF(J102="","",(J102-G102)/G102)</f>
        <v/>
      </c>
      <c r="N102" s="27">
        <f>IF(H102="","",IF(D102="HOLD",IF(ABS(K102)&lt;0.03,"YES","NO"),IF(D102="BUY",IF(K102&gt;0,"YES","NO"),IF(D102="SELL",IF(K102&lt;0,"YES","NO"),""))))</f>
        <v/>
      </c>
    </row>
    <row r="103" ht="15" customHeight="1">
      <c r="A103" s="12" t="n">
        <v>46164</v>
      </c>
      <c r="B103" s="13" t="inlineStr">
        <is>
          <t>AIQ</t>
        </is>
      </c>
      <c r="C103" s="13" t="inlineStr">
        <is>
          <t>Roth IRA,Individual</t>
        </is>
      </c>
      <c r="D103" s="13" t="inlineStr">
        <is>
          <t>HOLD</t>
        </is>
      </c>
      <c r="E103" s="14" t="n">
        <v>0.58</v>
      </c>
      <c r="F103" s="13" t="inlineStr">
        <is>
          <t>MEDIUM</t>
        </is>
      </c>
      <c r="G103" s="15" t="n">
        <v>62.96</v>
      </c>
      <c r="H103" s="16" t="n">
        <v>69.44</v>
      </c>
      <c r="I103" s="16" t="n">
        <v>64.44</v>
      </c>
      <c r="J103" s="16" t="n">
        <v>63.35</v>
      </c>
      <c r="K103" s="26">
        <f>IF(H103="","",(H103-G103)/G103)</f>
        <v/>
      </c>
      <c r="L103" s="26">
        <f>IF(I103="","",(I103-G103)/G103)</f>
        <v/>
      </c>
      <c r="M103" s="26">
        <f>IF(J103="","",(J103-G103)/G103)</f>
        <v/>
      </c>
      <c r="N103" s="27">
        <f>IF(H103="","",IF(D103="HOLD",IF(ABS(K103)&lt;0.03,"YES","NO"),IF(D103="BUY",IF(K103&gt;0,"YES","NO"),IF(D103="SELL",IF(K103&lt;0,"YES","NO"),""))))</f>
        <v/>
      </c>
    </row>
    <row r="104" ht="15" customHeight="1">
      <c r="A104" s="12" t="n">
        <v>46164</v>
      </c>
      <c r="B104" s="13" t="inlineStr">
        <is>
          <t>CBRS</t>
        </is>
      </c>
      <c r="C104" s="13" t="inlineStr">
        <is>
          <t>Individual</t>
        </is>
      </c>
      <c r="D104" s="13" t="inlineStr">
        <is>
          <t>HOLD</t>
        </is>
      </c>
      <c r="E104" s="14" t="n">
        <v>0.42</v>
      </c>
      <c r="F104" s="13" t="inlineStr">
        <is>
          <t>LOW</t>
        </is>
      </c>
      <c r="G104" s="15" t="n">
        <v>259.06</v>
      </c>
      <c r="H104" s="16" t="n">
        <v>213.28</v>
      </c>
      <c r="I104" s="16" t="n">
        <v>237.83</v>
      </c>
      <c r="J104" s="16" t="n">
        <v>226.72</v>
      </c>
      <c r="K104" s="26">
        <f>IF(H104="","",(H104-G104)/G104)</f>
        <v/>
      </c>
      <c r="L104" s="26">
        <f>IF(I104="","",(I104-G104)/G104)</f>
        <v/>
      </c>
      <c r="M104" s="26">
        <f>IF(J104="","",(J104-G104)/G104)</f>
        <v/>
      </c>
      <c r="N104" s="27">
        <f>IF(H104="","",IF(D104="HOLD",IF(ABS(K104)&lt;0.03,"YES","NO"),IF(D104="BUY",IF(K104&gt;0,"YES","NO"),IF(D104="SELL",IF(K104&lt;0,"YES","NO"),""))))</f>
        <v/>
      </c>
    </row>
    <row r="105" ht="15" customHeight="1">
      <c r="A105" s="12" t="n">
        <v>46164</v>
      </c>
      <c r="B105" s="13" t="inlineStr">
        <is>
          <t>CORN</t>
        </is>
      </c>
      <c r="C105" s="13" t="inlineStr">
        <is>
          <t>Individual</t>
        </is>
      </c>
      <c r="D105" s="13" t="inlineStr">
        <is>
          <t>HOLD</t>
        </is>
      </c>
      <c r="E105" s="14" t="n">
        <v>0.45</v>
      </c>
      <c r="F105" s="13" t="inlineStr">
        <is>
          <t>MEDIUM</t>
        </is>
      </c>
      <c r="G105" s="15" t="n">
        <v>18.45</v>
      </c>
      <c r="H105" s="16" t="n">
        <v>17.9</v>
      </c>
      <c r="I105" s="16" t="n">
        <v>17.02</v>
      </c>
      <c r="J105" s="16" t="n">
        <v>16.74</v>
      </c>
      <c r="K105" s="26">
        <f>IF(H105="","",(H105-G105)/G105)</f>
        <v/>
      </c>
      <c r="L105" s="26">
        <f>IF(I105="","",(I105-G105)/G105)</f>
        <v/>
      </c>
      <c r="M105" s="26">
        <f>IF(J105="","",(J105-G105)/G105)</f>
        <v/>
      </c>
      <c r="N105" s="27">
        <f>IF(H105="","",IF(D105="HOLD",IF(ABS(K105)&lt;0.03,"YES","NO"),IF(D105="BUY",IF(K105&gt;0,"YES","NO"),IF(D105="SELL",IF(K105&lt;0,"YES","NO"),""))))</f>
        <v/>
      </c>
    </row>
    <row r="106" ht="15" customHeight="1">
      <c r="A106" s="12" t="n">
        <v>46164</v>
      </c>
      <c r="B106" s="13" t="inlineStr">
        <is>
          <t>DOW</t>
        </is>
      </c>
      <c r="C106" s="13" t="inlineStr">
        <is>
          <t>Roth IRA,Individual</t>
        </is>
      </c>
      <c r="D106" s="13" t="inlineStr">
        <is>
          <t>HOLD</t>
        </is>
      </c>
      <c r="E106" s="14" t="n">
        <v>0.45</v>
      </c>
      <c r="F106" s="13" t="inlineStr">
        <is>
          <t>MEDIUM</t>
        </is>
      </c>
      <c r="G106" s="15" t="n">
        <v>35.87</v>
      </c>
      <c r="H106" s="16" t="n">
        <v>34.69</v>
      </c>
      <c r="I106" s="16" t="n">
        <v>34.2</v>
      </c>
      <c r="J106" s="16" t="n">
        <v>30.33</v>
      </c>
      <c r="K106" s="26">
        <f>IF(H106="","",(H106-G106)/G106)</f>
        <v/>
      </c>
      <c r="L106" s="26">
        <f>IF(I106="","",(I106-G106)/G106)</f>
        <v/>
      </c>
      <c r="M106" s="26">
        <f>IF(J106="","",(J106-G106)/G106)</f>
        <v/>
      </c>
      <c r="N106" s="27">
        <f>IF(H106="","",IF(D106="HOLD",IF(ABS(K106)&lt;0.03,"YES","NO"),IF(D106="BUY",IF(K106&gt;0,"YES","NO"),IF(D106="SELL",IF(K106&lt;0,"YES","NO"),""))))</f>
        <v/>
      </c>
    </row>
    <row r="107" ht="15" customHeight="1">
      <c r="A107" s="12" t="n">
        <v>46164</v>
      </c>
      <c r="B107" s="13" t="inlineStr">
        <is>
          <t>FTI</t>
        </is>
      </c>
      <c r="C107" s="13" t="inlineStr">
        <is>
          <t>Individual</t>
        </is>
      </c>
      <c r="D107" s="13" t="inlineStr">
        <is>
          <t>HOLD</t>
        </is>
      </c>
      <c r="E107" s="14" t="n">
        <v>0.58</v>
      </c>
      <c r="F107" s="13" t="inlineStr">
        <is>
          <t>MEDIUM</t>
        </is>
      </c>
      <c r="G107" s="15" t="n">
        <v>70.51000000000001</v>
      </c>
      <c r="H107" s="16" t="n">
        <v>68.43000000000001</v>
      </c>
      <c r="I107" s="16" t="n">
        <v>68.75</v>
      </c>
      <c r="J107" s="16" t="n">
        <v>66.14</v>
      </c>
      <c r="K107" s="26">
        <f>IF(H107="","",(H107-G107)/G107)</f>
        <v/>
      </c>
      <c r="L107" s="26">
        <f>IF(I107="","",(I107-G107)/G107)</f>
        <v/>
      </c>
      <c r="M107" s="26">
        <f>IF(J107="","",(J107-G107)/G107)</f>
        <v/>
      </c>
      <c r="N107" s="27">
        <f>IF(H107="","",IF(D107="HOLD",IF(ABS(K107)&lt;0.03,"YES","NO"),IF(D107="BUY",IF(K107&gt;0,"YES","NO"),IF(D107="SELL",IF(K107&lt;0,"YES","NO"),""))))</f>
        <v/>
      </c>
    </row>
    <row r="108" ht="15" customHeight="1">
      <c r="A108" s="12" t="n">
        <v>46164</v>
      </c>
      <c r="B108" s="13" t="inlineStr">
        <is>
          <t>GM</t>
        </is>
      </c>
      <c r="C108" s="13" t="inlineStr">
        <is>
          <t>Roth IRA,Individual</t>
        </is>
      </c>
      <c r="D108" s="13" t="inlineStr">
        <is>
          <t>HOLD</t>
        </is>
      </c>
      <c r="E108" s="14" t="n">
        <v>0.52</v>
      </c>
      <c r="F108" s="13" t="inlineStr">
        <is>
          <t>MEDIUM</t>
        </is>
      </c>
      <c r="G108" s="15" t="n">
        <v>79.31999999999999</v>
      </c>
      <c r="H108" s="16" t="n">
        <v>82.68000000000001</v>
      </c>
      <c r="I108" s="16" t="n">
        <v>83.77</v>
      </c>
      <c r="J108" s="16" t="n">
        <v>78.95</v>
      </c>
      <c r="K108" s="26">
        <f>IF(H108="","",(H108-G108)/G108)</f>
        <v/>
      </c>
      <c r="L108" s="26">
        <f>IF(I108="","",(I108-G108)/G108)</f>
        <v/>
      </c>
      <c r="M108" s="26">
        <f>IF(J108="","",(J108-G108)/G108)</f>
        <v/>
      </c>
      <c r="N108" s="27">
        <f>IF(H108="","",IF(D108="HOLD",IF(ABS(K108)&lt;0.03,"YES","NO"),IF(D108="BUY",IF(K108&gt;0,"YES","NO"),IF(D108="SELL",IF(K108&lt;0,"YES","NO"),""))))</f>
        <v/>
      </c>
    </row>
    <row r="109" ht="15" customHeight="1">
      <c r="A109" s="12" t="n">
        <v>46164</v>
      </c>
      <c r="B109" s="13" t="inlineStr">
        <is>
          <t>JPM</t>
        </is>
      </c>
      <c r="C109" s="13" t="inlineStr">
        <is>
          <t>Roth IRA</t>
        </is>
      </c>
      <c r="D109" s="13" t="inlineStr">
        <is>
          <t>HOLD</t>
        </is>
      </c>
      <c r="E109" s="14" t="n">
        <v>0.58</v>
      </c>
      <c r="F109" s="13" t="inlineStr">
        <is>
          <t>HIGH</t>
        </is>
      </c>
      <c r="G109" s="15" t="n">
        <v>304.88</v>
      </c>
      <c r="H109" s="16" t="n">
        <v>296.58</v>
      </c>
      <c r="I109" s="16" t="n">
        <v>311.11</v>
      </c>
      <c r="J109" s="16" t="n">
        <v>334.14</v>
      </c>
      <c r="K109" s="26">
        <f>IF(H109="","",(H109-G109)/G109)</f>
        <v/>
      </c>
      <c r="L109" s="26">
        <f>IF(I109="","",(I109-G109)/G109)</f>
        <v/>
      </c>
      <c r="M109" s="26">
        <f>IF(J109="","",(J109-G109)/G109)</f>
        <v/>
      </c>
      <c r="N109" s="27">
        <f>IF(H109="","",IF(D109="HOLD",IF(ABS(K109)&lt;0.03,"YES","NO"),IF(D109="BUY",IF(K109&gt;0,"YES","NO"),IF(D109="SELL",IF(K109&lt;0,"YES","NO"),""))))</f>
        <v/>
      </c>
    </row>
    <row r="110" ht="15" customHeight="1">
      <c r="A110" s="12" t="n">
        <v>46164</v>
      </c>
      <c r="B110" s="13" t="inlineStr">
        <is>
          <t>MSFT</t>
        </is>
      </c>
      <c r="C110" s="13" t="inlineStr">
        <is>
          <t>Roth IRA,Individual</t>
        </is>
      </c>
      <c r="D110" s="13" t="inlineStr">
        <is>
          <t>HOLD</t>
        </is>
      </c>
      <c r="E110" s="14" t="n">
        <v>0.55</v>
      </c>
      <c r="F110" s="13" t="inlineStr">
        <is>
          <t>HIGH</t>
        </is>
      </c>
      <c r="G110" s="15" t="n">
        <v>417.2299</v>
      </c>
      <c r="H110" s="16" t="n">
        <v>460.52</v>
      </c>
      <c r="I110" s="16" t="n">
        <v>411.74</v>
      </c>
      <c r="J110" s="16" t="n">
        <v>373.94</v>
      </c>
      <c r="K110" s="26">
        <f>IF(H110="","",(H110-G110)/G110)</f>
        <v/>
      </c>
      <c r="L110" s="26">
        <f>IF(I110="","",(I110-G110)/G110)</f>
        <v/>
      </c>
      <c r="M110" s="26">
        <f>IF(J110="","",(J110-G110)/G110)</f>
        <v/>
      </c>
      <c r="N110" s="27">
        <f>IF(H110="","",IF(D110="HOLD",IF(ABS(K110)&lt;0.03,"YES","NO"),IF(D110="BUY",IF(K110&gt;0,"YES","NO"),IF(D110="SELL",IF(K110&lt;0,"YES","NO"),""))))</f>
        <v/>
      </c>
    </row>
    <row r="111" ht="15" customHeight="1">
      <c r="A111" s="12" t="n">
        <v>46164</v>
      </c>
      <c r="B111" s="13" t="inlineStr">
        <is>
          <t>NKE</t>
        </is>
      </c>
      <c r="C111" s="13" t="inlineStr">
        <is>
          <t>Roth IRA</t>
        </is>
      </c>
      <c r="D111" s="13" t="inlineStr">
        <is>
          <t>HOLD</t>
        </is>
      </c>
      <c r="E111" s="14" t="n">
        <v>0.52</v>
      </c>
      <c r="F111" s="13" t="inlineStr">
        <is>
          <t>HIGH</t>
        </is>
      </c>
      <c r="G111" s="15" t="n">
        <v>44.475</v>
      </c>
      <c r="H111" s="16" t="n">
        <v>45.93</v>
      </c>
      <c r="I111" s="16" t="n">
        <v>43.23</v>
      </c>
      <c r="J111" s="16" t="n">
        <v>42.38</v>
      </c>
      <c r="K111" s="26">
        <f>IF(H111="","",(H111-G111)/G111)</f>
        <v/>
      </c>
      <c r="L111" s="26">
        <f>IF(I111="","",(I111-G111)/G111)</f>
        <v/>
      </c>
      <c r="M111" s="26">
        <f>IF(J111="","",(J111-G111)/G111)</f>
        <v/>
      </c>
      <c r="N111" s="27">
        <f>IF(H111="","",IF(D111="HOLD",IF(ABS(K111)&lt;0.03,"YES","NO"),IF(D111="BUY",IF(K111&gt;0,"YES","NO"),IF(D111="SELL",IF(K111&lt;0,"YES","NO"),""))))</f>
        <v/>
      </c>
    </row>
    <row r="112" ht="15" customHeight="1">
      <c r="A112" s="12" t="n">
        <v>46164</v>
      </c>
      <c r="B112" s="13" t="inlineStr">
        <is>
          <t>NTR</t>
        </is>
      </c>
      <c r="C112" s="13" t="inlineStr">
        <is>
          <t>Roth IRA,Individual</t>
        </is>
      </c>
      <c r="D112" s="13" t="inlineStr">
        <is>
          <t>HOLD</t>
        </is>
      </c>
      <c r="E112" s="14" t="n">
        <v>0.52</v>
      </c>
      <c r="F112" s="13" t="inlineStr">
        <is>
          <t>MEDIUM</t>
        </is>
      </c>
      <c r="G112" s="15" t="n">
        <v>69.84999999999999</v>
      </c>
      <c r="H112" s="16" t="n">
        <v>69.56999999999999</v>
      </c>
      <c r="I112" s="16" t="n">
        <v>67.28</v>
      </c>
      <c r="J112" s="16" t="n">
        <v>61.54</v>
      </c>
      <c r="K112" s="26">
        <f>IF(H112="","",(H112-G112)/G112)</f>
        <v/>
      </c>
      <c r="L112" s="26">
        <f>IF(I112="","",(I112-G112)/G112)</f>
        <v/>
      </c>
      <c r="M112" s="26">
        <f>IF(J112="","",(J112-G112)/G112)</f>
        <v/>
      </c>
      <c r="N112" s="27">
        <f>IF(H112="","",IF(D112="HOLD",IF(ABS(K112)&lt;0.03,"YES","NO"),IF(D112="BUY",IF(K112&gt;0,"YES","NO"),IF(D112="SELL",IF(K112&lt;0,"YES","NO"),""))))</f>
        <v/>
      </c>
    </row>
    <row r="113" ht="15" customHeight="1">
      <c r="A113" s="12" t="n">
        <v>46164</v>
      </c>
      <c r="B113" s="13" t="inlineStr">
        <is>
          <t>PM</t>
        </is>
      </c>
      <c r="C113" s="13" t="inlineStr">
        <is>
          <t>Roth IRA</t>
        </is>
      </c>
      <c r="D113" s="13" t="inlineStr">
        <is>
          <t>HOLD</t>
        </is>
      </c>
      <c r="E113" s="14" t="n">
        <v>0.62</v>
      </c>
      <c r="F113" s="13" t="inlineStr">
        <is>
          <t>HIGH</t>
        </is>
      </c>
      <c r="G113" s="15" t="n">
        <v>189.9001</v>
      </c>
      <c r="H113" s="16" t="n">
        <v>172.66</v>
      </c>
      <c r="I113" s="16" t="n">
        <v>176.06</v>
      </c>
      <c r="J113" s="16" t="n">
        <v>178.69</v>
      </c>
      <c r="K113" s="26">
        <f>IF(H113="","",(H113-G113)/G113)</f>
        <v/>
      </c>
      <c r="L113" s="26">
        <f>IF(I113="","",(I113-G113)/G113)</f>
        <v/>
      </c>
      <c r="M113" s="26">
        <f>IF(J113="","",(J113-G113)/G113)</f>
        <v/>
      </c>
      <c r="N113" s="27">
        <f>IF(H113="","",IF(D113="HOLD",IF(ABS(K113)&lt;0.03,"YES","NO"),IF(D113="BUY",IF(K113&gt;0,"YES","NO"),IF(D113="SELL",IF(K113&lt;0,"YES","NO"),""))))</f>
        <v/>
      </c>
    </row>
    <row r="114" ht="15" customHeight="1">
      <c r="A114" s="12" t="n">
        <v>46164</v>
      </c>
      <c r="B114" s="13" t="inlineStr">
        <is>
          <t>PWR</t>
        </is>
      </c>
      <c r="C114" s="13" t="inlineStr">
        <is>
          <t>Roth IRA</t>
        </is>
      </c>
      <c r="D114" s="13" t="inlineStr">
        <is>
          <t>HOLD</t>
        </is>
      </c>
      <c r="E114" s="14" t="n">
        <v>0.62</v>
      </c>
      <c r="F114" s="13" t="inlineStr">
        <is>
          <t>HIGH</t>
        </is>
      </c>
      <c r="G114" s="15" t="n">
        <v>724.2</v>
      </c>
      <c r="H114" s="16" t="n">
        <v>687.48</v>
      </c>
      <c r="I114" s="16" t="n">
        <v>693.8099999999999</v>
      </c>
      <c r="J114" s="16" t="n">
        <v>702.29</v>
      </c>
      <c r="K114" s="26">
        <f>IF(H114="","",(H114-G114)/G114)</f>
        <v/>
      </c>
      <c r="L114" s="26">
        <f>IF(I114="","",(I114-G114)/G114)</f>
        <v/>
      </c>
      <c r="M114" s="26">
        <f>IF(J114="","",(J114-G114)/G114)</f>
        <v/>
      </c>
      <c r="N114" s="27">
        <f>IF(H114="","",IF(D114="HOLD",IF(ABS(K114)&lt;0.03,"YES","NO"),IF(D114="BUY",IF(K114&gt;0,"YES","NO"),IF(D114="SELL",IF(K114&lt;0,"YES","NO"),""))))</f>
        <v/>
      </c>
    </row>
    <row r="115" ht="15" customHeight="1">
      <c r="A115" s="12" t="n">
        <v>46164</v>
      </c>
      <c r="B115" s="13" t="inlineStr">
        <is>
          <t>RTX</t>
        </is>
      </c>
      <c r="C115" s="13" t="inlineStr">
        <is>
          <t>Individual</t>
        </is>
      </c>
      <c r="D115" s="13" t="inlineStr">
        <is>
          <t>HOLD</t>
        </is>
      </c>
      <c r="E115" s="14" t="n">
        <v>0.48</v>
      </c>
      <c r="F115" s="13" t="inlineStr">
        <is>
          <t>MEDIUM</t>
        </is>
      </c>
      <c r="G115" s="15" t="n">
        <v>175.77</v>
      </c>
      <c r="H115" s="16" t="n">
        <v>174.41</v>
      </c>
      <c r="I115" s="16" t="n">
        <v>178.66</v>
      </c>
      <c r="J115" s="16" t="n">
        <v>186.39</v>
      </c>
      <c r="K115" s="26">
        <f>IF(H115="","",(H115-G115)/G115)</f>
        <v/>
      </c>
      <c r="L115" s="26">
        <f>IF(I115="","",(I115-G115)/G115)</f>
        <v/>
      </c>
      <c r="M115" s="26">
        <f>IF(J115="","",(J115-G115)/G115)</f>
        <v/>
      </c>
      <c r="N115" s="27">
        <f>IF(H115="","",IF(D115="HOLD",IF(ABS(K115)&lt;0.03,"YES","NO"),IF(D115="BUY",IF(K115&gt;0,"YES","NO"),IF(D115="SELL",IF(K115&lt;0,"YES","NO"),""))))</f>
        <v/>
      </c>
    </row>
    <row r="116" ht="15" customHeight="1">
      <c r="A116" s="12" t="n">
        <v>46164</v>
      </c>
      <c r="B116" s="13" t="inlineStr">
        <is>
          <t>SCHD</t>
        </is>
      </c>
      <c r="C116" s="13" t="inlineStr">
        <is>
          <t>Roth IRA</t>
        </is>
      </c>
      <c r="D116" s="13" t="inlineStr">
        <is>
          <t>HOLD</t>
        </is>
      </c>
      <c r="E116" s="14" t="n">
        <v>0.65</v>
      </c>
      <c r="F116" s="13" t="inlineStr">
        <is>
          <t>HIGH</t>
        </is>
      </c>
      <c r="G116" s="15" t="n">
        <v>32.76</v>
      </c>
      <c r="H116" s="16" t="n">
        <v>32.18</v>
      </c>
      <c r="I116" s="16" t="n">
        <v>32.29</v>
      </c>
      <c r="J116" s="16" t="n">
        <v>32.02</v>
      </c>
      <c r="K116" s="26">
        <f>IF(H116="","",(H116-G116)/G116)</f>
        <v/>
      </c>
      <c r="L116" s="26">
        <f>IF(I116="","",(I116-G116)/G116)</f>
        <v/>
      </c>
      <c r="M116" s="26">
        <f>IF(J116="","",(J116-G116)/G116)</f>
        <v/>
      </c>
      <c r="N116" s="27">
        <f>IF(H116="","",IF(D116="HOLD",IF(ABS(K116)&lt;0.03,"YES","NO"),IF(D116="BUY",IF(K116&gt;0,"YES","NO"),IF(D116="SELL",IF(K116&lt;0,"YES","NO"),""))))</f>
        <v/>
      </c>
    </row>
    <row r="117" ht="15" customHeight="1">
      <c r="A117" s="12" t="n">
        <v>46164</v>
      </c>
      <c r="B117" s="13" t="inlineStr">
        <is>
          <t>SND</t>
        </is>
      </c>
      <c r="C117" s="13" t="inlineStr">
        <is>
          <t>Individual</t>
        </is>
      </c>
      <c r="D117" s="13" t="inlineStr">
        <is>
          <t>HOLD</t>
        </is>
      </c>
      <c r="E117" s="14" t="n">
        <v>0.42</v>
      </c>
      <c r="F117" s="13" t="inlineStr">
        <is>
          <t>MEDIUM</t>
        </is>
      </c>
      <c r="G117" s="15" t="n">
        <v>4.9952</v>
      </c>
      <c r="H117" s="16" t="n">
        <v>4.77</v>
      </c>
      <c r="I117" s="16" t="n">
        <v>5.82</v>
      </c>
      <c r="J117" s="16" t="n">
        <v>4.74</v>
      </c>
      <c r="K117" s="26">
        <f>IF(H117="","",(H117-G117)/G117)</f>
        <v/>
      </c>
      <c r="L117" s="26">
        <f>IF(I117="","",(I117-G117)/G117)</f>
        <v/>
      </c>
      <c r="M117" s="26">
        <f>IF(J117="","",(J117-G117)/G117)</f>
        <v/>
      </c>
      <c r="N117" s="27">
        <f>IF(H117="","",IF(D117="HOLD",IF(ABS(K117)&lt;0.03,"YES","NO"),IF(D117="BUY",IF(K117&gt;0,"YES","NO"),IF(D117="SELL",IF(K117&lt;0,"YES","NO"),""))))</f>
        <v/>
      </c>
    </row>
    <row r="118" ht="15" customHeight="1">
      <c r="A118" s="12" t="n">
        <v>46164</v>
      </c>
      <c r="B118" s="13" t="inlineStr">
        <is>
          <t>WMT</t>
        </is>
      </c>
      <c r="C118" s="13" t="inlineStr">
        <is>
          <t>Roth IRA,Individual</t>
        </is>
      </c>
      <c r="D118" s="13" t="inlineStr">
        <is>
          <t>HOLD</t>
        </is>
      </c>
      <c r="E118" s="14" t="n">
        <v>0.45</v>
      </c>
      <c r="F118" s="13" t="inlineStr">
        <is>
          <t>HIGH</t>
        </is>
      </c>
      <c r="G118" s="15" t="n">
        <v>119.835</v>
      </c>
      <c r="H118" s="16" t="n">
        <v>114.6</v>
      </c>
      <c r="I118" s="16" t="n">
        <v>119.83</v>
      </c>
      <c r="J118" s="16" t="n">
        <v>119.42</v>
      </c>
      <c r="K118" s="26">
        <f>IF(H118="","",(H118-G118)/G118)</f>
        <v/>
      </c>
      <c r="L118" s="26">
        <f>IF(I118="","",(I118-G118)/G118)</f>
        <v/>
      </c>
      <c r="M118" s="26">
        <f>IF(J118="","",(J118-G118)/G118)</f>
        <v/>
      </c>
      <c r="N118" s="27">
        <f>IF(H118="","",IF(D118="HOLD",IF(ABS(K118)&lt;0.03,"YES","NO"),IF(D118="BUY",IF(K118&gt;0,"YES","NO"),IF(D118="SELL",IF(K118&lt;0,"YES","NO"),""))))</f>
        <v/>
      </c>
    </row>
    <row r="119" ht="15" customHeight="1">
      <c r="A119" s="12" t="n">
        <v>46164</v>
      </c>
      <c r="B119" s="13" t="inlineStr">
        <is>
          <t>XLU</t>
        </is>
      </c>
      <c r="C119" s="13" t="inlineStr">
        <is>
          <t>Roth IRA</t>
        </is>
      </c>
      <c r="D119" s="13" t="inlineStr">
        <is>
          <t>HOLD</t>
        </is>
      </c>
      <c r="E119" s="14" t="n">
        <v>0.52</v>
      </c>
      <c r="F119" s="13" t="inlineStr">
        <is>
          <t>MEDIUM</t>
        </is>
      </c>
      <c r="G119" s="15" t="n">
        <v>45.115</v>
      </c>
      <c r="H119" s="16" t="n">
        <v>43.1</v>
      </c>
      <c r="I119" s="16" t="n">
        <v>43.52</v>
      </c>
      <c r="J119" s="16" t="n">
        <v>45.07</v>
      </c>
      <c r="K119" s="26">
        <f>IF(H119="","",(H119-G119)/G119)</f>
        <v/>
      </c>
      <c r="L119" s="26">
        <f>IF(I119="","",(I119-G119)/G119)</f>
        <v/>
      </c>
      <c r="M119" s="26">
        <f>IF(J119="","",(J119-G119)/G119)</f>
        <v/>
      </c>
      <c r="N119" s="27">
        <f>IF(H119="","",IF(D119="HOLD",IF(ABS(K119)&lt;0.03,"YES","NO"),IF(D119="BUY",IF(K119&gt;0,"YES","NO"),IF(D119="SELL",IF(K119&lt;0,"YES","NO"),""))))</f>
        <v/>
      </c>
    </row>
    <row r="120" ht="15" customHeight="1">
      <c r="A120" s="12" t="n">
        <v>46164</v>
      </c>
      <c r="B120" s="13" t="inlineStr">
        <is>
          <t>SPY</t>
        </is>
      </c>
      <c r="C120" s="13" t="inlineStr">
        <is>
          <t>Scout</t>
        </is>
      </c>
      <c r="D120" s="13" t="inlineStr">
        <is>
          <t>HOLD</t>
        </is>
      </c>
      <c r="E120" s="14" t="n">
        <v>0.52</v>
      </c>
      <c r="F120" s="13" t="inlineStr">
        <is>
          <t>MEDIUM</t>
        </is>
      </c>
      <c r="G120" s="15" t="n">
        <v>746.11</v>
      </c>
      <c r="H120" s="16" t="n">
        <v>758.54</v>
      </c>
      <c r="I120" s="16" t="n">
        <v>739.22</v>
      </c>
      <c r="J120" s="16" t="n">
        <v>733.58</v>
      </c>
      <c r="K120" s="26">
        <f>IF(H120="","",(H120-G120)/G120)</f>
        <v/>
      </c>
      <c r="L120" s="26">
        <f>IF(I120="","",(I120-G120)/G120)</f>
        <v/>
      </c>
      <c r="M120" s="26">
        <f>IF(J120="","",(J120-G120)/G120)</f>
        <v/>
      </c>
      <c r="N120" s="27">
        <f>IF(H120="","",IF(D120="HOLD",IF(ABS(K120)&lt;0.03,"YES","NO"),IF(D120="BUY",IF(K120&gt;0,"YES","NO"),IF(D120="SELL",IF(K120&lt;0,"YES","NO"),""))))</f>
        <v/>
      </c>
    </row>
    <row r="121" ht="15" customHeight="1">
      <c r="A121" s="12" t="n">
        <v>46164</v>
      </c>
      <c r="B121" s="13" t="inlineStr">
        <is>
          <t>QQQ</t>
        </is>
      </c>
      <c r="C121" s="13" t="inlineStr">
        <is>
          <t>Scout</t>
        </is>
      </c>
      <c r="D121" s="13" t="inlineStr">
        <is>
          <t>HOLD</t>
        </is>
      </c>
      <c r="E121" s="14" t="n">
        <v>0.52</v>
      </c>
      <c r="F121" s="13" t="inlineStr">
        <is>
          <t>MEDIUM</t>
        </is>
      </c>
      <c r="G121" s="15" t="n">
        <v>718.4400000000001</v>
      </c>
      <c r="H121" s="16" t="n">
        <v>742.74</v>
      </c>
      <c r="I121" s="16" t="n">
        <v>716.0700000000001</v>
      </c>
      <c r="J121" s="16" t="n">
        <v>713.65</v>
      </c>
      <c r="K121" s="26">
        <f>IF(H121="","",(H121-G121)/G121)</f>
        <v/>
      </c>
      <c r="L121" s="26">
        <f>IF(I121="","",(I121-G121)/G121)</f>
        <v/>
      </c>
      <c r="M121" s="26">
        <f>IF(J121="","",(J121-G121)/G121)</f>
        <v/>
      </c>
      <c r="N121" s="27">
        <f>IF(H121="","",IF(D121="HOLD",IF(ABS(K121)&lt;0.03,"YES","NO"),IF(D121="BUY",IF(K121&gt;0,"YES","NO"),IF(D121="SELL",IF(K121&lt;0,"YES","NO"),""))))</f>
        <v/>
      </c>
    </row>
    <row r="122" ht="15" customHeight="1">
      <c r="A122" s="12" t="n">
        <v>46164</v>
      </c>
      <c r="B122" s="13" t="inlineStr">
        <is>
          <t>VTI</t>
        </is>
      </c>
      <c r="C122" s="13" t="inlineStr">
        <is>
          <t>Scout</t>
        </is>
      </c>
      <c r="D122" s="13" t="inlineStr">
        <is>
          <t>HOLD</t>
        </is>
      </c>
      <c r="E122" s="14" t="n">
        <v>0.52</v>
      </c>
      <c r="F122" s="13" t="inlineStr">
        <is>
          <t>MEDIUM</t>
        </is>
      </c>
      <c r="G122" s="15" t="n">
        <v>366.85</v>
      </c>
      <c r="H122" s="16" t="n">
        <v>373.4</v>
      </c>
      <c r="I122" s="16" t="n">
        <v>364.47</v>
      </c>
      <c r="J122" s="16" t="n">
        <v>363.7</v>
      </c>
      <c r="K122" s="26">
        <f>IF(H122="","",(H122-G122)/G122)</f>
        <v/>
      </c>
      <c r="L122" s="26">
        <f>IF(I122="","",(I122-G122)/G122)</f>
        <v/>
      </c>
      <c r="M122" s="26">
        <f>IF(J122="","",(J122-G122)/G122)</f>
        <v/>
      </c>
      <c r="N122" s="27">
        <f>IF(H122="","",IF(D122="HOLD",IF(ABS(K122)&lt;0.03,"YES","NO"),IF(D122="BUY",IF(K122&gt;0,"YES","NO"),IF(D122="SELL",IF(K122&lt;0,"YES","NO"),""))))</f>
        <v/>
      </c>
    </row>
    <row r="123" ht="15" customHeight="1">
      <c r="A123" s="12" t="n">
        <v>46164</v>
      </c>
      <c r="B123" s="13" t="inlineStr">
        <is>
          <t>NVDA</t>
        </is>
      </c>
      <c r="C123" s="13" t="inlineStr">
        <is>
          <t>Scout</t>
        </is>
      </c>
      <c r="D123" s="13" t="inlineStr">
        <is>
          <t>BUY</t>
        </is>
      </c>
      <c r="E123" s="14" t="n">
        <v>0.62</v>
      </c>
      <c r="F123" s="13" t="inlineStr">
        <is>
          <t>MEDIUM</t>
        </is>
      </c>
      <c r="G123" s="15" t="n">
        <v>216.765</v>
      </c>
      <c r="H123" s="16" t="n">
        <v>224.36</v>
      </c>
      <c r="I123" s="16" t="n">
        <v>208.64</v>
      </c>
      <c r="J123" s="16" t="n">
        <v>200.04</v>
      </c>
      <c r="K123" s="26">
        <f>IF(H123="","",(H123-G123)/G123)</f>
        <v/>
      </c>
      <c r="L123" s="26">
        <f>IF(I123="","",(I123-G123)/G123)</f>
        <v/>
      </c>
      <c r="M123" s="26">
        <f>IF(J123="","",(J123-G123)/G123)</f>
        <v/>
      </c>
      <c r="N123" s="27">
        <f>IF(H123="","",IF(D123="HOLD",IF(ABS(K123)&lt;0.03,"YES","NO"),IF(D123="BUY",IF(K123&gt;0,"YES","NO"),IF(D123="SELL",IF(K123&lt;0,"YES","NO"),""))))</f>
        <v/>
      </c>
    </row>
    <row r="124" ht="15" customHeight="1">
      <c r="A124" s="12" t="n">
        <v>46164</v>
      </c>
      <c r="B124" s="13" t="inlineStr">
        <is>
          <t>GLD</t>
        </is>
      </c>
      <c r="C124" s="13" t="inlineStr">
        <is>
          <t>Scout</t>
        </is>
      </c>
      <c r="D124" s="13" t="inlineStr">
        <is>
          <t>HOLD</t>
        </is>
      </c>
      <c r="E124" s="14" t="n">
        <v>0.45</v>
      </c>
      <c r="F124" s="13" t="inlineStr">
        <is>
          <t>MEDIUM</t>
        </is>
      </c>
      <c r="G124" s="15" t="n">
        <v>413.07</v>
      </c>
      <c r="H124" s="16" t="n">
        <v>411.26</v>
      </c>
      <c r="I124" s="16" t="n">
        <v>397.27</v>
      </c>
      <c r="J124" s="16" t="n">
        <v>377.32</v>
      </c>
      <c r="K124" s="26">
        <f>IF(H124="","",(H124-G124)/G124)</f>
        <v/>
      </c>
      <c r="L124" s="26">
        <f>IF(I124="","",(I124-G124)/G124)</f>
        <v/>
      </c>
      <c r="M124" s="26">
        <f>IF(J124="","",(J124-G124)/G124)</f>
        <v/>
      </c>
      <c r="N124" s="27">
        <f>IF(H124="","",IF(D124="HOLD",IF(ABS(K124)&lt;0.03,"YES","NO"),IF(D124="BUY",IF(K124&gt;0,"YES","NO"),IF(D124="SELL",IF(K124&lt;0,"YES","NO"),""))))</f>
        <v/>
      </c>
    </row>
    <row r="125" ht="15" customHeight="1">
      <c r="A125" s="12" t="n">
        <v>46168</v>
      </c>
      <c r="B125" s="13" t="inlineStr">
        <is>
          <t>AAPL</t>
        </is>
      </c>
      <c r="C125" s="13" t="inlineStr">
        <is>
          <t>Roth IRA</t>
        </is>
      </c>
      <c r="D125" s="13" t="inlineStr">
        <is>
          <t>HOLD</t>
        </is>
      </c>
      <c r="E125" s="14" t="n">
        <v>0.55</v>
      </c>
      <c r="F125" s="13" t="inlineStr">
        <is>
          <t>MEDIUM</t>
        </is>
      </c>
      <c r="G125" s="15" t="n">
        <v>311.185</v>
      </c>
      <c r="H125" s="16" t="n">
        <v>315.2</v>
      </c>
      <c r="I125" s="16" t="n">
        <v>290.55</v>
      </c>
      <c r="K125" s="26">
        <f>IF(H125="","",(H125-G125)/G125)</f>
        <v/>
      </c>
      <c r="L125" s="26">
        <f>IF(I125="","",(I125-G125)/G125)</f>
        <v/>
      </c>
      <c r="M125" s="26">
        <f>IF(J125="","",(J125-G125)/G125)</f>
        <v/>
      </c>
      <c r="N125" s="27">
        <f>IF(H125="","",IF(D125="HOLD",IF(ABS(K125)&lt;0.03,"YES","NO"),IF(D125="BUY",IF(K125&gt;0,"YES","NO"),IF(D125="SELL",IF(K125&lt;0,"YES","NO"),""))))</f>
        <v/>
      </c>
    </row>
    <row r="126" ht="15" customHeight="1">
      <c r="A126" s="12" t="n">
        <v>46168</v>
      </c>
      <c r="B126" s="13" t="inlineStr">
        <is>
          <t>AG</t>
        </is>
      </c>
      <c r="C126" s="13" t="inlineStr">
        <is>
          <t>Individual</t>
        </is>
      </c>
      <c r="D126" s="13" t="inlineStr">
        <is>
          <t>HOLD</t>
        </is>
      </c>
      <c r="E126" s="14" t="n">
        <v>0.45</v>
      </c>
      <c r="F126" s="13" t="inlineStr">
        <is>
          <t>MEDIUM</t>
        </is>
      </c>
      <c r="G126" s="15" t="n">
        <v>19.8403</v>
      </c>
      <c r="H126" s="16" t="n">
        <v>20.99</v>
      </c>
      <c r="I126" s="16" t="n">
        <v>16.54</v>
      </c>
      <c r="K126" s="26">
        <f>IF(H126="","",(H126-G126)/G126)</f>
        <v/>
      </c>
      <c r="L126" s="26">
        <f>IF(I126="","",(I126-G126)/G126)</f>
        <v/>
      </c>
      <c r="M126" s="26">
        <f>IF(J126="","",(J126-G126)/G126)</f>
        <v/>
      </c>
      <c r="N126" s="27">
        <f>IF(H126="","",IF(D126="HOLD",IF(ABS(K126)&lt;0.03,"YES","NO"),IF(D126="BUY",IF(K126&gt;0,"YES","NO"),IF(D126="SELL",IF(K126&lt;0,"YES","NO"),""))))</f>
        <v/>
      </c>
    </row>
    <row r="127" ht="15" customHeight="1">
      <c r="A127" s="12" t="n">
        <v>46168</v>
      </c>
      <c r="B127" s="13" t="inlineStr">
        <is>
          <t>AIQ</t>
        </is>
      </c>
      <c r="C127" s="13" t="inlineStr">
        <is>
          <t>Roth IRA,Individual</t>
        </is>
      </c>
      <c r="D127" s="13" t="inlineStr">
        <is>
          <t>HOLD</t>
        </is>
      </c>
      <c r="E127" s="14" t="n">
        <v>0.55</v>
      </c>
      <c r="F127" s="13" t="inlineStr">
        <is>
          <t>MEDIUM</t>
        </is>
      </c>
      <c r="G127" s="15" t="n">
        <v>65.05</v>
      </c>
      <c r="H127" s="16" t="n">
        <v>70.14</v>
      </c>
      <c r="I127" s="16" t="n">
        <v>63.16</v>
      </c>
      <c r="K127" s="26">
        <f>IF(H127="","",(H127-G127)/G127)</f>
        <v/>
      </c>
      <c r="L127" s="26">
        <f>IF(I127="","",(I127-G127)/G127)</f>
        <v/>
      </c>
      <c r="M127" s="26">
        <f>IF(J127="","",(J127-G127)/G127)</f>
        <v/>
      </c>
      <c r="N127" s="27">
        <f>IF(H127="","",IF(D127="HOLD",IF(ABS(K127)&lt;0.03,"YES","NO"),IF(D127="BUY",IF(K127&gt;0,"YES","NO"),IF(D127="SELL",IF(K127&lt;0,"YES","NO"),""))))</f>
        <v/>
      </c>
    </row>
    <row r="128" ht="15" customHeight="1">
      <c r="A128" s="12" t="n">
        <v>46168</v>
      </c>
      <c r="B128" s="13" t="inlineStr">
        <is>
          <t>CBRS</t>
        </is>
      </c>
      <c r="C128" s="13" t="inlineStr">
        <is>
          <t>Individual</t>
        </is>
      </c>
      <c r="D128" s="13" t="inlineStr">
        <is>
          <t>HOLD</t>
        </is>
      </c>
      <c r="E128" s="14" t="n">
        <v>0.42</v>
      </c>
      <c r="F128" s="13" t="inlineStr">
        <is>
          <t>MEDIUM</t>
        </is>
      </c>
      <c r="G128" s="15" t="n">
        <v>240.27</v>
      </c>
      <c r="H128" s="16" t="n">
        <v>236.52</v>
      </c>
      <c r="I128" s="16" t="n">
        <v>226.81</v>
      </c>
      <c r="K128" s="26">
        <f>IF(H128="","",(H128-G128)/G128)</f>
        <v/>
      </c>
      <c r="L128" s="26">
        <f>IF(I128="","",(I128-G128)/G128)</f>
        <v/>
      </c>
      <c r="M128" s="26">
        <f>IF(J128="","",(J128-G128)/G128)</f>
        <v/>
      </c>
      <c r="N128" s="27">
        <f>IF(H128="","",IF(D128="HOLD",IF(ABS(K128)&lt;0.03,"YES","NO"),IF(D128="BUY",IF(K128&gt;0,"YES","NO"),IF(D128="SELL",IF(K128&lt;0,"YES","NO"),""))))</f>
        <v/>
      </c>
    </row>
    <row r="129" ht="15" customHeight="1">
      <c r="A129" s="12" t="n">
        <v>46168</v>
      </c>
      <c r="B129" s="13" t="inlineStr">
        <is>
          <t>CORN</t>
        </is>
      </c>
      <c r="C129" s="13" t="inlineStr">
        <is>
          <t>Individual</t>
        </is>
      </c>
      <c r="D129" s="13" t="inlineStr">
        <is>
          <t>HOLD</t>
        </is>
      </c>
      <c r="E129" s="14" t="n">
        <v>0.45</v>
      </c>
      <c r="F129" s="13" t="inlineStr">
        <is>
          <t>MEDIUM</t>
        </is>
      </c>
      <c r="G129" s="15" t="n">
        <v>18.21</v>
      </c>
      <c r="H129" s="16" t="n">
        <v>17.71</v>
      </c>
      <c r="I129" s="16" t="n">
        <v>17.04</v>
      </c>
      <c r="K129" s="26">
        <f>IF(H129="","",(H129-G129)/G129)</f>
        <v/>
      </c>
      <c r="L129" s="26">
        <f>IF(I129="","",(I129-G129)/G129)</f>
        <v/>
      </c>
      <c r="M129" s="26">
        <f>IF(J129="","",(J129-G129)/G129)</f>
        <v/>
      </c>
      <c r="N129" s="27">
        <f>IF(H129="","",IF(D129="HOLD",IF(ABS(K129)&lt;0.03,"YES","NO"),IF(D129="BUY",IF(K129&gt;0,"YES","NO"),IF(D129="SELL",IF(K129&lt;0,"YES","NO"),""))))</f>
        <v/>
      </c>
    </row>
    <row r="130" ht="15" customHeight="1">
      <c r="A130" s="12" t="n">
        <v>46168</v>
      </c>
      <c r="B130" s="13" t="inlineStr">
        <is>
          <t>DOW</t>
        </is>
      </c>
      <c r="C130" s="13" t="inlineStr">
        <is>
          <t>Roth IRA,Individual</t>
        </is>
      </c>
      <c r="D130" s="13" t="inlineStr">
        <is>
          <t>HOLD</t>
        </is>
      </c>
      <c r="E130" s="14" t="n">
        <v>0.42</v>
      </c>
      <c r="F130" s="13" t="inlineStr">
        <is>
          <t>MEDIUM</t>
        </is>
      </c>
      <c r="G130" s="15" t="n">
        <v>35.43</v>
      </c>
      <c r="H130" s="16" t="n">
        <v>34.72</v>
      </c>
      <c r="I130" s="16" t="n">
        <v>33.22</v>
      </c>
      <c r="K130" s="26">
        <f>IF(H130="","",(H130-G130)/G130)</f>
        <v/>
      </c>
      <c r="L130" s="26">
        <f>IF(I130="","",(I130-G130)/G130)</f>
        <v/>
      </c>
      <c r="M130" s="26">
        <f>IF(J130="","",(J130-G130)/G130)</f>
        <v/>
      </c>
      <c r="N130" s="27">
        <f>IF(H130="","",IF(D130="HOLD",IF(ABS(K130)&lt;0.03,"YES","NO"),IF(D130="BUY",IF(K130&gt;0,"YES","NO"),IF(D130="SELL",IF(K130&lt;0,"YES","NO"),""))))</f>
        <v/>
      </c>
    </row>
    <row r="131" ht="15" customHeight="1">
      <c r="A131" s="12" t="n">
        <v>46168</v>
      </c>
      <c r="B131" s="13" t="inlineStr">
        <is>
          <t>FTI</t>
        </is>
      </c>
      <c r="C131" s="13" t="inlineStr">
        <is>
          <t>Individual</t>
        </is>
      </c>
      <c r="D131" s="13" t="inlineStr">
        <is>
          <t>HOLD</t>
        </is>
      </c>
      <c r="E131" s="14" t="n">
        <v>0.55</v>
      </c>
      <c r="F131" s="13" t="inlineStr">
        <is>
          <t>MEDIUM</t>
        </is>
      </c>
      <c r="G131" s="15" t="n">
        <v>71.70999999999999</v>
      </c>
      <c r="H131" s="16" t="n">
        <v>69.45</v>
      </c>
      <c r="I131" s="16" t="n">
        <v>68.39</v>
      </c>
      <c r="K131" s="26">
        <f>IF(H131="","",(H131-G131)/G131)</f>
        <v/>
      </c>
      <c r="L131" s="26">
        <f>IF(I131="","",(I131-G131)/G131)</f>
        <v/>
      </c>
      <c r="M131" s="26">
        <f>IF(J131="","",(J131-G131)/G131)</f>
        <v/>
      </c>
      <c r="N131" s="27">
        <f>IF(H131="","",IF(D131="HOLD",IF(ABS(K131)&lt;0.03,"YES","NO"),IF(D131="BUY",IF(K131&gt;0,"YES","NO"),IF(D131="SELL",IF(K131&lt;0,"YES","NO"),""))))</f>
        <v/>
      </c>
    </row>
    <row r="132" ht="15" customHeight="1">
      <c r="A132" s="12" t="n">
        <v>46168</v>
      </c>
      <c r="B132" s="13" t="inlineStr">
        <is>
          <t>GM</t>
        </is>
      </c>
      <c r="C132" s="13" t="inlineStr">
        <is>
          <t>Roth IRA,Individual</t>
        </is>
      </c>
      <c r="D132" s="13" t="inlineStr">
        <is>
          <t>HOLD</t>
        </is>
      </c>
      <c r="E132" s="14" t="n">
        <v>0.52</v>
      </c>
      <c r="F132" s="13" t="inlineStr">
        <is>
          <t>HIGH</t>
        </is>
      </c>
      <c r="G132" s="15" t="n">
        <v>79.66500000000001</v>
      </c>
      <c r="H132" s="16" t="n">
        <v>81.73</v>
      </c>
      <c r="I132" s="16" t="n">
        <v>83.76000000000001</v>
      </c>
      <c r="K132" s="26">
        <f>IF(H132="","",(H132-G132)/G132)</f>
        <v/>
      </c>
      <c r="L132" s="26">
        <f>IF(I132="","",(I132-G132)/G132)</f>
        <v/>
      </c>
      <c r="M132" s="26">
        <f>IF(J132="","",(J132-G132)/G132)</f>
        <v/>
      </c>
      <c r="N132" s="27">
        <f>IF(H132="","",IF(D132="HOLD",IF(ABS(K132)&lt;0.03,"YES","NO"),IF(D132="BUY",IF(K132&gt;0,"YES","NO"),IF(D132="SELL",IF(K132&lt;0,"YES","NO"),""))))</f>
        <v/>
      </c>
    </row>
    <row r="133" ht="15" customHeight="1">
      <c r="A133" s="12" t="n">
        <v>46168</v>
      </c>
      <c r="B133" s="13" t="inlineStr">
        <is>
          <t>JPM</t>
        </is>
      </c>
      <c r="C133" s="13" t="inlineStr">
        <is>
          <t>Roth IRA</t>
        </is>
      </c>
      <c r="D133" s="13" t="inlineStr">
        <is>
          <t>HOLD</t>
        </is>
      </c>
      <c r="E133" s="14" t="n">
        <v>0.55</v>
      </c>
      <c r="F133" s="13" t="inlineStr">
        <is>
          <t>HIGH</t>
        </is>
      </c>
      <c r="G133" s="15" t="n">
        <v>308.055</v>
      </c>
      <c r="H133" s="16" t="n">
        <v>300.96</v>
      </c>
      <c r="I133" s="16" t="n">
        <v>312.7</v>
      </c>
      <c r="K133" s="26">
        <f>IF(H133="","",(H133-G133)/G133)</f>
        <v/>
      </c>
      <c r="L133" s="26">
        <f>IF(I133="","",(I133-G133)/G133)</f>
        <v/>
      </c>
      <c r="M133" s="26">
        <f>IF(J133="","",(J133-G133)/G133)</f>
        <v/>
      </c>
      <c r="N133" s="27">
        <f>IF(H133="","",IF(D133="HOLD",IF(ABS(K133)&lt;0.03,"YES","NO"),IF(D133="BUY",IF(K133&gt;0,"YES","NO"),IF(D133="SELL",IF(K133&lt;0,"YES","NO"),""))))</f>
        <v/>
      </c>
    </row>
    <row r="134" ht="15" customHeight="1">
      <c r="A134" s="12" t="n">
        <v>46168</v>
      </c>
      <c r="B134" s="13" t="inlineStr">
        <is>
          <t>MSFT</t>
        </is>
      </c>
      <c r="C134" s="13" t="inlineStr">
        <is>
          <t>Roth IRA,Individual</t>
        </is>
      </c>
      <c r="D134" s="13" t="inlineStr">
        <is>
          <t>HOLD</t>
        </is>
      </c>
      <c r="E134" s="14" t="n">
        <v>0.52</v>
      </c>
      <c r="F134" s="13" t="inlineStr">
        <is>
          <t>MEDIUM</t>
        </is>
      </c>
      <c r="G134" s="15" t="n">
        <v>417.41</v>
      </c>
      <c r="H134" s="16" t="n">
        <v>441.31</v>
      </c>
      <c r="I134" s="16" t="n">
        <v>403.41</v>
      </c>
      <c r="K134" s="26">
        <f>IF(H134="","",(H134-G134)/G134)</f>
        <v/>
      </c>
      <c r="L134" s="26">
        <f>IF(I134="","",(I134-G134)/G134)</f>
        <v/>
      </c>
      <c r="M134" s="26">
        <f>IF(J134="","",(J134-G134)/G134)</f>
        <v/>
      </c>
      <c r="N134" s="27">
        <f>IF(H134="","",IF(D134="HOLD",IF(ABS(K134)&lt;0.03,"YES","NO"),IF(D134="BUY",IF(K134&gt;0,"YES","NO"),IF(D134="SELL",IF(K134&lt;0,"YES","NO"),""))))</f>
        <v/>
      </c>
    </row>
    <row r="135" ht="15" customHeight="1">
      <c r="A135" s="12" t="n">
        <v>46168</v>
      </c>
      <c r="B135" s="13" t="inlineStr">
        <is>
          <t>NKE</t>
        </is>
      </c>
      <c r="C135" s="13" t="inlineStr">
        <is>
          <t>Roth IRA</t>
        </is>
      </c>
      <c r="D135" s="13" t="inlineStr">
        <is>
          <t>HOLD</t>
        </is>
      </c>
      <c r="E135" s="14" t="n">
        <v>0.42</v>
      </c>
      <c r="F135" s="13" t="inlineStr">
        <is>
          <t>HIGH</t>
        </is>
      </c>
      <c r="G135" s="15" t="n">
        <v>44.7593</v>
      </c>
      <c r="H135" s="16" t="n">
        <v>43.73</v>
      </c>
      <c r="I135" s="16" t="n">
        <v>44.65</v>
      </c>
      <c r="K135" s="26">
        <f>IF(H135="","",(H135-G135)/G135)</f>
        <v/>
      </c>
      <c r="L135" s="26">
        <f>IF(I135="","",(I135-G135)/G135)</f>
        <v/>
      </c>
      <c r="M135" s="26">
        <f>IF(J135="","",(J135-G135)/G135)</f>
        <v/>
      </c>
      <c r="N135" s="27">
        <f>IF(H135="","",IF(D135="HOLD",IF(ABS(K135)&lt;0.03,"YES","NO"),IF(D135="BUY",IF(K135&gt;0,"YES","NO"),IF(D135="SELL",IF(K135&lt;0,"YES","NO"),""))))</f>
        <v/>
      </c>
    </row>
    <row r="136" ht="15" customHeight="1">
      <c r="A136" s="12" t="n">
        <v>46168</v>
      </c>
      <c r="B136" s="13" t="inlineStr">
        <is>
          <t>NTR</t>
        </is>
      </c>
      <c r="C136" s="13" t="inlineStr">
        <is>
          <t>Roth IRA,Individual</t>
        </is>
      </c>
      <c r="D136" s="13" t="inlineStr">
        <is>
          <t>HOLD</t>
        </is>
      </c>
      <c r="E136" s="14" t="n">
        <v>0.52</v>
      </c>
      <c r="F136" s="13" t="inlineStr">
        <is>
          <t>MEDIUM</t>
        </is>
      </c>
      <c r="G136" s="15" t="n">
        <v>70.04000000000001</v>
      </c>
      <c r="H136" s="16" t="n">
        <v>68.5</v>
      </c>
      <c r="I136" s="16" t="n">
        <v>66.34999999999999</v>
      </c>
      <c r="K136" s="26">
        <f>IF(H136="","",(H136-G136)/G136)</f>
        <v/>
      </c>
      <c r="L136" s="26">
        <f>IF(I136="","",(I136-G136)/G136)</f>
        <v/>
      </c>
      <c r="M136" s="26">
        <f>IF(J136="","",(J136-G136)/G136)</f>
        <v/>
      </c>
      <c r="N136" s="27">
        <f>IF(H136="","",IF(D136="HOLD",IF(ABS(K136)&lt;0.03,"YES","NO"),IF(D136="BUY",IF(K136&gt;0,"YES","NO"),IF(D136="SELL",IF(K136&lt;0,"YES","NO"),""))))</f>
        <v/>
      </c>
    </row>
    <row r="137" ht="15" customHeight="1">
      <c r="A137" s="12" t="n">
        <v>46168</v>
      </c>
      <c r="B137" s="13" t="inlineStr">
        <is>
          <t>PM</t>
        </is>
      </c>
      <c r="C137" s="13" t="inlineStr">
        <is>
          <t>Roth IRA</t>
        </is>
      </c>
      <c r="D137" s="13" t="inlineStr">
        <is>
          <t>HOLD</t>
        </is>
      </c>
      <c r="E137" s="14" t="n">
        <v>0.62</v>
      </c>
      <c r="F137" s="13" t="inlineStr">
        <is>
          <t>HIGH</t>
        </is>
      </c>
      <c r="G137" s="15" t="n">
        <v>184.0365</v>
      </c>
      <c r="H137" s="16" t="n">
        <v>173.66</v>
      </c>
      <c r="I137" s="16" t="n">
        <v>178.49</v>
      </c>
      <c r="K137" s="26">
        <f>IF(H137="","",(H137-G137)/G137)</f>
        <v/>
      </c>
      <c r="L137" s="26">
        <f>IF(I137="","",(I137-G137)/G137)</f>
        <v/>
      </c>
      <c r="M137" s="26">
        <f>IF(J137="","",(J137-G137)/G137)</f>
        <v/>
      </c>
      <c r="N137" s="27">
        <f>IF(H137="","",IF(D137="HOLD",IF(ABS(K137)&lt;0.03,"YES","NO"),IF(D137="BUY",IF(K137&gt;0,"YES","NO"),IF(D137="SELL",IF(K137&lt;0,"YES","NO"),""))))</f>
        <v/>
      </c>
    </row>
    <row r="138" ht="15" customHeight="1">
      <c r="A138" s="12" t="n">
        <v>46168</v>
      </c>
      <c r="B138" s="13" t="inlineStr">
        <is>
          <t>PWR</t>
        </is>
      </c>
      <c r="C138" s="13" t="inlineStr">
        <is>
          <t>Roth IRA</t>
        </is>
      </c>
      <c r="D138" s="13" t="inlineStr">
        <is>
          <t>HOLD</t>
        </is>
      </c>
      <c r="E138" s="14" t="n">
        <v>0.62</v>
      </c>
      <c r="F138" s="13" t="inlineStr">
        <is>
          <t>HIGH</t>
        </is>
      </c>
      <c r="G138" s="15" t="n">
        <v>748.17</v>
      </c>
      <c r="H138" s="16" t="n">
        <v>706.0599999999999</v>
      </c>
      <c r="I138" s="16" t="n">
        <v>691.95</v>
      </c>
      <c r="K138" s="26">
        <f>IF(H138="","",(H138-G138)/G138)</f>
        <v/>
      </c>
      <c r="L138" s="26">
        <f>IF(I138="","",(I138-G138)/G138)</f>
        <v/>
      </c>
      <c r="M138" s="26">
        <f>IF(J138="","",(J138-G138)/G138)</f>
        <v/>
      </c>
      <c r="N138" s="27">
        <f>IF(H138="","",IF(D138="HOLD",IF(ABS(K138)&lt;0.03,"YES","NO"),IF(D138="BUY",IF(K138&gt;0,"YES","NO"),IF(D138="SELL",IF(K138&lt;0,"YES","NO"),""))))</f>
        <v/>
      </c>
    </row>
    <row r="139" ht="15" customHeight="1">
      <c r="A139" s="12" t="n">
        <v>46168</v>
      </c>
      <c r="B139" s="13" t="inlineStr">
        <is>
          <t>RTX</t>
        </is>
      </c>
      <c r="C139" s="13" t="inlineStr">
        <is>
          <t>Individual</t>
        </is>
      </c>
      <c r="D139" s="13" t="inlineStr">
        <is>
          <t>HOLD</t>
        </is>
      </c>
      <c r="E139" s="14" t="n">
        <v>0.55</v>
      </c>
      <c r="F139" s="13" t="inlineStr">
        <is>
          <t>MEDIUM</t>
        </is>
      </c>
      <c r="G139" s="15" t="n">
        <v>177.56</v>
      </c>
      <c r="H139" s="16" t="n">
        <v>174.26</v>
      </c>
      <c r="I139" s="16" t="n">
        <v>181.56</v>
      </c>
      <c r="K139" s="26">
        <f>IF(H139="","",(H139-G139)/G139)</f>
        <v/>
      </c>
      <c r="L139" s="26">
        <f>IF(I139="","",(I139-G139)/G139)</f>
        <v/>
      </c>
      <c r="M139" s="26">
        <f>IF(J139="","",(J139-G139)/G139)</f>
        <v/>
      </c>
      <c r="N139" s="27">
        <f>IF(H139="","",IF(D139="HOLD",IF(ABS(K139)&lt;0.03,"YES","NO"),IF(D139="BUY",IF(K139&gt;0,"YES","NO"),IF(D139="SELL",IF(K139&lt;0,"YES","NO"),""))))</f>
        <v/>
      </c>
    </row>
    <row r="140" ht="15" customHeight="1">
      <c r="A140" s="12" t="n">
        <v>46168</v>
      </c>
      <c r="B140" s="13" t="inlineStr">
        <is>
          <t>SCHD</t>
        </is>
      </c>
      <c r="C140" s="13" t="inlineStr">
        <is>
          <t>Roth IRA</t>
        </is>
      </c>
      <c r="D140" s="13" t="inlineStr">
        <is>
          <t>HOLD</t>
        </is>
      </c>
      <c r="E140" s="14" t="n">
        <v>0.65</v>
      </c>
      <c r="F140" s="13" t="inlineStr">
        <is>
          <t>HIGH</t>
        </is>
      </c>
      <c r="G140" s="15" t="n">
        <v>32.725</v>
      </c>
      <c r="H140" s="16" t="n">
        <v>32.37</v>
      </c>
      <c r="I140" s="16" t="n">
        <v>32.39</v>
      </c>
      <c r="K140" s="26">
        <f>IF(H140="","",(H140-G140)/G140)</f>
        <v/>
      </c>
      <c r="L140" s="26">
        <f>IF(I140="","",(I140-G140)/G140)</f>
        <v/>
      </c>
      <c r="M140" s="26">
        <f>IF(J140="","",(J140-G140)/G140)</f>
        <v/>
      </c>
      <c r="N140" s="27">
        <f>IF(H140="","",IF(D140="HOLD",IF(ABS(K140)&lt;0.03,"YES","NO"),IF(D140="BUY",IF(K140&gt;0,"YES","NO"),IF(D140="SELL",IF(K140&lt;0,"YES","NO"),""))))</f>
        <v/>
      </c>
    </row>
    <row r="141" ht="15" customHeight="1">
      <c r="A141" s="12" t="n">
        <v>46168</v>
      </c>
      <c r="B141" s="13" t="inlineStr">
        <is>
          <t>SND</t>
        </is>
      </c>
      <c r="C141" s="13" t="inlineStr">
        <is>
          <t>Individual</t>
        </is>
      </c>
      <c r="D141" s="13" t="inlineStr">
        <is>
          <t>HOLD</t>
        </is>
      </c>
      <c r="E141" s="14" t="n">
        <v>0.42</v>
      </c>
      <c r="F141" s="13" t="inlineStr">
        <is>
          <t>MEDIUM</t>
        </is>
      </c>
      <c r="G141" s="15" t="n">
        <v>4.93</v>
      </c>
      <c r="H141" s="16" t="n">
        <v>4.91</v>
      </c>
      <c r="I141" s="16" t="n">
        <v>5.36</v>
      </c>
      <c r="K141" s="26">
        <f>IF(H141="","",(H141-G141)/G141)</f>
        <v/>
      </c>
      <c r="L141" s="26">
        <f>IF(I141="","",(I141-G141)/G141)</f>
        <v/>
      </c>
      <c r="M141" s="26">
        <f>IF(J141="","",(J141-G141)/G141)</f>
        <v/>
      </c>
      <c r="N141" s="27">
        <f>IF(H141="","",IF(D141="HOLD",IF(ABS(K141)&lt;0.03,"YES","NO"),IF(D141="BUY",IF(K141&gt;0,"YES","NO"),IF(D141="SELL",IF(K141&lt;0,"YES","NO"),""))))</f>
        <v/>
      </c>
    </row>
    <row r="142" ht="15" customHeight="1">
      <c r="A142" s="12" t="n">
        <v>46168</v>
      </c>
      <c r="B142" s="13" t="inlineStr">
        <is>
          <t>WMT</t>
        </is>
      </c>
      <c r="C142" s="13" t="inlineStr">
        <is>
          <t>Roth IRA,Individual</t>
        </is>
      </c>
      <c r="D142" s="13" t="inlineStr">
        <is>
          <t>HOLD</t>
        </is>
      </c>
      <c r="E142" s="14" t="n">
        <v>0.52</v>
      </c>
      <c r="F142" s="13" t="inlineStr">
        <is>
          <t>HIGH</t>
        </is>
      </c>
      <c r="G142" s="15" t="n">
        <v>118.87</v>
      </c>
      <c r="H142" s="16" t="n">
        <v>113.06</v>
      </c>
      <c r="I142" s="16" t="n">
        <v>118.88</v>
      </c>
      <c r="K142" s="26">
        <f>IF(H142="","",(H142-G142)/G142)</f>
        <v/>
      </c>
      <c r="L142" s="26">
        <f>IF(I142="","",(I142-G142)/G142)</f>
        <v/>
      </c>
      <c r="M142" s="26">
        <f>IF(J142="","",(J142-G142)/G142)</f>
        <v/>
      </c>
      <c r="N142" s="27">
        <f>IF(H142="","",IF(D142="HOLD",IF(ABS(K142)&lt;0.03,"YES","NO"),IF(D142="BUY",IF(K142&gt;0,"YES","NO"),IF(D142="SELL",IF(K142&lt;0,"YES","NO"),""))))</f>
        <v/>
      </c>
    </row>
    <row r="143" ht="15" customHeight="1">
      <c r="A143" s="12" t="n">
        <v>46168</v>
      </c>
      <c r="B143" s="13" t="inlineStr">
        <is>
          <t>XLU</t>
        </is>
      </c>
      <c r="C143" s="13" t="inlineStr">
        <is>
          <t>Roth IRA</t>
        </is>
      </c>
      <c r="D143" s="13" t="inlineStr">
        <is>
          <t>HOLD</t>
        </is>
      </c>
      <c r="E143" s="14" t="n">
        <v>0.58</v>
      </c>
      <c r="F143" s="13" t="inlineStr">
        <is>
          <t>MEDIUM</t>
        </is>
      </c>
      <c r="G143" s="15" t="n">
        <v>45.51</v>
      </c>
      <c r="H143" s="16" t="n">
        <v>43.9</v>
      </c>
      <c r="I143" s="16" t="n">
        <v>43.98</v>
      </c>
      <c r="K143" s="26">
        <f>IF(H143="","",(H143-G143)/G143)</f>
        <v/>
      </c>
      <c r="L143" s="26">
        <f>IF(I143="","",(I143-G143)/G143)</f>
        <v/>
      </c>
      <c r="M143" s="26">
        <f>IF(J143="","",(J143-G143)/G143)</f>
        <v/>
      </c>
      <c r="N143" s="27">
        <f>IF(H143="","",IF(D143="HOLD",IF(ABS(K143)&lt;0.03,"YES","NO"),IF(D143="BUY",IF(K143&gt;0,"YES","NO"),IF(D143="SELL",IF(K143&lt;0,"YES","NO"),""))))</f>
        <v/>
      </c>
    </row>
    <row r="144" ht="15" customHeight="1">
      <c r="A144" s="12" t="n">
        <v>46168</v>
      </c>
      <c r="B144" s="13" t="inlineStr">
        <is>
          <t>SPY</t>
        </is>
      </c>
      <c r="C144" s="13" t="inlineStr">
        <is>
          <t>Scout</t>
        </is>
      </c>
      <c r="D144" s="13" t="inlineStr">
        <is>
          <t>HOLD</t>
        </is>
      </c>
      <c r="E144" s="14" t="n">
        <v>0.52</v>
      </c>
      <c r="F144" s="13" t="inlineStr">
        <is>
          <t>MEDIUM</t>
        </is>
      </c>
      <c r="G144" s="15" t="n">
        <v>751.95</v>
      </c>
      <c r="H144" s="16" t="n">
        <v>759.5700000000001</v>
      </c>
      <c r="I144" s="16" t="n">
        <v>737.05</v>
      </c>
      <c r="K144" s="26">
        <f>IF(H144="","",(H144-G144)/G144)</f>
        <v/>
      </c>
      <c r="L144" s="26">
        <f>IF(I144="","",(I144-G144)/G144)</f>
        <v/>
      </c>
      <c r="M144" s="26">
        <f>IF(J144="","",(J144-G144)/G144)</f>
        <v/>
      </c>
      <c r="N144" s="27">
        <f>IF(H144="","",IF(D144="HOLD",IF(ABS(K144)&lt;0.03,"YES","NO"),IF(D144="BUY",IF(K144&gt;0,"YES","NO"),IF(D144="SELL",IF(K144&lt;0,"YES","NO"),""))))</f>
        <v/>
      </c>
    </row>
    <row r="145" ht="15" customHeight="1">
      <c r="A145" s="12" t="n">
        <v>46168</v>
      </c>
      <c r="B145" s="13" t="inlineStr">
        <is>
          <t>QQQ</t>
        </is>
      </c>
      <c r="C145" s="13" t="inlineStr">
        <is>
          <t>Scout</t>
        </is>
      </c>
      <c r="D145" s="13" t="inlineStr">
        <is>
          <t>HOLD</t>
        </is>
      </c>
      <c r="E145" s="14" t="n">
        <v>0.52</v>
      </c>
      <c r="F145" s="13" t="inlineStr">
        <is>
          <t>MEDIUM</t>
        </is>
      </c>
      <c r="G145" s="15" t="n">
        <v>730.6799999999999</v>
      </c>
      <c r="H145" s="16" t="n">
        <v>746.16</v>
      </c>
      <c r="I145" s="16" t="n">
        <v>707.83</v>
      </c>
      <c r="K145" s="26">
        <f>IF(H145="","",(H145-G145)/G145)</f>
        <v/>
      </c>
      <c r="L145" s="26">
        <f>IF(I145="","",(I145-G145)/G145)</f>
        <v/>
      </c>
      <c r="M145" s="26">
        <f>IF(J145="","",(J145-G145)/G145)</f>
        <v/>
      </c>
      <c r="N145" s="27">
        <f>IF(H145="","",IF(D145="HOLD",IF(ABS(K145)&lt;0.03,"YES","NO"),IF(D145="BUY",IF(K145&gt;0,"YES","NO"),IF(D145="SELL",IF(K145&lt;0,"YES","NO"),""))))</f>
        <v/>
      </c>
    </row>
    <row r="146" ht="15" customHeight="1">
      <c r="A146" s="12" t="n">
        <v>46168</v>
      </c>
      <c r="B146" s="13" t="inlineStr">
        <is>
          <t>VTI</t>
        </is>
      </c>
      <c r="C146" s="13" t="inlineStr">
        <is>
          <t>Scout</t>
        </is>
      </c>
      <c r="D146" s="13" t="inlineStr">
        <is>
          <t>BUY</t>
        </is>
      </c>
      <c r="E146" s="14" t="n">
        <v>0.68</v>
      </c>
      <c r="F146" s="13" t="inlineStr">
        <is>
          <t>HIGH</t>
        </is>
      </c>
      <c r="G146" s="15" t="n">
        <v>370.15</v>
      </c>
      <c r="H146" s="16" t="n">
        <v>374.36</v>
      </c>
      <c r="I146" s="16" t="n">
        <v>363.67</v>
      </c>
      <c r="K146" s="26">
        <f>IF(H146="","",(H146-G146)/G146)</f>
        <v/>
      </c>
      <c r="L146" s="26">
        <f>IF(I146="","",(I146-G146)/G146)</f>
        <v/>
      </c>
      <c r="M146" s="26">
        <f>IF(J146="","",(J146-G146)/G146)</f>
        <v/>
      </c>
      <c r="N146" s="27">
        <f>IF(H146="","",IF(D146="HOLD",IF(ABS(K146)&lt;0.03,"YES","NO"),IF(D146="BUY",IF(K146&gt;0,"YES","NO"),IF(D146="SELL",IF(K146&lt;0,"YES","NO"),""))))</f>
        <v/>
      </c>
    </row>
    <row r="147" ht="15" customHeight="1">
      <c r="A147" s="12" t="n">
        <v>46168</v>
      </c>
      <c r="B147" s="13" t="inlineStr">
        <is>
          <t>NVDA</t>
        </is>
      </c>
      <c r="C147" s="13" t="inlineStr">
        <is>
          <t>Scout</t>
        </is>
      </c>
      <c r="D147" s="13" t="inlineStr">
        <is>
          <t>HOLD</t>
        </is>
      </c>
      <c r="E147" s="14" t="n">
        <v>0.52</v>
      </c>
      <c r="F147" s="13" t="inlineStr">
        <is>
          <t>MEDIUM</t>
        </is>
      </c>
      <c r="G147" s="15" t="n">
        <v>217.05</v>
      </c>
      <c r="H147" s="16" t="n">
        <v>222.82</v>
      </c>
      <c r="I147" s="16" t="n">
        <v>208.19</v>
      </c>
      <c r="K147" s="26">
        <f>IF(H147="","",(H147-G147)/G147)</f>
        <v/>
      </c>
      <c r="L147" s="26">
        <f>IF(I147="","",(I147-G147)/G147)</f>
        <v/>
      </c>
      <c r="M147" s="26">
        <f>IF(J147="","",(J147-G147)/G147)</f>
        <v/>
      </c>
      <c r="N147" s="27">
        <f>IF(H147="","",IF(D147="HOLD",IF(ABS(K147)&lt;0.03,"YES","NO"),IF(D147="BUY",IF(K147&gt;0,"YES","NO"),IF(D147="SELL",IF(K147&lt;0,"YES","NO"),""))))</f>
        <v/>
      </c>
    </row>
    <row r="148" ht="15" customHeight="1">
      <c r="A148" s="12" t="n">
        <v>46168</v>
      </c>
      <c r="B148" s="13" t="inlineStr">
        <is>
          <t>GLD</t>
        </is>
      </c>
      <c r="C148" s="13" t="inlineStr">
        <is>
          <t>Scout</t>
        </is>
      </c>
      <c r="D148" s="13" t="inlineStr">
        <is>
          <t>HOLD</t>
        </is>
      </c>
      <c r="E148" s="14" t="n">
        <v>0.52</v>
      </c>
      <c r="F148" s="13" t="inlineStr">
        <is>
          <t>HIGH</t>
        </is>
      </c>
      <c r="G148" s="15" t="n">
        <v>414.98</v>
      </c>
      <c r="H148" s="16" t="n">
        <v>411.95</v>
      </c>
      <c r="I148" s="16" t="n">
        <v>390.78</v>
      </c>
      <c r="K148" s="26">
        <f>IF(H148="","",(H148-G148)/G148)</f>
        <v/>
      </c>
      <c r="L148" s="26">
        <f>IF(I148="","",(I148-G148)/G148)</f>
        <v/>
      </c>
      <c r="M148" s="26">
        <f>IF(J148="","",(J148-G148)/G148)</f>
        <v/>
      </c>
      <c r="N148" s="27">
        <f>IF(H148="","",IF(D148="HOLD",IF(ABS(K148)&lt;0.03,"YES","NO"),IF(D148="BUY",IF(K148&gt;0,"YES","NO"),IF(D148="SELL",IF(K148&lt;0,"YES","NO"),""))))</f>
        <v/>
      </c>
    </row>
    <row r="149" ht="15" customHeight="1">
      <c r="A149" s="12" t="n">
        <v>46169</v>
      </c>
      <c r="B149" s="13" t="inlineStr">
        <is>
          <t>AAPL</t>
        </is>
      </c>
      <c r="C149" s="13" t="inlineStr">
        <is>
          <t>Roth IRA</t>
        </is>
      </c>
      <c r="D149" s="13" t="inlineStr">
        <is>
          <t>HOLD</t>
        </is>
      </c>
      <c r="E149" s="14" t="n">
        <v>0.52</v>
      </c>
      <c r="F149" s="13" t="inlineStr">
        <is>
          <t>MEDIUM</t>
        </is>
      </c>
      <c r="G149" s="15" t="n">
        <v>312.32</v>
      </c>
      <c r="H149" s="16" t="n">
        <v>310.26</v>
      </c>
      <c r="I149" s="16" t="n">
        <v>291.58</v>
      </c>
      <c r="K149" s="26">
        <f>IF(H149="","",(H149-G149)/G149)</f>
        <v/>
      </c>
      <c r="L149" s="26">
        <f>IF(I149="","",(I149-G149)/G149)</f>
        <v/>
      </c>
      <c r="M149" s="26">
        <f>IF(J149="","",(J149-G149)/G149)</f>
        <v/>
      </c>
      <c r="N149" s="27">
        <f>IF(H149="","",IF(D149="HOLD",IF(ABS(K149)&lt;0.03,"YES","NO"),IF(D149="BUY",IF(K149&gt;0,"YES","NO"),IF(D149="SELL",IF(K149&lt;0,"YES","NO"),""))))</f>
        <v/>
      </c>
    </row>
    <row r="150" ht="15" customHeight="1">
      <c r="A150" s="12" t="n">
        <v>46169</v>
      </c>
      <c r="B150" s="13" t="inlineStr">
        <is>
          <t>AG</t>
        </is>
      </c>
      <c r="C150" s="13" t="inlineStr">
        <is>
          <t>Individual</t>
        </is>
      </c>
      <c r="D150" s="13" t="inlineStr">
        <is>
          <t>HOLD</t>
        </is>
      </c>
      <c r="E150" s="14" t="n">
        <v>0.42</v>
      </c>
      <c r="F150" s="13" t="inlineStr">
        <is>
          <t>MEDIUM</t>
        </is>
      </c>
      <c r="G150" s="15" t="n">
        <v>19.7499</v>
      </c>
      <c r="H150" s="16" t="n">
        <v>19.77</v>
      </c>
      <c r="I150" s="16" t="n">
        <v>15.71</v>
      </c>
      <c r="K150" s="26">
        <f>IF(H150="","",(H150-G150)/G150)</f>
        <v/>
      </c>
      <c r="L150" s="26">
        <f>IF(I150="","",(I150-G150)/G150)</f>
        <v/>
      </c>
      <c r="M150" s="26">
        <f>IF(J150="","",(J150-G150)/G150)</f>
        <v/>
      </c>
      <c r="N150" s="27">
        <f>IF(H150="","",IF(D150="HOLD",IF(ABS(K150)&lt;0.03,"YES","NO"),IF(D150="BUY",IF(K150&gt;0,"YES","NO"),IF(D150="SELL",IF(K150&lt;0,"YES","NO"),""))))</f>
        <v/>
      </c>
    </row>
    <row r="151" ht="15" customHeight="1">
      <c r="A151" s="12" t="n">
        <v>46169</v>
      </c>
      <c r="B151" s="13" t="inlineStr">
        <is>
          <t>AIQ</t>
        </is>
      </c>
      <c r="C151" s="13" t="inlineStr">
        <is>
          <t>Roth IRA,Individual</t>
        </is>
      </c>
      <c r="D151" s="13" t="inlineStr">
        <is>
          <t>HOLD</t>
        </is>
      </c>
      <c r="E151" s="14" t="n">
        <v>0.62</v>
      </c>
      <c r="F151" s="13" t="inlineStr">
        <is>
          <t>HIGH</t>
        </is>
      </c>
      <c r="G151" s="15" t="n">
        <v>64.98</v>
      </c>
      <c r="H151" s="16" t="n">
        <v>69.16</v>
      </c>
      <c r="I151" s="16" t="n">
        <v>61.36</v>
      </c>
      <c r="K151" s="26">
        <f>IF(H151="","",(H151-G151)/G151)</f>
        <v/>
      </c>
      <c r="L151" s="26">
        <f>IF(I151="","",(I151-G151)/G151)</f>
        <v/>
      </c>
      <c r="M151" s="26">
        <f>IF(J151="","",(J151-G151)/G151)</f>
        <v/>
      </c>
      <c r="N151" s="27">
        <f>IF(H151="","",IF(D151="HOLD",IF(ABS(K151)&lt;0.03,"YES","NO"),IF(D151="BUY",IF(K151&gt;0,"YES","NO"),IF(D151="SELL",IF(K151&lt;0,"YES","NO"),""))))</f>
        <v/>
      </c>
    </row>
    <row r="152" ht="15" customHeight="1">
      <c r="A152" s="12" t="n">
        <v>46169</v>
      </c>
      <c r="B152" s="13" t="inlineStr">
        <is>
          <t>CBRS</t>
        </is>
      </c>
      <c r="C152" s="13" t="inlineStr">
        <is>
          <t>Individual</t>
        </is>
      </c>
      <c r="D152" s="13" t="inlineStr">
        <is>
          <t>HOLD</t>
        </is>
      </c>
      <c r="E152" s="14" t="n">
        <v>0.42</v>
      </c>
      <c r="F152" s="13" t="inlineStr">
        <is>
          <t>LOW</t>
        </is>
      </c>
      <c r="G152" s="15" t="n">
        <v>258.4</v>
      </c>
      <c r="H152" s="16" t="n">
        <v>214.94</v>
      </c>
      <c r="I152" s="16" t="n">
        <v>237.33</v>
      </c>
      <c r="K152" s="26">
        <f>IF(H152="","",(H152-G152)/G152)</f>
        <v/>
      </c>
      <c r="L152" s="26">
        <f>IF(I152="","",(I152-G152)/G152)</f>
        <v/>
      </c>
      <c r="M152" s="26">
        <f>IF(J152="","",(J152-G152)/G152)</f>
        <v/>
      </c>
      <c r="N152" s="27">
        <f>IF(H152="","",IF(D152="HOLD",IF(ABS(K152)&lt;0.03,"YES","NO"),IF(D152="BUY",IF(K152&gt;0,"YES","NO"),IF(D152="SELL",IF(K152&lt;0,"YES","NO"),""))))</f>
        <v/>
      </c>
    </row>
    <row r="153" ht="15" customHeight="1">
      <c r="A153" s="12" t="n">
        <v>46169</v>
      </c>
      <c r="B153" s="13" t="inlineStr">
        <is>
          <t>CORN</t>
        </is>
      </c>
      <c r="C153" s="13" t="inlineStr">
        <is>
          <t>Individual</t>
        </is>
      </c>
      <c r="D153" s="13" t="inlineStr">
        <is>
          <t>HOLD</t>
        </is>
      </c>
      <c r="E153" s="14" t="n">
        <v>0.45</v>
      </c>
      <c r="F153" s="13" t="inlineStr">
        <is>
          <t>MEDIUM</t>
        </is>
      </c>
      <c r="G153" s="15" t="n">
        <v>18.155</v>
      </c>
      <c r="H153" s="16" t="n">
        <v>17.47</v>
      </c>
      <c r="I153" s="16" t="n">
        <v>17.07</v>
      </c>
      <c r="K153" s="26">
        <f>IF(H153="","",(H153-G153)/G153)</f>
        <v/>
      </c>
      <c r="L153" s="26">
        <f>IF(I153="","",(I153-G153)/G153)</f>
        <v/>
      </c>
      <c r="M153" s="26">
        <f>IF(J153="","",(J153-G153)/G153)</f>
        <v/>
      </c>
      <c r="N153" s="27">
        <f>IF(H153="","",IF(D153="HOLD",IF(ABS(K153)&lt;0.03,"YES","NO"),IF(D153="BUY",IF(K153&gt;0,"YES","NO"),IF(D153="SELL",IF(K153&lt;0,"YES","NO"),""))))</f>
        <v/>
      </c>
    </row>
    <row r="154" ht="15" customHeight="1">
      <c r="A154" s="12" t="n">
        <v>46169</v>
      </c>
      <c r="B154" s="13" t="inlineStr">
        <is>
          <t>DOW</t>
        </is>
      </c>
      <c r="C154" s="13" t="inlineStr">
        <is>
          <t>Roth IRA,Individual</t>
        </is>
      </c>
      <c r="D154" s="13" t="inlineStr">
        <is>
          <t>HOLD</t>
        </is>
      </c>
      <c r="E154" s="14" t="n">
        <v>0.42</v>
      </c>
      <c r="F154" s="13" t="inlineStr">
        <is>
          <t>MEDIUM</t>
        </is>
      </c>
      <c r="G154" s="15" t="n">
        <v>34.6401</v>
      </c>
      <c r="H154" s="16" t="n">
        <v>35.4</v>
      </c>
      <c r="I154" s="16" t="n">
        <v>34.24</v>
      </c>
      <c r="K154" s="26">
        <f>IF(H154="","",(H154-G154)/G154)</f>
        <v/>
      </c>
      <c r="L154" s="26">
        <f>IF(I154="","",(I154-G154)/G154)</f>
        <v/>
      </c>
      <c r="M154" s="26">
        <f>IF(J154="","",(J154-G154)/G154)</f>
        <v/>
      </c>
      <c r="N154" s="27">
        <f>IF(H154="","",IF(D154="HOLD",IF(ABS(K154)&lt;0.03,"YES","NO"),IF(D154="BUY",IF(K154&gt;0,"YES","NO"),IF(D154="SELL",IF(K154&lt;0,"YES","NO"),""))))</f>
        <v/>
      </c>
    </row>
    <row r="155" ht="15" customHeight="1">
      <c r="A155" s="12" t="n">
        <v>46169</v>
      </c>
      <c r="B155" s="13" t="inlineStr">
        <is>
          <t>FTI</t>
        </is>
      </c>
      <c r="C155" s="13" t="inlineStr">
        <is>
          <t>Individual</t>
        </is>
      </c>
      <c r="D155" s="13" t="inlineStr">
        <is>
          <t>HOLD</t>
        </is>
      </c>
      <c r="E155" s="14" t="n">
        <v>0.52</v>
      </c>
      <c r="F155" s="13" t="inlineStr">
        <is>
          <t>MEDIUM</t>
        </is>
      </c>
      <c r="G155" s="15" t="n">
        <v>66.09999999999999</v>
      </c>
      <c r="H155" s="16" t="n">
        <v>67.94</v>
      </c>
      <c r="I155" s="16" t="n">
        <v>69.95</v>
      </c>
      <c r="K155" s="26">
        <f>IF(H155="","",(H155-G155)/G155)</f>
        <v/>
      </c>
      <c r="L155" s="26">
        <f>IF(I155="","",(I155-G155)/G155)</f>
        <v/>
      </c>
      <c r="M155" s="26">
        <f>IF(J155="","",(J155-G155)/G155)</f>
        <v/>
      </c>
      <c r="N155" s="27">
        <f>IF(H155="","",IF(D155="HOLD",IF(ABS(K155)&lt;0.03,"YES","NO"),IF(D155="BUY",IF(K155&gt;0,"YES","NO"),IF(D155="SELL",IF(K155&lt;0,"YES","NO"),""))))</f>
        <v/>
      </c>
    </row>
    <row r="156" ht="15" customHeight="1">
      <c r="A156" s="12" t="n">
        <v>46169</v>
      </c>
      <c r="B156" s="13" t="inlineStr">
        <is>
          <t>GM</t>
        </is>
      </c>
      <c r="C156" s="13" t="inlineStr">
        <is>
          <t>Roth IRA,Individual</t>
        </is>
      </c>
      <c r="D156" s="13" t="inlineStr">
        <is>
          <t>HOLD</t>
        </is>
      </c>
      <c r="E156" s="14" t="n">
        <v>0.62</v>
      </c>
      <c r="F156" s="13" t="inlineStr">
        <is>
          <t>HIGH</t>
        </is>
      </c>
      <c r="G156" s="15" t="n">
        <v>83.55</v>
      </c>
      <c r="H156" s="16" t="n">
        <v>81.7</v>
      </c>
      <c r="I156" s="16" t="n">
        <v>79.40000000000001</v>
      </c>
      <c r="K156" s="26">
        <f>IF(H156="","",(H156-G156)/G156)</f>
        <v/>
      </c>
      <c r="L156" s="26">
        <f>IF(I156="","",(I156-G156)/G156)</f>
        <v/>
      </c>
      <c r="M156" s="26">
        <f>IF(J156="","",(J156-G156)/G156)</f>
        <v/>
      </c>
      <c r="N156" s="27">
        <f>IF(H156="","",IF(D156="HOLD",IF(ABS(K156)&lt;0.03,"YES","NO"),IF(D156="BUY",IF(K156&gt;0,"YES","NO"),IF(D156="SELL",IF(K156&lt;0,"YES","NO"),""))))</f>
        <v/>
      </c>
    </row>
    <row r="157" ht="15" customHeight="1">
      <c r="A157" s="12" t="n">
        <v>46169</v>
      </c>
      <c r="B157" s="13" t="inlineStr">
        <is>
          <t>JPM</t>
        </is>
      </c>
      <c r="C157" s="13" t="inlineStr">
        <is>
          <t>Roth IRA</t>
        </is>
      </c>
      <c r="D157" s="13" t="inlineStr">
        <is>
          <t>HOLD</t>
        </is>
      </c>
      <c r="E157" s="14" t="n">
        <v>0.55</v>
      </c>
      <c r="F157" s="13" t="inlineStr">
        <is>
          <t>HIGH</t>
        </is>
      </c>
      <c r="G157" s="15" t="n">
        <v>302.385</v>
      </c>
      <c r="H157" s="16" t="n">
        <v>300.85</v>
      </c>
      <c r="I157" s="16" t="n">
        <v>309.14</v>
      </c>
      <c r="K157" s="26">
        <f>IF(H157="","",(H157-G157)/G157)</f>
        <v/>
      </c>
      <c r="L157" s="26">
        <f>IF(I157="","",(I157-G157)/G157)</f>
        <v/>
      </c>
      <c r="M157" s="26">
        <f>IF(J157="","",(J157-G157)/G157)</f>
        <v/>
      </c>
      <c r="N157" s="27">
        <f>IF(H157="","",IF(D157="HOLD",IF(ABS(K157)&lt;0.03,"YES","NO"),IF(D157="BUY",IF(K157&gt;0,"YES","NO"),IF(D157="SELL",IF(K157&lt;0,"YES","NO"),""))))</f>
        <v/>
      </c>
    </row>
    <row r="158" ht="15" customHeight="1">
      <c r="A158" s="12" t="n">
        <v>46169</v>
      </c>
      <c r="B158" s="13" t="inlineStr">
        <is>
          <t>MSFT</t>
        </is>
      </c>
      <c r="C158" s="13" t="inlineStr">
        <is>
          <t>Roth IRA,Individual</t>
        </is>
      </c>
      <c r="D158" s="13" t="inlineStr">
        <is>
          <t>HOLD</t>
        </is>
      </c>
      <c r="E158" s="14" t="n">
        <v>0.55</v>
      </c>
      <c r="F158" s="13" t="inlineStr">
        <is>
          <t>MEDIUM</t>
        </is>
      </c>
      <c r="G158" s="15" t="n">
        <v>414.33</v>
      </c>
      <c r="H158" s="16" t="n">
        <v>427.34</v>
      </c>
      <c r="I158" s="16" t="n">
        <v>397.36</v>
      </c>
      <c r="K158" s="26">
        <f>IF(H158="","",(H158-G158)/G158)</f>
        <v/>
      </c>
      <c r="L158" s="26">
        <f>IF(I158="","",(I158-G158)/G158)</f>
        <v/>
      </c>
      <c r="M158" s="26">
        <f>IF(J158="","",(J158-G158)/G158)</f>
        <v/>
      </c>
      <c r="N158" s="27">
        <f>IF(H158="","",IF(D158="HOLD",IF(ABS(K158)&lt;0.03,"YES","NO"),IF(D158="BUY",IF(K158&gt;0,"YES","NO"),IF(D158="SELL",IF(K158&lt;0,"YES","NO"),""))))</f>
        <v/>
      </c>
    </row>
    <row r="159" ht="15" customHeight="1">
      <c r="A159" s="12" t="n">
        <v>46169</v>
      </c>
      <c r="B159" s="13" t="inlineStr">
        <is>
          <t>NKE</t>
        </is>
      </c>
      <c r="C159" s="13" t="inlineStr">
        <is>
          <t>Roth IRA</t>
        </is>
      </c>
      <c r="D159" s="13" t="inlineStr">
        <is>
          <t>HOLD</t>
        </is>
      </c>
      <c r="E159" s="14" t="n">
        <v>0.52</v>
      </c>
      <c r="F159" s="13" t="inlineStr">
        <is>
          <t>MEDIUM</t>
        </is>
      </c>
      <c r="G159" s="15" t="n">
        <v>46.13</v>
      </c>
      <c r="H159" s="16" t="n">
        <v>43.81</v>
      </c>
      <c r="I159" s="16" t="n">
        <v>43.96</v>
      </c>
      <c r="K159" s="26">
        <f>IF(H159="","",(H159-G159)/G159)</f>
        <v/>
      </c>
      <c r="L159" s="26">
        <f>IF(I159="","",(I159-G159)/G159)</f>
        <v/>
      </c>
      <c r="M159" s="26">
        <f>IF(J159="","",(J159-G159)/G159)</f>
        <v/>
      </c>
      <c r="N159" s="27">
        <f>IF(H159="","",IF(D159="HOLD",IF(ABS(K159)&lt;0.03,"YES","NO"),IF(D159="BUY",IF(K159&gt;0,"YES","NO"),IF(D159="SELL",IF(K159&lt;0,"YES","NO"),""))))</f>
        <v/>
      </c>
    </row>
    <row r="160" ht="15" customHeight="1">
      <c r="A160" s="12" t="n">
        <v>46169</v>
      </c>
      <c r="B160" s="13" t="inlineStr">
        <is>
          <t>NTR</t>
        </is>
      </c>
      <c r="C160" s="13" t="inlineStr">
        <is>
          <t>Roth IRA,Individual</t>
        </is>
      </c>
      <c r="D160" s="13" t="inlineStr">
        <is>
          <t>HOLD</t>
        </is>
      </c>
      <c r="E160" s="14" t="n">
        <v>0.52</v>
      </c>
      <c r="F160" s="13" t="inlineStr">
        <is>
          <t>MEDIUM</t>
        </is>
      </c>
      <c r="G160" s="15" t="n">
        <v>68.72499999999999</v>
      </c>
      <c r="H160" s="16" t="n">
        <v>68.81</v>
      </c>
      <c r="I160" s="16" t="n">
        <v>65.03</v>
      </c>
      <c r="K160" s="26">
        <f>IF(H160="","",(H160-G160)/G160)</f>
        <v/>
      </c>
      <c r="L160" s="26">
        <f>IF(I160="","",(I160-G160)/G160)</f>
        <v/>
      </c>
      <c r="M160" s="26">
        <f>IF(J160="","",(J160-G160)/G160)</f>
        <v/>
      </c>
      <c r="N160" s="27">
        <f>IF(H160="","",IF(D160="HOLD",IF(ABS(K160)&lt;0.03,"YES","NO"),IF(D160="BUY",IF(K160&gt;0,"YES","NO"),IF(D160="SELL",IF(K160&lt;0,"YES","NO"),""))))</f>
        <v/>
      </c>
    </row>
    <row r="161" ht="15" customHeight="1">
      <c r="A161" s="12" t="n">
        <v>46169</v>
      </c>
      <c r="B161" s="13" t="inlineStr">
        <is>
          <t>PM</t>
        </is>
      </c>
      <c r="C161" s="13" t="inlineStr">
        <is>
          <t>Roth IRA</t>
        </is>
      </c>
      <c r="D161" s="13" t="inlineStr">
        <is>
          <t>HOLD</t>
        </is>
      </c>
      <c r="E161" s="14" t="n">
        <v>0.62</v>
      </c>
      <c r="F161" s="13" t="inlineStr">
        <is>
          <t>MEDIUM</t>
        </is>
      </c>
      <c r="G161" s="15" t="n">
        <v>181.32</v>
      </c>
      <c r="H161" s="16" t="n">
        <v>175.94</v>
      </c>
      <c r="I161" s="16" t="n">
        <v>182.95</v>
      </c>
      <c r="K161" s="26">
        <f>IF(H161="","",(H161-G161)/G161)</f>
        <v/>
      </c>
      <c r="L161" s="26">
        <f>IF(I161="","",(I161-G161)/G161)</f>
        <v/>
      </c>
      <c r="M161" s="26">
        <f>IF(J161="","",(J161-G161)/G161)</f>
        <v/>
      </c>
      <c r="N161" s="27">
        <f>IF(H161="","",IF(D161="HOLD",IF(ABS(K161)&lt;0.03,"YES","NO"),IF(D161="BUY",IF(K161&gt;0,"YES","NO"),IF(D161="SELL",IF(K161&lt;0,"YES","NO"),""))))</f>
        <v/>
      </c>
    </row>
    <row r="162" ht="15" customHeight="1">
      <c r="A162" s="12" t="n">
        <v>46169</v>
      </c>
      <c r="B162" s="13" t="inlineStr">
        <is>
          <t>PWR</t>
        </is>
      </c>
      <c r="C162" s="13" t="inlineStr">
        <is>
          <t>Roth IRA</t>
        </is>
      </c>
      <c r="D162" s="13" t="inlineStr">
        <is>
          <t>HOLD</t>
        </is>
      </c>
      <c r="E162" s="14" t="n">
        <v>0.55</v>
      </c>
      <c r="F162" s="13" t="inlineStr">
        <is>
          <t>MEDIUM</t>
        </is>
      </c>
      <c r="G162" s="15" t="n">
        <v>731.89</v>
      </c>
      <c r="H162" s="16" t="n">
        <v>715.67</v>
      </c>
      <c r="I162" s="16" t="n">
        <v>650.92</v>
      </c>
      <c r="K162" s="26">
        <f>IF(H162="","",(H162-G162)/G162)</f>
        <v/>
      </c>
      <c r="L162" s="26">
        <f>IF(I162="","",(I162-G162)/G162)</f>
        <v/>
      </c>
      <c r="M162" s="26">
        <f>IF(J162="","",(J162-G162)/G162)</f>
        <v/>
      </c>
      <c r="N162" s="27">
        <f>IF(H162="","",IF(D162="HOLD",IF(ABS(K162)&lt;0.03,"YES","NO"),IF(D162="BUY",IF(K162&gt;0,"YES","NO"),IF(D162="SELL",IF(K162&lt;0,"YES","NO"),""))))</f>
        <v/>
      </c>
    </row>
    <row r="163" ht="15" customHeight="1">
      <c r="A163" s="12" t="n">
        <v>46169</v>
      </c>
      <c r="B163" s="13" t="inlineStr">
        <is>
          <t>RTX</t>
        </is>
      </c>
      <c r="C163" s="13" t="inlineStr">
        <is>
          <t>Individual</t>
        </is>
      </c>
      <c r="D163" s="13" t="inlineStr">
        <is>
          <t>HOLD</t>
        </is>
      </c>
      <c r="E163" s="14" t="n">
        <v>0.52</v>
      </c>
      <c r="F163" s="13" t="inlineStr">
        <is>
          <t>MEDIUM</t>
        </is>
      </c>
      <c r="G163" s="15" t="n">
        <v>175.91</v>
      </c>
      <c r="H163" s="16" t="n">
        <v>172.55</v>
      </c>
      <c r="I163" s="16" t="n">
        <v>177.41</v>
      </c>
      <c r="K163" s="26">
        <f>IF(H163="","",(H163-G163)/G163)</f>
        <v/>
      </c>
      <c r="L163" s="26">
        <f>IF(I163="","",(I163-G163)/G163)</f>
        <v/>
      </c>
      <c r="M163" s="26">
        <f>IF(J163="","",(J163-G163)/G163)</f>
        <v/>
      </c>
      <c r="N163" s="27">
        <f>IF(H163="","",IF(D163="HOLD",IF(ABS(K163)&lt;0.03,"YES","NO"),IF(D163="BUY",IF(K163&gt;0,"YES","NO"),IF(D163="SELL",IF(K163&lt;0,"YES","NO"),""))))</f>
        <v/>
      </c>
    </row>
    <row r="164" ht="15" customHeight="1">
      <c r="A164" s="12" t="n">
        <v>46169</v>
      </c>
      <c r="B164" s="13" t="inlineStr">
        <is>
          <t>SCHD</t>
        </is>
      </c>
      <c r="C164" s="13" t="inlineStr">
        <is>
          <t>Roth IRA</t>
        </is>
      </c>
      <c r="D164" s="13" t="inlineStr">
        <is>
          <t>HOLD</t>
        </is>
      </c>
      <c r="E164" s="14" t="n">
        <v>0.65</v>
      </c>
      <c r="F164" s="13" t="inlineStr">
        <is>
          <t>HIGH</t>
        </is>
      </c>
      <c r="G164" s="15" t="n">
        <v>32.605</v>
      </c>
      <c r="H164" s="16" t="n">
        <v>32.37</v>
      </c>
      <c r="I164" s="16" t="n">
        <v>32.26</v>
      </c>
      <c r="K164" s="26">
        <f>IF(H164="","",(H164-G164)/G164)</f>
        <v/>
      </c>
      <c r="L164" s="26">
        <f>IF(I164="","",(I164-G164)/G164)</f>
        <v/>
      </c>
      <c r="M164" s="26">
        <f>IF(J164="","",(J164-G164)/G164)</f>
        <v/>
      </c>
      <c r="N164" s="27">
        <f>IF(H164="","",IF(D164="HOLD",IF(ABS(K164)&lt;0.03,"YES","NO"),IF(D164="BUY",IF(K164&gt;0,"YES","NO"),IF(D164="SELL",IF(K164&lt;0,"YES","NO"),""))))</f>
        <v/>
      </c>
    </row>
    <row r="165" ht="15" customHeight="1">
      <c r="A165" s="12" t="n">
        <v>46169</v>
      </c>
      <c r="B165" s="13" t="inlineStr">
        <is>
          <t>SND</t>
        </is>
      </c>
      <c r="C165" s="13" t="inlineStr">
        <is>
          <t>Individual</t>
        </is>
      </c>
      <c r="D165" s="13" t="inlineStr">
        <is>
          <t>HOLD</t>
        </is>
      </c>
      <c r="E165" s="14" t="n">
        <v>0.42</v>
      </c>
      <c r="F165" s="13" t="inlineStr">
        <is>
          <t>MEDIUM</t>
        </is>
      </c>
      <c r="G165" s="15" t="n">
        <v>4.97</v>
      </c>
      <c r="H165" s="16" t="n">
        <v>5.1</v>
      </c>
      <c r="I165" s="16" t="n">
        <v>5.31</v>
      </c>
      <c r="K165" s="26">
        <f>IF(H165="","",(H165-G165)/G165)</f>
        <v/>
      </c>
      <c r="L165" s="26">
        <f>IF(I165="","",(I165-G165)/G165)</f>
        <v/>
      </c>
      <c r="M165" s="26">
        <f>IF(J165="","",(J165-G165)/G165)</f>
        <v/>
      </c>
      <c r="N165" s="27">
        <f>IF(H165="","",IF(D165="HOLD",IF(ABS(K165)&lt;0.03,"YES","NO"),IF(D165="BUY",IF(K165&gt;0,"YES","NO"),IF(D165="SELL",IF(K165&lt;0,"YES","NO"),""))))</f>
        <v/>
      </c>
    </row>
    <row r="166" ht="15" customHeight="1">
      <c r="A166" s="12" t="n">
        <v>46169</v>
      </c>
      <c r="B166" s="13" t="inlineStr">
        <is>
          <t>WMT</t>
        </is>
      </c>
      <c r="C166" s="13" t="inlineStr">
        <is>
          <t>Roth IRA,Individual</t>
        </is>
      </c>
      <c r="D166" s="13" t="inlineStr">
        <is>
          <t>HOLD</t>
        </is>
      </c>
      <c r="E166" s="14" t="n">
        <v>0.55</v>
      </c>
      <c r="F166" s="13" t="inlineStr">
        <is>
          <t>HIGH</t>
        </is>
      </c>
      <c r="G166" s="15" t="n">
        <v>118.24</v>
      </c>
      <c r="H166" s="16" t="n">
        <v>116.89</v>
      </c>
      <c r="I166" s="16" t="n">
        <v>120.59</v>
      </c>
      <c r="K166" s="26">
        <f>IF(H166="","",(H166-G166)/G166)</f>
        <v/>
      </c>
      <c r="L166" s="26">
        <f>IF(I166="","",(I166-G166)/G166)</f>
        <v/>
      </c>
      <c r="M166" s="26">
        <f>IF(J166="","",(J166-G166)/G166)</f>
        <v/>
      </c>
      <c r="N166" s="27">
        <f>IF(H166="","",IF(D166="HOLD",IF(ABS(K166)&lt;0.03,"YES","NO"),IF(D166="BUY",IF(K166&gt;0,"YES","NO"),IF(D166="SELL",IF(K166&lt;0,"YES","NO"),""))))</f>
        <v/>
      </c>
    </row>
    <row r="167" ht="15" customHeight="1">
      <c r="A167" s="12" t="n">
        <v>46169</v>
      </c>
      <c r="B167" s="13" t="inlineStr">
        <is>
          <t>XLU</t>
        </is>
      </c>
      <c r="C167" s="13" t="inlineStr">
        <is>
          <t>Roth IRA</t>
        </is>
      </c>
      <c r="D167" s="13" t="inlineStr">
        <is>
          <t>HOLD</t>
        </is>
      </c>
      <c r="E167" s="14" t="n">
        <v>0.55</v>
      </c>
      <c r="F167" s="13" t="inlineStr">
        <is>
          <t>MEDIUM</t>
        </is>
      </c>
      <c r="G167" s="15" t="n">
        <v>45.035</v>
      </c>
      <c r="H167" s="16" t="n">
        <v>43.71</v>
      </c>
      <c r="I167" s="16" t="n">
        <v>44</v>
      </c>
      <c r="K167" s="26">
        <f>IF(H167="","",(H167-G167)/G167)</f>
        <v/>
      </c>
      <c r="L167" s="26">
        <f>IF(I167="","",(I167-G167)/G167)</f>
        <v/>
      </c>
      <c r="M167" s="26">
        <f>IF(J167="","",(J167-G167)/G167)</f>
        <v/>
      </c>
      <c r="N167" s="27">
        <f>IF(H167="","",IF(D167="HOLD",IF(ABS(K167)&lt;0.03,"YES","NO"),IF(D167="BUY",IF(K167&gt;0,"YES","NO"),IF(D167="SELL",IF(K167&lt;0,"YES","NO"),""))))</f>
        <v/>
      </c>
    </row>
    <row r="168" ht="15" customHeight="1">
      <c r="A168" s="12" t="n">
        <v>46169</v>
      </c>
      <c r="B168" s="13" t="inlineStr">
        <is>
          <t>SPY</t>
        </is>
      </c>
      <c r="C168" s="13" t="inlineStr">
        <is>
          <t>Scout</t>
        </is>
      </c>
      <c r="D168" s="13" t="inlineStr">
        <is>
          <t>HOLD</t>
        </is>
      </c>
      <c r="E168" s="14" t="n">
        <v>0.52</v>
      </c>
      <c r="F168" s="13" t="inlineStr">
        <is>
          <t>HIGH</t>
        </is>
      </c>
      <c r="G168" s="15" t="n">
        <v>750.16</v>
      </c>
      <c r="H168" s="16" t="n">
        <v>754.24</v>
      </c>
      <c r="I168" s="16" t="n">
        <v>725.4299999999999</v>
      </c>
      <c r="K168" s="26">
        <f>IF(H168="","",(H168-G168)/G168)</f>
        <v/>
      </c>
      <c r="L168" s="26">
        <f>IF(I168="","",(I168-G168)/G168)</f>
        <v/>
      </c>
      <c r="M168" s="26">
        <f>IF(J168="","",(J168-G168)/G168)</f>
        <v/>
      </c>
      <c r="N168" s="27">
        <f>IF(H168="","",IF(D168="HOLD",IF(ABS(K168)&lt;0.03,"YES","NO"),IF(D168="BUY",IF(K168&gt;0,"YES","NO"),IF(D168="SELL",IF(K168&lt;0,"YES","NO"),""))))</f>
        <v/>
      </c>
    </row>
    <row r="169" ht="15" customHeight="1">
      <c r="A169" s="12" t="n">
        <v>46169</v>
      </c>
      <c r="B169" s="13" t="inlineStr">
        <is>
          <t>QQQ</t>
        </is>
      </c>
      <c r="C169" s="13" t="inlineStr">
        <is>
          <t>Scout</t>
        </is>
      </c>
      <c r="D169" s="13" t="inlineStr">
        <is>
          <t>HOLD</t>
        </is>
      </c>
      <c r="E169" s="14" t="n">
        <v>0.52</v>
      </c>
      <c r="F169" s="13" t="inlineStr">
        <is>
          <t>HIGH</t>
        </is>
      </c>
      <c r="G169" s="15" t="n">
        <v>728.2</v>
      </c>
      <c r="H169" s="16" t="n">
        <v>744.21</v>
      </c>
      <c r="I169" s="16" t="n">
        <v>693.6900000000001</v>
      </c>
      <c r="K169" s="26">
        <f>IF(H169="","",(H169-G169)/G169)</f>
        <v/>
      </c>
      <c r="L169" s="26">
        <f>IF(I169="","",(I169-G169)/G169)</f>
        <v/>
      </c>
      <c r="M169" s="26">
        <f>IF(J169="","",(J169-G169)/G169)</f>
        <v/>
      </c>
      <c r="N169" s="27">
        <f>IF(H169="","",IF(D169="HOLD",IF(ABS(K169)&lt;0.03,"YES","NO"),IF(D169="BUY",IF(K169&gt;0,"YES","NO"),IF(D169="SELL",IF(K169&lt;0,"YES","NO"),""))))</f>
        <v/>
      </c>
    </row>
    <row r="170" ht="15" customHeight="1">
      <c r="A170" s="12" t="n">
        <v>46169</v>
      </c>
      <c r="B170" s="13" t="inlineStr">
        <is>
          <t>VTI</t>
        </is>
      </c>
      <c r="C170" s="13" t="inlineStr">
        <is>
          <t>Scout</t>
        </is>
      </c>
      <c r="D170" s="13" t="inlineStr">
        <is>
          <t>HOLD</t>
        </is>
      </c>
      <c r="E170" s="14" t="n">
        <v>0.52</v>
      </c>
      <c r="F170" s="13" t="inlineStr">
        <is>
          <t>HIGH</t>
        </is>
      </c>
      <c r="G170" s="15" t="n">
        <v>369.375</v>
      </c>
      <c r="H170" s="16" t="n">
        <v>371.65</v>
      </c>
      <c r="I170" s="16" t="n">
        <v>358.04</v>
      </c>
      <c r="K170" s="26">
        <f>IF(H170="","",(H170-G170)/G170)</f>
        <v/>
      </c>
      <c r="L170" s="26">
        <f>IF(I170="","",(I170-G170)/G170)</f>
        <v/>
      </c>
      <c r="M170" s="26">
        <f>IF(J170="","",(J170-G170)/G170)</f>
        <v/>
      </c>
      <c r="N170" s="27">
        <f>IF(H170="","",IF(D170="HOLD",IF(ABS(K170)&lt;0.03,"YES","NO"),IF(D170="BUY",IF(K170&gt;0,"YES","NO"),IF(D170="SELL",IF(K170&lt;0,"YES","NO"),""))))</f>
        <v/>
      </c>
    </row>
    <row r="171" ht="15" customHeight="1">
      <c r="A171" s="12" t="n">
        <v>46169</v>
      </c>
      <c r="B171" s="13" t="inlineStr">
        <is>
          <t>NVDA</t>
        </is>
      </c>
      <c r="C171" s="13" t="inlineStr">
        <is>
          <t>Scout</t>
        </is>
      </c>
      <c r="D171" s="13" t="inlineStr">
        <is>
          <t>BUY</t>
        </is>
      </c>
      <c r="E171" s="14" t="n">
        <v>0.63</v>
      </c>
      <c r="F171" s="13" t="inlineStr">
        <is>
          <t>MEDIUM</t>
        </is>
      </c>
      <c r="G171" s="15" t="n">
        <v>209.84</v>
      </c>
      <c r="H171" s="16" t="n">
        <v>214.75</v>
      </c>
      <c r="I171" s="16" t="n">
        <v>200.42</v>
      </c>
      <c r="K171" s="26">
        <f>IF(H171="","",(H171-G171)/G171)</f>
        <v/>
      </c>
      <c r="L171" s="26">
        <f>IF(I171="","",(I171-G171)/G171)</f>
        <v/>
      </c>
      <c r="M171" s="26">
        <f>IF(J171="","",(J171-G171)/G171)</f>
        <v/>
      </c>
      <c r="N171" s="27">
        <f>IF(H171="","",IF(D171="HOLD",IF(ABS(K171)&lt;0.03,"YES","NO"),IF(D171="BUY",IF(K171&gt;0,"YES","NO"),IF(D171="SELL",IF(K171&lt;0,"YES","NO"),""))))</f>
        <v/>
      </c>
    </row>
    <row r="172" ht="15" customHeight="1">
      <c r="A172" s="12" t="n">
        <v>46169</v>
      </c>
      <c r="B172" s="13" t="inlineStr">
        <is>
          <t>GLD</t>
        </is>
      </c>
      <c r="C172" s="13" t="inlineStr">
        <is>
          <t>Scout</t>
        </is>
      </c>
      <c r="D172" s="13" t="inlineStr">
        <is>
          <t>HOLD</t>
        </is>
      </c>
      <c r="E172" s="14" t="n">
        <v>0.48</v>
      </c>
      <c r="F172" s="13" t="inlineStr">
        <is>
          <t>MEDIUM</t>
        </is>
      </c>
      <c r="G172" s="15" t="n">
        <v>407.14</v>
      </c>
      <c r="H172" s="16" t="n">
        <v>407.87</v>
      </c>
      <c r="I172" s="16" t="n">
        <v>374.58</v>
      </c>
      <c r="K172" s="26">
        <f>IF(H172="","",(H172-G172)/G172)</f>
        <v/>
      </c>
      <c r="L172" s="26">
        <f>IF(I172="","",(I172-G172)/G172)</f>
        <v/>
      </c>
      <c r="M172" s="26">
        <f>IF(J172="","",(J172-G172)/G172)</f>
        <v/>
      </c>
      <c r="N172" s="27">
        <f>IF(H172="","",IF(D172="HOLD",IF(ABS(K172)&lt;0.03,"YES","NO"),IF(D172="BUY",IF(K172&gt;0,"YES","NO"),IF(D172="SELL",IF(K172&lt;0,"YES","NO"),""))))</f>
        <v/>
      </c>
    </row>
    <row r="173" ht="15" customHeight="1">
      <c r="A173" s="12" t="n">
        <v>46170</v>
      </c>
      <c r="B173" s="13" t="inlineStr">
        <is>
          <t>AAPL</t>
        </is>
      </c>
      <c r="C173" s="13" t="inlineStr">
        <is>
          <t>Roth IRA</t>
        </is>
      </c>
      <c r="D173" s="13" t="inlineStr">
        <is>
          <t>HOLD</t>
        </is>
      </c>
      <c r="E173" s="14" t="n">
        <v>0.58</v>
      </c>
      <c r="F173" s="13" t="inlineStr">
        <is>
          <t>HIGH</t>
        </is>
      </c>
      <c r="G173" s="15" t="n">
        <v>311.27</v>
      </c>
      <c r="H173" s="16" t="n">
        <v>311.23</v>
      </c>
      <c r="I173" s="16" t="n">
        <v>295.63</v>
      </c>
      <c r="K173" s="26">
        <f>IF(H173="","",(H173-G173)/G173)</f>
        <v/>
      </c>
      <c r="L173" s="26">
        <f>IF(I173="","",(I173-G173)/G173)</f>
        <v/>
      </c>
      <c r="M173" s="26">
        <f>IF(J173="","",(J173-G173)/G173)</f>
        <v/>
      </c>
      <c r="N173" s="27">
        <f>IF(H173="","",IF(D173="HOLD",IF(ABS(K173)&lt;0.03,"YES","NO"),IF(D173="BUY",IF(K173&gt;0,"YES","NO"),IF(D173="SELL",IF(K173&lt;0,"YES","NO"),""))))</f>
        <v/>
      </c>
    </row>
    <row r="174" ht="15" customHeight="1">
      <c r="A174" s="12" t="n">
        <v>46170</v>
      </c>
      <c r="B174" s="13" t="inlineStr">
        <is>
          <t>AG</t>
        </is>
      </c>
      <c r="C174" s="13" t="inlineStr">
        <is>
          <t>Individual</t>
        </is>
      </c>
      <c r="D174" s="13" t="inlineStr">
        <is>
          <t>HOLD</t>
        </is>
      </c>
      <c r="E174" s="14" t="n">
        <v>0.42</v>
      </c>
      <c r="F174" s="13" t="inlineStr">
        <is>
          <t>MEDIUM</t>
        </is>
      </c>
      <c r="G174" s="15" t="n">
        <v>19.95</v>
      </c>
      <c r="H174" s="16" t="n">
        <v>19.77</v>
      </c>
      <c r="I174" s="16" t="n">
        <v>16.92</v>
      </c>
      <c r="K174" s="26">
        <f>IF(H174="","",(H174-G174)/G174)</f>
        <v/>
      </c>
      <c r="L174" s="26">
        <f>IF(I174="","",(I174-G174)/G174)</f>
        <v/>
      </c>
      <c r="M174" s="26">
        <f>IF(J174="","",(J174-G174)/G174)</f>
        <v/>
      </c>
      <c r="N174" s="27">
        <f>IF(H174="","",IF(D174="HOLD",IF(ABS(K174)&lt;0.03,"YES","NO"),IF(D174="BUY",IF(K174&gt;0,"YES","NO"),IF(D174="SELL",IF(K174&lt;0,"YES","NO"),""))))</f>
        <v/>
      </c>
    </row>
    <row r="175" ht="15" customHeight="1">
      <c r="A175" s="12" t="n">
        <v>46170</v>
      </c>
      <c r="B175" s="13" t="inlineStr">
        <is>
          <t>AIQ</t>
        </is>
      </c>
      <c r="C175" s="13" t="inlineStr">
        <is>
          <t>Roth IRA,Individual</t>
        </is>
      </c>
      <c r="D175" s="13" t="inlineStr">
        <is>
          <t>HOLD</t>
        </is>
      </c>
      <c r="E175" s="14" t="n">
        <v>0.55</v>
      </c>
      <c r="F175" s="13" t="inlineStr">
        <is>
          <t>MEDIUM</t>
        </is>
      </c>
      <c r="G175" s="15" t="n">
        <v>65.59999999999999</v>
      </c>
      <c r="H175" s="16" t="n">
        <v>68.06999999999999</v>
      </c>
      <c r="I175" s="16" t="n">
        <v>63.95</v>
      </c>
      <c r="K175" s="26">
        <f>IF(H175="","",(H175-G175)/G175)</f>
        <v/>
      </c>
      <c r="L175" s="26">
        <f>IF(I175="","",(I175-G175)/G175)</f>
        <v/>
      </c>
      <c r="M175" s="26">
        <f>IF(J175="","",(J175-G175)/G175)</f>
        <v/>
      </c>
      <c r="N175" s="27">
        <f>IF(H175="","",IF(D175="HOLD",IF(ABS(K175)&lt;0.03,"YES","NO"),IF(D175="BUY",IF(K175&gt;0,"YES","NO"),IF(D175="SELL",IF(K175&lt;0,"YES","NO"),""))))</f>
        <v/>
      </c>
    </row>
    <row r="176" ht="15" customHeight="1">
      <c r="A176" s="12" t="n">
        <v>46170</v>
      </c>
      <c r="B176" s="13" t="inlineStr">
        <is>
          <t>CBRS</t>
        </is>
      </c>
      <c r="C176" s="13" t="inlineStr">
        <is>
          <t>Individual</t>
        </is>
      </c>
      <c r="D176" s="13" t="inlineStr">
        <is>
          <t>HOLD</t>
        </is>
      </c>
      <c r="E176" s="14" t="n">
        <v>0.42</v>
      </c>
      <c r="F176" s="13" t="inlineStr">
        <is>
          <t>MEDIUM</t>
        </is>
      </c>
      <c r="G176" s="15" t="n">
        <v>260.425</v>
      </c>
      <c r="H176" s="16" t="n">
        <v>215.4</v>
      </c>
      <c r="I176" s="16" t="n">
        <v>226.55</v>
      </c>
      <c r="K176" s="26">
        <f>IF(H176="","",(H176-G176)/G176)</f>
        <v/>
      </c>
      <c r="L176" s="26">
        <f>IF(I176="","",(I176-G176)/G176)</f>
        <v/>
      </c>
      <c r="M176" s="26">
        <f>IF(J176="","",(J176-G176)/G176)</f>
        <v/>
      </c>
      <c r="N176" s="27">
        <f>IF(H176="","",IF(D176="HOLD",IF(ABS(K176)&lt;0.03,"YES","NO"),IF(D176="BUY",IF(K176&gt;0,"YES","NO"),IF(D176="SELL",IF(K176&lt;0,"YES","NO"),""))))</f>
        <v/>
      </c>
    </row>
    <row r="177" ht="15" customHeight="1">
      <c r="A177" s="12" t="n">
        <v>46170</v>
      </c>
      <c r="B177" s="13" t="inlineStr">
        <is>
          <t>CORN</t>
        </is>
      </c>
      <c r="C177" s="13" t="inlineStr">
        <is>
          <t>Individual</t>
        </is>
      </c>
      <c r="D177" s="13" t="inlineStr">
        <is>
          <t>HOLD</t>
        </is>
      </c>
      <c r="E177" s="14" t="n">
        <v>0.45</v>
      </c>
      <c r="F177" s="13" t="inlineStr">
        <is>
          <t>MEDIUM</t>
        </is>
      </c>
      <c r="G177" s="15" t="n">
        <v>18.0999</v>
      </c>
      <c r="H177" s="16" t="n">
        <v>17.23</v>
      </c>
      <c r="I177" s="16" t="n">
        <v>16.72</v>
      </c>
      <c r="K177" s="26">
        <f>IF(H177="","",(H177-G177)/G177)</f>
        <v/>
      </c>
      <c r="L177" s="26">
        <f>IF(I177="","",(I177-G177)/G177)</f>
        <v/>
      </c>
      <c r="M177" s="26">
        <f>IF(J177="","",(J177-G177)/G177)</f>
        <v/>
      </c>
      <c r="N177" s="27">
        <f>IF(H177="","",IF(D177="HOLD",IF(ABS(K177)&lt;0.03,"YES","NO"),IF(D177="BUY",IF(K177&gt;0,"YES","NO"),IF(D177="SELL",IF(K177&lt;0,"YES","NO"),""))))</f>
        <v/>
      </c>
    </row>
    <row r="178" ht="15" customHeight="1">
      <c r="A178" s="12" t="n">
        <v>46170</v>
      </c>
      <c r="B178" s="13" t="inlineStr">
        <is>
          <t>DOW</t>
        </is>
      </c>
      <c r="C178" s="13" t="inlineStr">
        <is>
          <t>Roth IRA,Individual</t>
        </is>
      </c>
      <c r="D178" s="13" t="inlineStr">
        <is>
          <t>HOLD</t>
        </is>
      </c>
      <c r="E178" s="14" t="n">
        <v>0.42</v>
      </c>
      <c r="F178" s="13" t="inlineStr">
        <is>
          <t>HIGH</t>
        </is>
      </c>
      <c r="G178" s="15" t="n">
        <v>34.82</v>
      </c>
      <c r="H178" s="16" t="n">
        <v>34.79</v>
      </c>
      <c r="I178" s="16" t="n">
        <v>33.63</v>
      </c>
      <c r="K178" s="26">
        <f>IF(H178="","",(H178-G178)/G178)</f>
        <v/>
      </c>
      <c r="L178" s="26">
        <f>IF(I178="","",(I178-G178)/G178)</f>
        <v/>
      </c>
      <c r="M178" s="26">
        <f>IF(J178="","",(J178-G178)/G178)</f>
        <v/>
      </c>
      <c r="N178" s="27">
        <f>IF(H178="","",IF(D178="HOLD",IF(ABS(K178)&lt;0.03,"YES","NO"),IF(D178="BUY",IF(K178&gt;0,"YES","NO"),IF(D178="SELL",IF(K178&lt;0,"YES","NO"),""))))</f>
        <v/>
      </c>
    </row>
    <row r="179" ht="15" customHeight="1">
      <c r="A179" s="12" t="n">
        <v>46170</v>
      </c>
      <c r="B179" s="13" t="inlineStr">
        <is>
          <t>FTI</t>
        </is>
      </c>
      <c r="C179" s="13" t="inlineStr">
        <is>
          <t>Individual</t>
        </is>
      </c>
      <c r="D179" s="13" t="inlineStr">
        <is>
          <t>HOLD</t>
        </is>
      </c>
      <c r="E179" s="14" t="n">
        <v>0.52</v>
      </c>
      <c r="F179" s="13" t="inlineStr">
        <is>
          <t>MEDIUM</t>
        </is>
      </c>
      <c r="G179" s="15" t="n">
        <v>67.27</v>
      </c>
      <c r="H179" s="16" t="n">
        <v>69.01000000000001</v>
      </c>
      <c r="I179" s="16" t="n">
        <v>70.59999999999999</v>
      </c>
      <c r="K179" s="26">
        <f>IF(H179="","",(H179-G179)/G179)</f>
        <v/>
      </c>
      <c r="L179" s="26">
        <f>IF(I179="","",(I179-G179)/G179)</f>
        <v/>
      </c>
      <c r="M179" s="26">
        <f>IF(J179="","",(J179-G179)/G179)</f>
        <v/>
      </c>
      <c r="N179" s="27">
        <f>IF(H179="","",IF(D179="HOLD",IF(ABS(K179)&lt;0.03,"YES","NO"),IF(D179="BUY",IF(K179&gt;0,"YES","NO"),IF(D179="SELL",IF(K179&lt;0,"YES","NO"),""))))</f>
        <v/>
      </c>
    </row>
    <row r="180" ht="15" customHeight="1">
      <c r="A180" s="12" t="n">
        <v>46170</v>
      </c>
      <c r="B180" s="13" t="inlineStr">
        <is>
          <t>GM</t>
        </is>
      </c>
      <c r="C180" s="13" t="inlineStr">
        <is>
          <t>Roth IRA,Individual</t>
        </is>
      </c>
      <c r="D180" s="13" t="inlineStr">
        <is>
          <t>HOLD</t>
        </is>
      </c>
      <c r="E180" s="14" t="n">
        <v>0.58</v>
      </c>
      <c r="F180" s="13" t="inlineStr">
        <is>
          <t>MEDIUM</t>
        </is>
      </c>
      <c r="G180" s="15" t="n">
        <v>84.73999999999999</v>
      </c>
      <c r="H180" s="16" t="n">
        <v>83.22</v>
      </c>
      <c r="I180" s="16" t="n">
        <v>80.84999999999999</v>
      </c>
      <c r="K180" s="26">
        <f>IF(H180="","",(H180-G180)/G180)</f>
        <v/>
      </c>
      <c r="L180" s="26">
        <f>IF(I180="","",(I180-G180)/G180)</f>
        <v/>
      </c>
      <c r="M180" s="26">
        <f>IF(J180="","",(J180-G180)/G180)</f>
        <v/>
      </c>
      <c r="N180" s="27">
        <f>IF(H180="","",IF(D180="HOLD",IF(ABS(K180)&lt;0.03,"YES","NO"),IF(D180="BUY",IF(K180&gt;0,"YES","NO"),IF(D180="SELL",IF(K180&lt;0,"YES","NO"),""))))</f>
        <v/>
      </c>
    </row>
    <row r="181" ht="15" customHeight="1">
      <c r="A181" s="12" t="n">
        <v>46170</v>
      </c>
      <c r="B181" s="13" t="inlineStr">
        <is>
          <t>JPM</t>
        </is>
      </c>
      <c r="C181" s="13" t="inlineStr">
        <is>
          <t>Roth IRA</t>
        </is>
      </c>
      <c r="D181" s="13" t="inlineStr">
        <is>
          <t>HOLD</t>
        </is>
      </c>
      <c r="E181" s="14" t="n">
        <v>0.55</v>
      </c>
      <c r="F181" s="13" t="inlineStr">
        <is>
          <t>HIGH</t>
        </is>
      </c>
      <c r="G181" s="15" t="n">
        <v>297.365</v>
      </c>
      <c r="H181" s="16" t="n">
        <v>310.89</v>
      </c>
      <c r="I181" s="16" t="n">
        <v>313.49</v>
      </c>
      <c r="K181" s="26">
        <f>IF(H181="","",(H181-G181)/G181)</f>
        <v/>
      </c>
      <c r="L181" s="26">
        <f>IF(I181="","",(I181-G181)/G181)</f>
        <v/>
      </c>
      <c r="M181" s="26">
        <f>IF(J181="","",(J181-G181)/G181)</f>
        <v/>
      </c>
      <c r="N181" s="27">
        <f>IF(H181="","",IF(D181="HOLD",IF(ABS(K181)&lt;0.03,"YES","NO"),IF(D181="BUY",IF(K181&gt;0,"YES","NO"),IF(D181="SELL",IF(K181&lt;0,"YES","NO"),""))))</f>
        <v/>
      </c>
    </row>
    <row r="182" ht="15" customHeight="1">
      <c r="A182" s="12" t="n">
        <v>46170</v>
      </c>
      <c r="B182" s="13" t="inlineStr">
        <is>
          <t>MSFT</t>
        </is>
      </c>
      <c r="C182" s="13" t="inlineStr">
        <is>
          <t>Roth IRA,Individual</t>
        </is>
      </c>
      <c r="D182" s="13" t="inlineStr">
        <is>
          <t>HOLD</t>
        </is>
      </c>
      <c r="E182" s="14" t="n">
        <v>0.55</v>
      </c>
      <c r="F182" s="13" t="inlineStr">
        <is>
          <t>MEDIUM</t>
        </is>
      </c>
      <c r="G182" s="15" t="n">
        <v>423.79</v>
      </c>
      <c r="H182" s="16" t="n">
        <v>428.05</v>
      </c>
      <c r="I182" s="16" t="n">
        <v>390.34</v>
      </c>
      <c r="K182" s="26">
        <f>IF(H182="","",(H182-G182)/G182)</f>
        <v/>
      </c>
      <c r="L182" s="26">
        <f>IF(I182="","",(I182-G182)/G182)</f>
        <v/>
      </c>
      <c r="M182" s="26">
        <f>IF(J182="","",(J182-G182)/G182)</f>
        <v/>
      </c>
      <c r="N182" s="27">
        <f>IF(H182="","",IF(D182="HOLD",IF(ABS(K182)&lt;0.03,"YES","NO"),IF(D182="BUY",IF(K182&gt;0,"YES","NO"),IF(D182="SELL",IF(K182&lt;0,"YES","NO"),""))))</f>
        <v/>
      </c>
    </row>
    <row r="183" ht="15" customHeight="1">
      <c r="A183" s="12" t="n">
        <v>46170</v>
      </c>
      <c r="B183" s="13" t="inlineStr">
        <is>
          <t>NKE</t>
        </is>
      </c>
      <c r="C183" s="13" t="inlineStr">
        <is>
          <t>Roth IRA</t>
        </is>
      </c>
      <c r="D183" s="13" t="inlineStr">
        <is>
          <t>HOLD</t>
        </is>
      </c>
      <c r="E183" s="14" t="n">
        <v>0.52</v>
      </c>
      <c r="F183" s="13" t="inlineStr">
        <is>
          <t>HIGH</t>
        </is>
      </c>
      <c r="G183" s="15" t="n">
        <v>46.87</v>
      </c>
      <c r="H183" s="16" t="n">
        <v>43.62</v>
      </c>
      <c r="I183" s="16" t="n">
        <v>45.96</v>
      </c>
      <c r="K183" s="26">
        <f>IF(H183="","",(H183-G183)/G183)</f>
        <v/>
      </c>
      <c r="L183" s="26">
        <f>IF(I183="","",(I183-G183)/G183)</f>
        <v/>
      </c>
      <c r="M183" s="26">
        <f>IF(J183="","",(J183-G183)/G183)</f>
        <v/>
      </c>
      <c r="N183" s="27">
        <f>IF(H183="","",IF(D183="HOLD",IF(ABS(K183)&lt;0.03,"YES","NO"),IF(D183="BUY",IF(K183&gt;0,"YES","NO"),IF(D183="SELL",IF(K183&lt;0,"YES","NO"),""))))</f>
        <v/>
      </c>
    </row>
    <row r="184" ht="15" customHeight="1">
      <c r="A184" s="12" t="n">
        <v>46170</v>
      </c>
      <c r="B184" s="13" t="inlineStr">
        <is>
          <t>NTR</t>
        </is>
      </c>
      <c r="C184" s="13" t="inlineStr">
        <is>
          <t>Roth IRA,Individual</t>
        </is>
      </c>
      <c r="D184" s="13" t="inlineStr">
        <is>
          <t>HOLD</t>
        </is>
      </c>
      <c r="E184" s="14" t="n">
        <v>0.52</v>
      </c>
      <c r="F184" s="13" t="inlineStr">
        <is>
          <t>MEDIUM</t>
        </is>
      </c>
      <c r="G184" s="15" t="n">
        <v>69.42</v>
      </c>
      <c r="H184" s="16" t="n">
        <v>69</v>
      </c>
      <c r="I184" s="16" t="n">
        <v>65.56</v>
      </c>
      <c r="K184" s="26">
        <f>IF(H184="","",(H184-G184)/G184)</f>
        <v/>
      </c>
      <c r="L184" s="26">
        <f>IF(I184="","",(I184-G184)/G184)</f>
        <v/>
      </c>
      <c r="M184" s="26">
        <f>IF(J184="","",(J184-G184)/G184)</f>
        <v/>
      </c>
      <c r="N184" s="27">
        <f>IF(H184="","",IF(D184="HOLD",IF(ABS(K184)&lt;0.03,"YES","NO"),IF(D184="BUY",IF(K184&gt;0,"YES","NO"),IF(D184="SELL",IF(K184&lt;0,"YES","NO"),""))))</f>
        <v/>
      </c>
    </row>
    <row r="185" ht="15" customHeight="1">
      <c r="A185" s="12" t="n">
        <v>46170</v>
      </c>
      <c r="B185" s="13" t="inlineStr">
        <is>
          <t>PM</t>
        </is>
      </c>
      <c r="C185" s="13" t="inlineStr">
        <is>
          <t>Roth IRA</t>
        </is>
      </c>
      <c r="D185" s="13" t="inlineStr">
        <is>
          <t>HOLD</t>
        </is>
      </c>
      <c r="E185" s="14" t="n">
        <v>0.62</v>
      </c>
      <c r="F185" s="13" t="inlineStr">
        <is>
          <t>MEDIUM</t>
        </is>
      </c>
      <c r="G185" s="15" t="n">
        <v>181.46</v>
      </c>
      <c r="H185" s="16" t="n">
        <v>174.99</v>
      </c>
      <c r="I185" s="16" t="n">
        <v>180.77</v>
      </c>
      <c r="K185" s="26">
        <f>IF(H185="","",(H185-G185)/G185)</f>
        <v/>
      </c>
      <c r="L185" s="26">
        <f>IF(I185="","",(I185-G185)/G185)</f>
        <v/>
      </c>
      <c r="M185" s="26">
        <f>IF(J185="","",(J185-G185)/G185)</f>
        <v/>
      </c>
      <c r="N185" s="27">
        <f>IF(H185="","",IF(D185="HOLD",IF(ABS(K185)&lt;0.03,"YES","NO"),IF(D185="BUY",IF(K185&gt;0,"YES","NO"),IF(D185="SELL",IF(K185&lt;0,"YES","NO"),""))))</f>
        <v/>
      </c>
    </row>
    <row r="186" ht="15" customHeight="1">
      <c r="A186" s="12" t="n">
        <v>46170</v>
      </c>
      <c r="B186" s="13" t="inlineStr">
        <is>
          <t>PWR</t>
        </is>
      </c>
      <c r="C186" s="13" t="inlineStr">
        <is>
          <t>Roth IRA</t>
        </is>
      </c>
      <c r="D186" s="13" t="inlineStr">
        <is>
          <t>HOLD</t>
        </is>
      </c>
      <c r="E186" s="14" t="n">
        <v>0.58</v>
      </c>
      <c r="F186" s="13" t="inlineStr">
        <is>
          <t>MEDIUM</t>
        </is>
      </c>
      <c r="G186" s="15" t="n">
        <v>725.47</v>
      </c>
      <c r="H186" s="16" t="n">
        <v>719.17</v>
      </c>
      <c r="I186" s="16" t="n">
        <v>683.29</v>
      </c>
      <c r="K186" s="26">
        <f>IF(H186="","",(H186-G186)/G186)</f>
        <v/>
      </c>
      <c r="L186" s="26">
        <f>IF(I186="","",(I186-G186)/G186)</f>
        <v/>
      </c>
      <c r="M186" s="26">
        <f>IF(J186="","",(J186-G186)/G186)</f>
        <v/>
      </c>
      <c r="N186" s="27">
        <f>IF(H186="","",IF(D186="HOLD",IF(ABS(K186)&lt;0.03,"YES","NO"),IF(D186="BUY",IF(K186&gt;0,"YES","NO"),IF(D186="SELL",IF(K186&lt;0,"YES","NO"),""))))</f>
        <v/>
      </c>
    </row>
    <row r="187" ht="15" customHeight="1">
      <c r="A187" s="12" t="n">
        <v>46170</v>
      </c>
      <c r="B187" s="13" t="inlineStr">
        <is>
          <t>RTX</t>
        </is>
      </c>
      <c r="C187" s="13" t="inlineStr">
        <is>
          <t>Individual</t>
        </is>
      </c>
      <c r="D187" s="13" t="inlineStr">
        <is>
          <t>HOLD</t>
        </is>
      </c>
      <c r="E187" s="14" t="n">
        <v>0.55</v>
      </c>
      <c r="F187" s="13" t="inlineStr">
        <is>
          <t>MEDIUM</t>
        </is>
      </c>
      <c r="G187" s="15" t="n">
        <v>180.82</v>
      </c>
      <c r="H187" s="16" t="n">
        <v>179.41</v>
      </c>
      <c r="I187" s="16" t="n">
        <v>184.21</v>
      </c>
      <c r="K187" s="26">
        <f>IF(H187="","",(H187-G187)/G187)</f>
        <v/>
      </c>
      <c r="L187" s="26">
        <f>IF(I187="","",(I187-G187)/G187)</f>
        <v/>
      </c>
      <c r="M187" s="26">
        <f>IF(J187="","",(J187-G187)/G187)</f>
        <v/>
      </c>
      <c r="N187" s="27">
        <f>IF(H187="","",IF(D187="HOLD",IF(ABS(K187)&lt;0.03,"YES","NO"),IF(D187="BUY",IF(K187&gt;0,"YES","NO"),IF(D187="SELL",IF(K187&lt;0,"YES","NO"),""))))</f>
        <v/>
      </c>
    </row>
    <row r="188" ht="15" customHeight="1">
      <c r="A188" s="12" t="n">
        <v>46170</v>
      </c>
      <c r="B188" s="13" t="inlineStr">
        <is>
          <t>SCHD</t>
        </is>
      </c>
      <c r="C188" s="13" t="inlineStr">
        <is>
          <t>Roth IRA</t>
        </is>
      </c>
      <c r="D188" s="13" t="inlineStr">
        <is>
          <t>HOLD</t>
        </is>
      </c>
      <c r="E188" s="14" t="n">
        <v>0.68</v>
      </c>
      <c r="F188" s="13" t="inlineStr">
        <is>
          <t>HIGH</t>
        </is>
      </c>
      <c r="G188" s="15" t="n">
        <v>32.695</v>
      </c>
      <c r="H188" s="16" t="n">
        <v>32.59</v>
      </c>
      <c r="I188" s="16" t="n">
        <v>32.53</v>
      </c>
      <c r="K188" s="26">
        <f>IF(H188="","",(H188-G188)/G188)</f>
        <v/>
      </c>
      <c r="L188" s="26">
        <f>IF(I188="","",(I188-G188)/G188)</f>
        <v/>
      </c>
      <c r="M188" s="26">
        <f>IF(J188="","",(J188-G188)/G188)</f>
        <v/>
      </c>
      <c r="N188" s="27">
        <f>IF(H188="","",IF(D188="HOLD",IF(ABS(K188)&lt;0.03,"YES","NO"),IF(D188="BUY",IF(K188&gt;0,"YES","NO"),IF(D188="SELL",IF(K188&lt;0,"YES","NO"),""))))</f>
        <v/>
      </c>
    </row>
    <row r="189" ht="15" customHeight="1">
      <c r="A189" s="12" t="n">
        <v>46170</v>
      </c>
      <c r="B189" s="13" t="inlineStr">
        <is>
          <t>SND</t>
        </is>
      </c>
      <c r="C189" s="13" t="inlineStr">
        <is>
          <t>Individual</t>
        </is>
      </c>
      <c r="D189" s="13" t="inlineStr">
        <is>
          <t>HOLD</t>
        </is>
      </c>
      <c r="E189" s="14" t="n">
        <v>0.42</v>
      </c>
      <c r="F189" s="13" t="inlineStr">
        <is>
          <t>MEDIUM</t>
        </is>
      </c>
      <c r="G189" s="15" t="n">
        <v>4.7793</v>
      </c>
      <c r="H189" s="16" t="n">
        <v>5.71</v>
      </c>
      <c r="I189" s="16" t="n">
        <v>5.19</v>
      </c>
      <c r="K189" s="26">
        <f>IF(H189="","",(H189-G189)/G189)</f>
        <v/>
      </c>
      <c r="L189" s="26">
        <f>IF(I189="","",(I189-G189)/G189)</f>
        <v/>
      </c>
      <c r="M189" s="26">
        <f>IF(J189="","",(J189-G189)/G189)</f>
        <v/>
      </c>
      <c r="N189" s="27">
        <f>IF(H189="","",IF(D189="HOLD",IF(ABS(K189)&lt;0.03,"YES","NO"),IF(D189="BUY",IF(K189&gt;0,"YES","NO"),IF(D189="SELL",IF(K189&lt;0,"YES","NO"),""))))</f>
        <v/>
      </c>
    </row>
    <row r="190" ht="15" customHeight="1">
      <c r="A190" s="12" t="n">
        <v>46170</v>
      </c>
      <c r="B190" s="13" t="inlineStr">
        <is>
          <t>WMT</t>
        </is>
      </c>
      <c r="C190" s="13" t="inlineStr">
        <is>
          <t>Roth IRA,Individual</t>
        </is>
      </c>
      <c r="D190" s="13" t="inlineStr">
        <is>
          <t>HOLD</t>
        </is>
      </c>
      <c r="E190" s="14" t="n">
        <v>0.55</v>
      </c>
      <c r="F190" s="13" t="inlineStr">
        <is>
          <t>HIGH</t>
        </is>
      </c>
      <c r="G190" s="15" t="n">
        <v>118.47</v>
      </c>
      <c r="H190" s="16" t="n">
        <v>117.74</v>
      </c>
      <c r="I190" s="16" t="n">
        <v>120.5</v>
      </c>
      <c r="K190" s="26">
        <f>IF(H190="","",(H190-G190)/G190)</f>
        <v/>
      </c>
      <c r="L190" s="26">
        <f>IF(I190="","",(I190-G190)/G190)</f>
        <v/>
      </c>
      <c r="M190" s="26">
        <f>IF(J190="","",(J190-G190)/G190)</f>
        <v/>
      </c>
      <c r="N190" s="27">
        <f>IF(H190="","",IF(D190="HOLD",IF(ABS(K190)&lt;0.03,"YES","NO"),IF(D190="BUY",IF(K190&gt;0,"YES","NO"),IF(D190="SELL",IF(K190&lt;0,"YES","NO"),""))))</f>
        <v/>
      </c>
    </row>
    <row r="191" ht="15" customHeight="1">
      <c r="A191" s="12" t="n">
        <v>46170</v>
      </c>
      <c r="B191" s="13" t="inlineStr">
        <is>
          <t>XLU</t>
        </is>
      </c>
      <c r="C191" s="13" t="inlineStr">
        <is>
          <t>Roth IRA</t>
        </is>
      </c>
      <c r="D191" s="13" t="inlineStr">
        <is>
          <t>HOLD</t>
        </is>
      </c>
      <c r="E191" s="14" t="n">
        <v>0.58</v>
      </c>
      <c r="F191" s="13" t="inlineStr">
        <is>
          <t>MEDIUM</t>
        </is>
      </c>
      <c r="G191" s="15" t="n">
        <v>45.04</v>
      </c>
      <c r="H191" s="16" t="n">
        <v>43.94</v>
      </c>
      <c r="I191" s="16" t="n">
        <v>44.05</v>
      </c>
      <c r="K191" s="26">
        <f>IF(H191="","",(H191-G191)/G191)</f>
        <v/>
      </c>
      <c r="L191" s="26">
        <f>IF(I191="","",(I191-G191)/G191)</f>
        <v/>
      </c>
      <c r="M191" s="26">
        <f>IF(J191="","",(J191-G191)/G191)</f>
        <v/>
      </c>
      <c r="N191" s="27">
        <f>IF(H191="","",IF(D191="HOLD",IF(ABS(K191)&lt;0.03,"YES","NO"),IF(D191="BUY",IF(K191&gt;0,"YES","NO"),IF(D191="SELL",IF(K191&lt;0,"YES","NO"),""))))</f>
        <v/>
      </c>
    </row>
    <row r="192" ht="15" customHeight="1">
      <c r="A192" s="12" t="n">
        <v>46170</v>
      </c>
      <c r="B192" s="13" t="inlineStr">
        <is>
          <t>SPY</t>
        </is>
      </c>
      <c r="C192" s="13" t="inlineStr">
        <is>
          <t>Scout</t>
        </is>
      </c>
      <c r="D192" s="13" t="inlineStr">
        <is>
          <t>HOLD</t>
        </is>
      </c>
      <c r="E192" s="14" t="n">
        <v>0.45</v>
      </c>
      <c r="F192" s="13" t="inlineStr">
        <is>
          <t>HIGH</t>
        </is>
      </c>
      <c r="G192" s="15" t="n">
        <v>752.0199</v>
      </c>
      <c r="H192" s="16" t="n">
        <v>757.09</v>
      </c>
      <c r="I192" s="16" t="n">
        <v>737.76</v>
      </c>
      <c r="K192" s="26">
        <f>IF(H192="","",(H192-G192)/G192)</f>
        <v/>
      </c>
      <c r="L192" s="26">
        <f>IF(I192="","",(I192-G192)/G192)</f>
        <v/>
      </c>
      <c r="M192" s="26">
        <f>IF(J192="","",(J192-G192)/G192)</f>
        <v/>
      </c>
      <c r="N192" s="27">
        <f>IF(H192="","",IF(D192="HOLD",IF(ABS(K192)&lt;0.03,"YES","NO"),IF(D192="BUY",IF(K192&gt;0,"YES","NO"),IF(D192="SELL",IF(K192&lt;0,"YES","NO"),""))))</f>
        <v/>
      </c>
    </row>
    <row r="193" ht="15" customHeight="1">
      <c r="A193" s="12" t="n">
        <v>46170</v>
      </c>
      <c r="B193" s="13" t="inlineStr">
        <is>
          <t>QQQ</t>
        </is>
      </c>
      <c r="C193" s="13" t="inlineStr">
        <is>
          <t>Scout</t>
        </is>
      </c>
      <c r="D193" s="13" t="inlineStr">
        <is>
          <t>HOLD</t>
        </is>
      </c>
      <c r="E193" s="14" t="n">
        <v>0.42</v>
      </c>
      <c r="F193" s="13" t="inlineStr">
        <is>
          <t>MEDIUM</t>
        </is>
      </c>
      <c r="G193" s="15" t="n">
        <v>731.26</v>
      </c>
      <c r="H193" s="16" t="n">
        <v>740.61</v>
      </c>
      <c r="I193" s="16" t="n">
        <v>717.12</v>
      </c>
      <c r="K193" s="26">
        <f>IF(H193="","",(H193-G193)/G193)</f>
        <v/>
      </c>
      <c r="L193" s="26">
        <f>IF(I193="","",(I193-G193)/G193)</f>
        <v/>
      </c>
      <c r="M193" s="26">
        <f>IF(J193="","",(J193-G193)/G193)</f>
        <v/>
      </c>
      <c r="N193" s="27">
        <f>IF(H193="","",IF(D193="HOLD",IF(ABS(K193)&lt;0.03,"YES","NO"),IF(D193="BUY",IF(K193&gt;0,"YES","NO"),IF(D193="SELL",IF(K193&lt;0,"YES","NO"),""))))</f>
        <v/>
      </c>
    </row>
    <row r="194" ht="15" customHeight="1">
      <c r="A194" s="12" t="n">
        <v>46170</v>
      </c>
      <c r="B194" s="13" t="inlineStr">
        <is>
          <t>VTI</t>
        </is>
      </c>
      <c r="C194" s="13" t="inlineStr">
        <is>
          <t>Scout</t>
        </is>
      </c>
      <c r="D194" s="13" t="inlineStr">
        <is>
          <t>HOLD</t>
        </is>
      </c>
      <c r="E194" s="14" t="n">
        <v>0.52</v>
      </c>
      <c r="F194" s="13" t="inlineStr">
        <is>
          <t>MEDIUM</t>
        </is>
      </c>
      <c r="G194" s="15" t="n">
        <v>370.21</v>
      </c>
      <c r="H194" s="16" t="n">
        <v>373.38</v>
      </c>
      <c r="I194" s="16" t="n">
        <v>364.3</v>
      </c>
      <c r="K194" s="26">
        <f>IF(H194="","",(H194-G194)/G194)</f>
        <v/>
      </c>
      <c r="L194" s="26">
        <f>IF(I194="","",(I194-G194)/G194)</f>
        <v/>
      </c>
      <c r="M194" s="26">
        <f>IF(J194="","",(J194-G194)/G194)</f>
        <v/>
      </c>
      <c r="N194" s="27">
        <f>IF(H194="","",IF(D194="HOLD",IF(ABS(K194)&lt;0.03,"YES","NO"),IF(D194="BUY",IF(K194&gt;0,"YES","NO"),IF(D194="SELL",IF(K194&lt;0,"YES","NO"),""))))</f>
        <v/>
      </c>
    </row>
    <row r="195" ht="15" customHeight="1">
      <c r="A195" s="12" t="n">
        <v>46170</v>
      </c>
      <c r="B195" s="13" t="inlineStr">
        <is>
          <t>NVDA</t>
        </is>
      </c>
      <c r="C195" s="13" t="inlineStr">
        <is>
          <t>Scout</t>
        </is>
      </c>
      <c r="D195" s="13" t="inlineStr">
        <is>
          <t>HOLD</t>
        </is>
      </c>
      <c r="E195" s="14" t="n">
        <v>0.45</v>
      </c>
      <c r="F195" s="13" t="inlineStr">
        <is>
          <t>MEDIUM</t>
        </is>
      </c>
      <c r="G195" s="15" t="n">
        <v>212.09</v>
      </c>
      <c r="H195" s="16" t="n">
        <v>218.66</v>
      </c>
      <c r="I195" s="16" t="n">
        <v>204.87</v>
      </c>
      <c r="K195" s="26">
        <f>IF(H195="","",(H195-G195)/G195)</f>
        <v/>
      </c>
      <c r="L195" s="26">
        <f>IF(I195="","",(I195-G195)/G195)</f>
        <v/>
      </c>
      <c r="M195" s="26">
        <f>IF(J195="","",(J195-G195)/G195)</f>
        <v/>
      </c>
      <c r="N195" s="27">
        <f>IF(H195="","",IF(D195="HOLD",IF(ABS(K195)&lt;0.03,"YES","NO"),IF(D195="BUY",IF(K195&gt;0,"YES","NO"),IF(D195="SELL",IF(K195&lt;0,"YES","NO"),""))))</f>
        <v/>
      </c>
    </row>
    <row r="196" ht="15" customHeight="1">
      <c r="A196" s="12" t="n">
        <v>46170</v>
      </c>
      <c r="B196" s="13" t="inlineStr">
        <is>
          <t>GLD</t>
        </is>
      </c>
      <c r="C196" s="13" t="inlineStr">
        <is>
          <t>Scout</t>
        </is>
      </c>
      <c r="D196" s="13" t="inlineStr">
        <is>
          <t>HOLD</t>
        </is>
      </c>
      <c r="E196" s="14" t="n">
        <v>0.42</v>
      </c>
      <c r="F196" s="13" t="inlineStr">
        <is>
          <t>MEDIUM</t>
        </is>
      </c>
      <c r="G196" s="15" t="n">
        <v>409.31</v>
      </c>
      <c r="H196" s="16" t="n">
        <v>411.27</v>
      </c>
      <c r="I196" s="16" t="n">
        <v>386.32</v>
      </c>
      <c r="K196" s="26">
        <f>IF(H196="","",(H196-G196)/G196)</f>
        <v/>
      </c>
      <c r="L196" s="26">
        <f>IF(I196="","",(I196-G196)/G196)</f>
        <v/>
      </c>
      <c r="M196" s="26">
        <f>IF(J196="","",(J196-G196)/G196)</f>
        <v/>
      </c>
      <c r="N196" s="27">
        <f>IF(H196="","",IF(D196="HOLD",IF(ABS(K196)&lt;0.03,"YES","NO"),IF(D196="BUY",IF(K196&gt;0,"YES","NO"),IF(D196="SELL",IF(K196&lt;0,"YES","NO"),""))))</f>
        <v/>
      </c>
    </row>
    <row r="197" ht="15" customHeight="1">
      <c r="A197" s="12" t="n">
        <v>46171</v>
      </c>
      <c r="B197" s="13" t="inlineStr">
        <is>
          <t>AAPL</t>
        </is>
      </c>
      <c r="C197" s="13" t="inlineStr">
        <is>
          <t>Roth IRA</t>
        </is>
      </c>
      <c r="D197" s="13" t="inlineStr">
        <is>
          <t>HOLD</t>
        </is>
      </c>
      <c r="E197" s="14" t="n">
        <v>0.55</v>
      </c>
      <c r="F197" s="13" t="inlineStr">
        <is>
          <t>MEDIUM</t>
        </is>
      </c>
      <c r="G197" s="15" t="n">
        <v>313.86</v>
      </c>
      <c r="H197" s="16" t="n">
        <v>307.34</v>
      </c>
      <c r="I197" s="16" t="n">
        <v>291.13</v>
      </c>
      <c r="K197" s="26">
        <f>IF(H197="","",(H197-G197)/G197)</f>
        <v/>
      </c>
      <c r="L197" s="26">
        <f>IF(I197="","",(I197-G197)/G197)</f>
        <v/>
      </c>
      <c r="M197" s="26">
        <f>IF(J197="","",(J197-G197)/G197)</f>
        <v/>
      </c>
      <c r="N197" s="27">
        <f>IF(H197="","",IF(D197="HOLD",IF(ABS(K197)&lt;0.03,"YES","NO"),IF(D197="BUY",IF(K197&gt;0,"YES","NO"),IF(D197="SELL",IF(K197&lt;0,"YES","NO"),""))))</f>
        <v/>
      </c>
    </row>
    <row r="198" ht="15" customHeight="1">
      <c r="A198" s="12" t="n">
        <v>46171</v>
      </c>
      <c r="B198" s="13" t="inlineStr">
        <is>
          <t>AG</t>
        </is>
      </c>
      <c r="C198" s="13" t="inlineStr">
        <is>
          <t>Individual</t>
        </is>
      </c>
      <c r="D198" s="13" t="inlineStr">
        <is>
          <t>HOLD</t>
        </is>
      </c>
      <c r="E198" s="14" t="n">
        <v>0.42</v>
      </c>
      <c r="F198" s="13" t="inlineStr">
        <is>
          <t>MEDIUM</t>
        </is>
      </c>
      <c r="G198" s="15" t="n">
        <v>20.285</v>
      </c>
      <c r="H198" s="16" t="n">
        <v>16.99</v>
      </c>
      <c r="I198" s="16" t="n">
        <v>17.65</v>
      </c>
      <c r="K198" s="26">
        <f>IF(H198="","",(H198-G198)/G198)</f>
        <v/>
      </c>
      <c r="L198" s="26">
        <f>IF(I198="","",(I198-G198)/G198)</f>
        <v/>
      </c>
      <c r="M198" s="26">
        <f>IF(J198="","",(J198-G198)/G198)</f>
        <v/>
      </c>
      <c r="N198" s="27">
        <f>IF(H198="","",IF(D198="HOLD",IF(ABS(K198)&lt;0.03,"YES","NO"),IF(D198="BUY",IF(K198&gt;0,"YES","NO"),IF(D198="SELL",IF(K198&lt;0,"YES","NO"),""))))</f>
        <v/>
      </c>
    </row>
    <row r="199" ht="15" customHeight="1">
      <c r="A199" s="12" t="n">
        <v>46171</v>
      </c>
      <c r="B199" s="13" t="inlineStr">
        <is>
          <t>AIQ</t>
        </is>
      </c>
      <c r="C199" s="13" t="inlineStr">
        <is>
          <t>Roth IRA,Individual</t>
        </is>
      </c>
      <c r="D199" s="13" t="inlineStr">
        <is>
          <t>HOLD</t>
        </is>
      </c>
      <c r="E199" s="14" t="n">
        <v>0.62</v>
      </c>
      <c r="F199" s="13" t="inlineStr">
        <is>
          <t>HIGH</t>
        </is>
      </c>
      <c r="G199" s="15" t="n">
        <v>67.06999999999999</v>
      </c>
      <c r="H199" s="16" t="n">
        <v>62.52</v>
      </c>
      <c r="I199" s="16" t="n">
        <v>64</v>
      </c>
      <c r="K199" s="26">
        <f>IF(H199="","",(H199-G199)/G199)</f>
        <v/>
      </c>
      <c r="L199" s="26">
        <f>IF(I199="","",(I199-G199)/G199)</f>
        <v/>
      </c>
      <c r="M199" s="26">
        <f>IF(J199="","",(J199-G199)/G199)</f>
        <v/>
      </c>
      <c r="N199" s="27">
        <f>IF(H199="","",IF(D199="HOLD",IF(ABS(K199)&lt;0.03,"YES","NO"),IF(D199="BUY",IF(K199&gt;0,"YES","NO"),IF(D199="SELL",IF(K199&lt;0,"YES","NO"),""))))</f>
        <v/>
      </c>
    </row>
    <row r="200" ht="15" customHeight="1">
      <c r="A200" s="12" t="n">
        <v>46171</v>
      </c>
      <c r="B200" s="13" t="inlineStr">
        <is>
          <t>CBRS</t>
        </is>
      </c>
      <c r="C200" s="13" t="inlineStr">
        <is>
          <t>Individual</t>
        </is>
      </c>
      <c r="D200" s="13" t="inlineStr">
        <is>
          <t>HOLD</t>
        </is>
      </c>
      <c r="E200" s="14" t="n">
        <v>0.42</v>
      </c>
      <c r="F200" s="13" t="inlineStr">
        <is>
          <t>LOW</t>
        </is>
      </c>
      <c r="G200" s="15" t="n">
        <v>238.14</v>
      </c>
      <c r="H200" s="16" t="n">
        <v>201.01</v>
      </c>
      <c r="I200" s="16" t="n">
        <v>214</v>
      </c>
      <c r="K200" s="26">
        <f>IF(H200="","",(H200-G200)/G200)</f>
        <v/>
      </c>
      <c r="L200" s="26">
        <f>IF(I200="","",(I200-G200)/G200)</f>
        <v/>
      </c>
      <c r="M200" s="26">
        <f>IF(J200="","",(J200-G200)/G200)</f>
        <v/>
      </c>
      <c r="N200" s="27">
        <f>IF(H200="","",IF(D200="HOLD",IF(ABS(K200)&lt;0.03,"YES","NO"),IF(D200="BUY",IF(K200&gt;0,"YES","NO"),IF(D200="SELL",IF(K200&lt;0,"YES","NO"),""))))</f>
        <v/>
      </c>
    </row>
    <row r="201" ht="15" customHeight="1">
      <c r="A201" s="12" t="n">
        <v>46171</v>
      </c>
      <c r="B201" s="13" t="inlineStr">
        <is>
          <t>CORN</t>
        </is>
      </c>
      <c r="C201" s="13" t="inlineStr">
        <is>
          <t>Individual</t>
        </is>
      </c>
      <c r="D201" s="13" t="inlineStr">
        <is>
          <t>HOLD</t>
        </is>
      </c>
      <c r="E201" s="14" t="n">
        <v>0.42</v>
      </c>
      <c r="F201" s="13" t="inlineStr">
        <is>
          <t>MEDIUM</t>
        </is>
      </c>
      <c r="G201" s="15" t="n">
        <v>18.05</v>
      </c>
      <c r="H201" s="16" t="n">
        <v>17.06</v>
      </c>
      <c r="I201" s="16" t="n">
        <v>16.8</v>
      </c>
      <c r="K201" s="26">
        <f>IF(H201="","",(H201-G201)/G201)</f>
        <v/>
      </c>
      <c r="L201" s="26">
        <f>IF(I201="","",(I201-G201)/G201)</f>
        <v/>
      </c>
      <c r="M201" s="26">
        <f>IF(J201="","",(J201-G201)/G201)</f>
        <v/>
      </c>
      <c r="N201" s="27">
        <f>IF(H201="","",IF(D201="HOLD",IF(ABS(K201)&lt;0.03,"YES","NO"),IF(D201="BUY",IF(K201&gt;0,"YES","NO"),IF(D201="SELL",IF(K201&lt;0,"YES","NO"),""))))</f>
        <v/>
      </c>
    </row>
    <row r="202" ht="15" customHeight="1">
      <c r="A202" s="12" t="n">
        <v>46171</v>
      </c>
      <c r="B202" s="13" t="inlineStr">
        <is>
          <t>DOW</t>
        </is>
      </c>
      <c r="C202" s="13" t="inlineStr">
        <is>
          <t>Roth IRA,Individual</t>
        </is>
      </c>
      <c r="D202" s="13" t="inlineStr">
        <is>
          <t>HOLD</t>
        </is>
      </c>
      <c r="E202" s="14" t="n">
        <v>0.42</v>
      </c>
      <c r="F202" s="13" t="inlineStr">
        <is>
          <t>MEDIUM</t>
        </is>
      </c>
      <c r="G202" s="15" t="n">
        <v>34.12</v>
      </c>
      <c r="H202" s="16" t="n">
        <v>33.97</v>
      </c>
      <c r="I202" s="16" t="n">
        <v>33.85</v>
      </c>
      <c r="K202" s="26">
        <f>IF(H202="","",(H202-G202)/G202)</f>
        <v/>
      </c>
      <c r="L202" s="26">
        <f>IF(I202="","",(I202-G202)/G202)</f>
        <v/>
      </c>
      <c r="M202" s="26">
        <f>IF(J202="","",(J202-G202)/G202)</f>
        <v/>
      </c>
      <c r="N202" s="27">
        <f>IF(H202="","",IF(D202="HOLD",IF(ABS(K202)&lt;0.03,"YES","NO"),IF(D202="BUY",IF(K202&gt;0,"YES","NO"),IF(D202="SELL",IF(K202&lt;0,"YES","NO"),""))))</f>
        <v/>
      </c>
    </row>
    <row r="203" ht="15" customHeight="1">
      <c r="A203" s="12" t="n">
        <v>46171</v>
      </c>
      <c r="B203" s="13" t="inlineStr">
        <is>
          <t>FTI</t>
        </is>
      </c>
      <c r="C203" s="13" t="inlineStr">
        <is>
          <t>Individual</t>
        </is>
      </c>
      <c r="D203" s="13" t="inlineStr">
        <is>
          <t>HOLD</t>
        </is>
      </c>
      <c r="E203" s="14" t="n">
        <v>0.52</v>
      </c>
      <c r="F203" s="13" t="inlineStr">
        <is>
          <t>MEDIUM</t>
        </is>
      </c>
      <c r="G203" s="15" t="n">
        <v>67.80500000000001</v>
      </c>
      <c r="H203" s="16" t="n">
        <v>66.81999999999999</v>
      </c>
      <c r="I203" s="16" t="n">
        <v>70.79000000000001</v>
      </c>
      <c r="K203" s="26">
        <f>IF(H203="","",(H203-G203)/G203)</f>
        <v/>
      </c>
      <c r="L203" s="26">
        <f>IF(I203="","",(I203-G203)/G203)</f>
        <v/>
      </c>
      <c r="M203" s="26">
        <f>IF(J203="","",(J203-G203)/G203)</f>
        <v/>
      </c>
      <c r="N203" s="27">
        <f>IF(H203="","",IF(D203="HOLD",IF(ABS(K203)&lt;0.03,"YES","NO"),IF(D203="BUY",IF(K203&gt;0,"YES","NO"),IF(D203="SELL",IF(K203&lt;0,"YES","NO"),""))))</f>
        <v/>
      </c>
    </row>
    <row r="204" ht="15" customHeight="1">
      <c r="A204" s="12" t="n">
        <v>46171</v>
      </c>
      <c r="B204" s="13" t="inlineStr">
        <is>
          <t>GM</t>
        </is>
      </c>
      <c r="C204" s="13" t="inlineStr">
        <is>
          <t>Roth IRA,Individual</t>
        </is>
      </c>
      <c r="D204" s="13" t="inlineStr">
        <is>
          <t>HOLD</t>
        </is>
      </c>
      <c r="E204" s="14" t="n">
        <v>0.62</v>
      </c>
      <c r="F204" s="13" t="inlineStr">
        <is>
          <t>HIGH</t>
        </is>
      </c>
      <c r="G204" s="15" t="n">
        <v>83.76000000000001</v>
      </c>
      <c r="H204" s="16" t="n">
        <v>82.11</v>
      </c>
      <c r="I204" s="16" t="n">
        <v>81.5</v>
      </c>
      <c r="K204" s="26">
        <f>IF(H204="","",(H204-G204)/G204)</f>
        <v/>
      </c>
      <c r="L204" s="26">
        <f>IF(I204="","",(I204-G204)/G204)</f>
        <v/>
      </c>
      <c r="M204" s="26">
        <f>IF(J204="","",(J204-G204)/G204)</f>
        <v/>
      </c>
      <c r="N204" s="27">
        <f>IF(H204="","",IF(D204="HOLD",IF(ABS(K204)&lt;0.03,"YES","NO"),IF(D204="BUY",IF(K204&gt;0,"YES","NO"),IF(D204="SELL",IF(K204&lt;0,"YES","NO"),""))))</f>
        <v/>
      </c>
    </row>
    <row r="205" ht="15" customHeight="1">
      <c r="A205" s="12" t="n">
        <v>46171</v>
      </c>
      <c r="B205" s="13" t="inlineStr">
        <is>
          <t>JPM</t>
        </is>
      </c>
      <c r="C205" s="13" t="inlineStr">
        <is>
          <t>Roth IRA</t>
        </is>
      </c>
      <c r="D205" s="13" t="inlineStr">
        <is>
          <t>HOLD</t>
        </is>
      </c>
      <c r="E205" s="14" t="n">
        <v>0.55</v>
      </c>
      <c r="F205" s="13" t="inlineStr">
        <is>
          <t>HIGH</t>
        </is>
      </c>
      <c r="G205" s="15" t="n">
        <v>295.905</v>
      </c>
      <c r="H205" s="16" t="n">
        <v>312.37</v>
      </c>
      <c r="I205" s="16" t="n">
        <v>320.72</v>
      </c>
      <c r="K205" s="26">
        <f>IF(H205="","",(H205-G205)/G205)</f>
        <v/>
      </c>
      <c r="L205" s="26">
        <f>IF(I205="","",(I205-G205)/G205)</f>
        <v/>
      </c>
      <c r="M205" s="26">
        <f>IF(J205="","",(J205-G205)/G205)</f>
        <v/>
      </c>
      <c r="N205" s="27">
        <f>IF(H205="","",IF(D205="HOLD",IF(ABS(K205)&lt;0.03,"YES","NO"),IF(D205="BUY",IF(K205&gt;0,"YES","NO"),IF(D205="SELL",IF(K205&lt;0,"YES","NO"),""))))</f>
        <v/>
      </c>
    </row>
    <row r="206" ht="15" customHeight="1">
      <c r="A206" s="12" t="n">
        <v>46171</v>
      </c>
      <c r="B206" s="13" t="inlineStr">
        <is>
          <t>MSFT</t>
        </is>
      </c>
      <c r="C206" s="13" t="inlineStr">
        <is>
          <t>Roth IRA,Individual</t>
        </is>
      </c>
      <c r="D206" s="13" t="inlineStr">
        <is>
          <t>HOLD</t>
        </is>
      </c>
      <c r="E206" s="14" t="n">
        <v>0.58</v>
      </c>
      <c r="F206" s="13" t="inlineStr">
        <is>
          <t>HIGH</t>
        </is>
      </c>
      <c r="G206" s="15" t="n">
        <v>440.78</v>
      </c>
      <c r="H206" s="16" t="n">
        <v>416.67</v>
      </c>
      <c r="I206" s="16" t="n">
        <v>390.74</v>
      </c>
      <c r="K206" s="26">
        <f>IF(H206="","",(H206-G206)/G206)</f>
        <v/>
      </c>
      <c r="L206" s="26">
        <f>IF(I206="","",(I206-G206)/G206)</f>
        <v/>
      </c>
      <c r="M206" s="26">
        <f>IF(J206="","",(J206-G206)/G206)</f>
        <v/>
      </c>
      <c r="N206" s="27">
        <f>IF(H206="","",IF(D206="HOLD",IF(ABS(K206)&lt;0.03,"YES","NO"),IF(D206="BUY",IF(K206&gt;0,"YES","NO"),IF(D206="SELL",IF(K206&lt;0,"YES","NO"),""))))</f>
        <v/>
      </c>
    </row>
    <row r="207" ht="15" customHeight="1">
      <c r="A207" s="12" t="n">
        <v>46171</v>
      </c>
      <c r="B207" s="13" t="inlineStr">
        <is>
          <t>NKE</t>
        </is>
      </c>
      <c r="C207" s="13" t="inlineStr">
        <is>
          <t>Roth IRA</t>
        </is>
      </c>
      <c r="D207" s="13" t="inlineStr">
        <is>
          <t>HOLD</t>
        </is>
      </c>
      <c r="E207" s="14" t="n">
        <v>0.52</v>
      </c>
      <c r="F207" s="13" t="inlineStr">
        <is>
          <t>HIGH</t>
        </is>
      </c>
      <c r="G207" s="15" t="n">
        <v>46.715</v>
      </c>
      <c r="H207" s="16" t="n">
        <v>42.98</v>
      </c>
      <c r="I207" s="16" t="n">
        <v>44.93</v>
      </c>
      <c r="K207" s="26">
        <f>IF(H207="","",(H207-G207)/G207)</f>
        <v/>
      </c>
      <c r="L207" s="26">
        <f>IF(I207="","",(I207-G207)/G207)</f>
        <v/>
      </c>
      <c r="M207" s="26">
        <f>IF(J207="","",(J207-G207)/G207)</f>
        <v/>
      </c>
      <c r="N207" s="27">
        <f>IF(H207="","",IF(D207="HOLD",IF(ABS(K207)&lt;0.03,"YES","NO"),IF(D207="BUY",IF(K207&gt;0,"YES","NO"),IF(D207="SELL",IF(K207&lt;0,"YES","NO"),""))))</f>
        <v/>
      </c>
    </row>
    <row r="208" ht="15" customHeight="1">
      <c r="A208" s="12" t="n">
        <v>46171</v>
      </c>
      <c r="B208" s="13" t="inlineStr">
        <is>
          <t>NTR</t>
        </is>
      </c>
      <c r="C208" s="13" t="inlineStr">
        <is>
          <t>Roth IRA,Individual</t>
        </is>
      </c>
      <c r="D208" s="13" t="inlineStr">
        <is>
          <t>HOLD</t>
        </is>
      </c>
      <c r="E208" s="14" t="n">
        <v>0.52</v>
      </c>
      <c r="F208" s="13" t="inlineStr">
        <is>
          <t>MEDIUM</t>
        </is>
      </c>
      <c r="G208" s="15" t="n">
        <v>68.97499999999999</v>
      </c>
      <c r="H208" s="16" t="n">
        <v>67.2</v>
      </c>
      <c r="I208" s="16" t="n">
        <v>67.62</v>
      </c>
      <c r="K208" s="26">
        <f>IF(H208="","",(H208-G208)/G208)</f>
        <v/>
      </c>
      <c r="L208" s="26">
        <f>IF(I208="","",(I208-G208)/G208)</f>
        <v/>
      </c>
      <c r="M208" s="26">
        <f>IF(J208="","",(J208-G208)/G208)</f>
        <v/>
      </c>
      <c r="N208" s="27">
        <f>IF(H208="","",IF(D208="HOLD",IF(ABS(K208)&lt;0.03,"YES","NO"),IF(D208="BUY",IF(K208&gt;0,"YES","NO"),IF(D208="SELL",IF(K208&lt;0,"YES","NO"),""))))</f>
        <v/>
      </c>
    </row>
    <row r="209" ht="15" customHeight="1">
      <c r="A209" s="12" t="n">
        <v>46171</v>
      </c>
      <c r="B209" s="13" t="inlineStr">
        <is>
          <t>PM</t>
        </is>
      </c>
      <c r="C209" s="13" t="inlineStr">
        <is>
          <t>Roth IRA</t>
        </is>
      </c>
      <c r="D209" s="13" t="inlineStr">
        <is>
          <t>HOLD</t>
        </is>
      </c>
      <c r="E209" s="14" t="n">
        <v>0.62</v>
      </c>
      <c r="F209" s="13" t="inlineStr">
        <is>
          <t>HIGH</t>
        </is>
      </c>
      <c r="G209" s="15" t="n">
        <v>177.11</v>
      </c>
      <c r="H209" s="16" t="n">
        <v>178.29</v>
      </c>
      <c r="I209" s="16" t="n">
        <v>184.3</v>
      </c>
      <c r="K209" s="26">
        <f>IF(H209="","",(H209-G209)/G209)</f>
        <v/>
      </c>
      <c r="L209" s="26">
        <f>IF(I209="","",(I209-G209)/G209)</f>
        <v/>
      </c>
      <c r="M209" s="26">
        <f>IF(J209="","",(J209-G209)/G209)</f>
        <v/>
      </c>
      <c r="N209" s="27">
        <f>IF(H209="","",IF(D209="HOLD",IF(ABS(K209)&lt;0.03,"YES","NO"),IF(D209="BUY",IF(K209&gt;0,"YES","NO"),IF(D209="SELL",IF(K209&lt;0,"YES","NO"),""))))</f>
        <v/>
      </c>
    </row>
    <row r="210" ht="15" customHeight="1">
      <c r="A210" s="12" t="n">
        <v>46171</v>
      </c>
      <c r="B210" s="13" t="inlineStr">
        <is>
          <t>PWR</t>
        </is>
      </c>
      <c r="C210" s="13" t="inlineStr">
        <is>
          <t>Roth IRA</t>
        </is>
      </c>
      <c r="D210" s="13" t="inlineStr">
        <is>
          <t>HOLD</t>
        </is>
      </c>
      <c r="E210" s="14" t="n">
        <v>0.62</v>
      </c>
      <c r="F210" s="13" t="inlineStr">
        <is>
          <t>HIGH</t>
        </is>
      </c>
      <c r="G210" s="15" t="n">
        <v>708.7</v>
      </c>
      <c r="H210" s="16" t="n">
        <v>695.11</v>
      </c>
      <c r="I210" s="16" t="n">
        <v>707.74</v>
      </c>
      <c r="K210" s="26">
        <f>IF(H210="","",(H210-G210)/G210)</f>
        <v/>
      </c>
      <c r="L210" s="26">
        <f>IF(I210="","",(I210-G210)/G210)</f>
        <v/>
      </c>
      <c r="M210" s="26">
        <f>IF(J210="","",(J210-G210)/G210)</f>
        <v/>
      </c>
      <c r="N210" s="27">
        <f>IF(H210="","",IF(D210="HOLD",IF(ABS(K210)&lt;0.03,"YES","NO"),IF(D210="BUY",IF(K210&gt;0,"YES","NO"),IF(D210="SELL",IF(K210&lt;0,"YES","NO"),""))))</f>
        <v/>
      </c>
    </row>
    <row r="211" ht="15" customHeight="1">
      <c r="A211" s="12" t="n">
        <v>46171</v>
      </c>
      <c r="B211" s="13" t="inlineStr">
        <is>
          <t>RTX</t>
        </is>
      </c>
      <c r="C211" s="13" t="inlineStr">
        <is>
          <t>Individual</t>
        </is>
      </c>
      <c r="D211" s="13" t="inlineStr">
        <is>
          <t>HOLD</t>
        </is>
      </c>
      <c r="E211" s="14" t="n">
        <v>0.52</v>
      </c>
      <c r="F211" s="13" t="inlineStr">
        <is>
          <t>MEDIUM</t>
        </is>
      </c>
      <c r="G211" s="15" t="n">
        <v>176.27</v>
      </c>
      <c r="H211" s="16" t="n">
        <v>180.99</v>
      </c>
      <c r="I211" s="16" t="n">
        <v>183.53</v>
      </c>
      <c r="K211" s="26">
        <f>IF(H211="","",(H211-G211)/G211)</f>
        <v/>
      </c>
      <c r="L211" s="26">
        <f>IF(I211="","",(I211-G211)/G211)</f>
        <v/>
      </c>
      <c r="M211" s="26">
        <f>IF(J211="","",(J211-G211)/G211)</f>
        <v/>
      </c>
      <c r="N211" s="27">
        <f>IF(H211="","",IF(D211="HOLD",IF(ABS(K211)&lt;0.03,"YES","NO"),IF(D211="BUY",IF(K211&gt;0,"YES","NO"),IF(D211="SELL",IF(K211&lt;0,"YES","NO"),""))))</f>
        <v/>
      </c>
    </row>
    <row r="212" ht="15" customHeight="1">
      <c r="A212" s="12" t="n">
        <v>46171</v>
      </c>
      <c r="B212" s="13" t="inlineStr">
        <is>
          <t>SCHD</t>
        </is>
      </c>
      <c r="C212" s="13" t="inlineStr">
        <is>
          <t>Roth IRA</t>
        </is>
      </c>
      <c r="D212" s="13" t="inlineStr">
        <is>
          <t>HOLD</t>
        </is>
      </c>
      <c r="E212" s="14" t="n">
        <v>0.68</v>
      </c>
      <c r="F212" s="13" t="inlineStr">
        <is>
          <t>HIGH</t>
        </is>
      </c>
      <c r="G212" s="15" t="n">
        <v>32.595</v>
      </c>
      <c r="H212" s="16" t="n">
        <v>32.3</v>
      </c>
      <c r="I212" s="16" t="n">
        <v>32.82</v>
      </c>
      <c r="K212" s="26">
        <f>IF(H212="","",(H212-G212)/G212)</f>
        <v/>
      </c>
      <c r="L212" s="26">
        <f>IF(I212="","",(I212-G212)/G212)</f>
        <v/>
      </c>
      <c r="M212" s="26">
        <f>IF(J212="","",(J212-G212)/G212)</f>
        <v/>
      </c>
      <c r="N212" s="27">
        <f>IF(H212="","",IF(D212="HOLD",IF(ABS(K212)&lt;0.03,"YES","NO"),IF(D212="BUY",IF(K212&gt;0,"YES","NO"),IF(D212="SELL",IF(K212&lt;0,"YES","NO"),""))))</f>
        <v/>
      </c>
    </row>
    <row r="213" ht="15" customHeight="1">
      <c r="A213" s="12" t="n">
        <v>46171</v>
      </c>
      <c r="B213" s="13" t="inlineStr">
        <is>
          <t>SND</t>
        </is>
      </c>
      <c r="C213" s="13" t="inlineStr">
        <is>
          <t>Individual</t>
        </is>
      </c>
      <c r="D213" s="13" t="inlineStr">
        <is>
          <t>HOLD</t>
        </is>
      </c>
      <c r="E213" s="14" t="n">
        <v>0.42</v>
      </c>
      <c r="F213" s="13" t="inlineStr">
        <is>
          <t>LOW</t>
        </is>
      </c>
      <c r="G213" s="15" t="n">
        <v>4.57</v>
      </c>
      <c r="H213" s="16" t="n">
        <v>5.45</v>
      </c>
      <c r="I213" s="16" t="n">
        <v>5.32</v>
      </c>
      <c r="K213" s="26">
        <f>IF(H213="","",(H213-G213)/G213)</f>
        <v/>
      </c>
      <c r="L213" s="26">
        <f>IF(I213="","",(I213-G213)/G213)</f>
        <v/>
      </c>
      <c r="M213" s="26">
        <f>IF(J213="","",(J213-G213)/G213)</f>
        <v/>
      </c>
      <c r="N213" s="27">
        <f>IF(H213="","",IF(D213="HOLD",IF(ABS(K213)&lt;0.03,"YES","NO"),IF(D213="BUY",IF(K213&gt;0,"YES","NO"),IF(D213="SELL",IF(K213&lt;0,"YES","NO"),""))))</f>
        <v/>
      </c>
    </row>
    <row r="214" ht="15" customHeight="1">
      <c r="A214" s="12" t="n">
        <v>46171</v>
      </c>
      <c r="B214" s="13" t="inlineStr">
        <is>
          <t>WMT</t>
        </is>
      </c>
      <c r="C214" s="13" t="inlineStr">
        <is>
          <t>Roth IRA,Individual</t>
        </is>
      </c>
      <c r="D214" s="13" t="inlineStr">
        <is>
          <t>HOLD</t>
        </is>
      </c>
      <c r="E214" s="14" t="n">
        <v>0.52</v>
      </c>
      <c r="F214" s="13" t="inlineStr">
        <is>
          <t>MEDIUM</t>
        </is>
      </c>
      <c r="G214" s="15" t="n">
        <v>116.04</v>
      </c>
      <c r="H214" s="16" t="n">
        <v>118.88</v>
      </c>
      <c r="I214" s="16" t="n">
        <v>121.04</v>
      </c>
      <c r="K214" s="26">
        <f>IF(H214="","",(H214-G214)/G214)</f>
        <v/>
      </c>
      <c r="L214" s="26">
        <f>IF(I214="","",(I214-G214)/G214)</f>
        <v/>
      </c>
      <c r="M214" s="26">
        <f>IF(J214="","",(J214-G214)/G214)</f>
        <v/>
      </c>
      <c r="N214" s="27">
        <f>IF(H214="","",IF(D214="HOLD",IF(ABS(K214)&lt;0.03,"YES","NO"),IF(D214="BUY",IF(K214&gt;0,"YES","NO"),IF(D214="SELL",IF(K214&lt;0,"YES","NO"),""))))</f>
        <v/>
      </c>
    </row>
    <row r="215" ht="15" customHeight="1">
      <c r="A215" s="12" t="n">
        <v>46171</v>
      </c>
      <c r="B215" s="13" t="inlineStr">
        <is>
          <t>XLU</t>
        </is>
      </c>
      <c r="C215" s="13" t="inlineStr">
        <is>
          <t>Roth IRA</t>
        </is>
      </c>
      <c r="D215" s="13" t="inlineStr">
        <is>
          <t>HOLD</t>
        </is>
      </c>
      <c r="E215" s="14" t="n">
        <v>0.52</v>
      </c>
      <c r="F215" s="13" t="inlineStr">
        <is>
          <t>MEDIUM</t>
        </is>
      </c>
      <c r="G215" s="15" t="n">
        <v>44.345</v>
      </c>
      <c r="H215" s="16" t="n">
        <v>44.35</v>
      </c>
      <c r="I215" s="16" t="n">
        <v>44.53</v>
      </c>
      <c r="K215" s="26">
        <f>IF(H215="","",(H215-G215)/G215)</f>
        <v/>
      </c>
      <c r="L215" s="26">
        <f>IF(I215="","",(I215-G215)/G215)</f>
        <v/>
      </c>
      <c r="M215" s="26">
        <f>IF(J215="","",(J215-G215)/G215)</f>
        <v/>
      </c>
      <c r="N215" s="27">
        <f>IF(H215="","",IF(D215="HOLD",IF(ABS(K215)&lt;0.03,"YES","NO"),IF(D215="BUY",IF(K215&gt;0,"YES","NO"),IF(D215="SELL",IF(K215&lt;0,"YES","NO"),""))))</f>
        <v/>
      </c>
    </row>
    <row r="216" ht="15" customHeight="1">
      <c r="A216" s="12" t="n">
        <v>46171</v>
      </c>
      <c r="B216" s="13" t="inlineStr">
        <is>
          <t>SPY</t>
        </is>
      </c>
      <c r="C216" s="13" t="inlineStr">
        <is>
          <t>Scout</t>
        </is>
      </c>
      <c r="D216" s="13" t="inlineStr">
        <is>
          <t>HOLD</t>
        </is>
      </c>
      <c r="E216" s="14" t="n">
        <v>0.52</v>
      </c>
      <c r="F216" s="13" t="inlineStr">
        <is>
          <t>HIGH</t>
        </is>
      </c>
      <c r="G216" s="15" t="n">
        <v>756.89</v>
      </c>
      <c r="H216" s="16" t="n">
        <v>737.55</v>
      </c>
      <c r="I216" s="16" t="n">
        <v>741.75</v>
      </c>
      <c r="K216" s="26">
        <f>IF(H216="","",(H216-G216)/G216)</f>
        <v/>
      </c>
      <c r="L216" s="26">
        <f>IF(I216="","",(I216-G216)/G216)</f>
        <v/>
      </c>
      <c r="M216" s="26">
        <f>IF(J216="","",(J216-G216)/G216)</f>
        <v/>
      </c>
      <c r="N216" s="27">
        <f>IF(H216="","",IF(D216="HOLD",IF(ABS(K216)&lt;0.03,"YES","NO"),IF(D216="BUY",IF(K216&gt;0,"YES","NO"),IF(D216="SELL",IF(K216&lt;0,"YES","NO"),""))))</f>
        <v/>
      </c>
    </row>
    <row r="217" ht="15" customHeight="1">
      <c r="A217" s="12" t="n">
        <v>46171</v>
      </c>
      <c r="B217" s="13" t="inlineStr">
        <is>
          <t>QQQ</t>
        </is>
      </c>
      <c r="C217" s="13" t="inlineStr">
        <is>
          <t>Scout</t>
        </is>
      </c>
      <c r="D217" s="13" t="inlineStr">
        <is>
          <t>HOLD</t>
        </is>
      </c>
      <c r="E217" s="14" t="n">
        <v>0.48</v>
      </c>
      <c r="F217" s="13" t="inlineStr">
        <is>
          <t>MEDIUM</t>
        </is>
      </c>
      <c r="G217" s="15" t="n">
        <v>738.88</v>
      </c>
      <c r="H217" s="16" t="n">
        <v>705.0599999999999</v>
      </c>
      <c r="I217" s="16" t="n">
        <v>721.34</v>
      </c>
      <c r="K217" s="26">
        <f>IF(H217="","",(H217-G217)/G217)</f>
        <v/>
      </c>
      <c r="L217" s="26">
        <f>IF(I217="","",(I217-G217)/G217)</f>
        <v/>
      </c>
      <c r="M217" s="26">
        <f>IF(J217="","",(J217-G217)/G217)</f>
        <v/>
      </c>
      <c r="N217" s="27">
        <f>IF(H217="","",IF(D217="HOLD",IF(ABS(K217)&lt;0.03,"YES","NO"),IF(D217="BUY",IF(K217&gt;0,"YES","NO"),IF(D217="SELL",IF(K217&lt;0,"YES","NO"),""))))</f>
        <v/>
      </c>
    </row>
    <row r="218" ht="15" customHeight="1">
      <c r="A218" s="12" t="n">
        <v>46171</v>
      </c>
      <c r="B218" s="13" t="inlineStr">
        <is>
          <t>VTI</t>
        </is>
      </c>
      <c r="C218" s="13" t="inlineStr">
        <is>
          <t>Scout</t>
        </is>
      </c>
      <c r="D218" s="13" t="inlineStr">
        <is>
          <t>HOLD</t>
        </is>
      </c>
      <c r="E218" s="14" t="n">
        <v>0.52</v>
      </c>
      <c r="F218" s="13" t="inlineStr">
        <is>
          <t>HIGH</t>
        </is>
      </c>
      <c r="G218" s="15" t="n">
        <v>372.21</v>
      </c>
      <c r="H218" s="16" t="n">
        <v>363.38</v>
      </c>
      <c r="I218" s="16" t="n">
        <v>366.36</v>
      </c>
      <c r="K218" s="26">
        <f>IF(H218="","",(H218-G218)/G218)</f>
        <v/>
      </c>
      <c r="L218" s="26">
        <f>IF(I218="","",(I218-G218)/G218)</f>
        <v/>
      </c>
      <c r="M218" s="26">
        <f>IF(J218="","",(J218-G218)/G218)</f>
        <v/>
      </c>
      <c r="N218" s="27">
        <f>IF(H218="","",IF(D218="HOLD",IF(ABS(K218)&lt;0.03,"YES","NO"),IF(D218="BUY",IF(K218&gt;0,"YES","NO"),IF(D218="SELL",IF(K218&lt;0,"YES","NO"),""))))</f>
        <v/>
      </c>
    </row>
    <row r="219" ht="15" customHeight="1">
      <c r="A219" s="12" t="n">
        <v>46171</v>
      </c>
      <c r="B219" s="13" t="inlineStr">
        <is>
          <t>NVDA</t>
        </is>
      </c>
      <c r="C219" s="13" t="inlineStr">
        <is>
          <t>Scout</t>
        </is>
      </c>
      <c r="D219" s="13" t="inlineStr">
        <is>
          <t>BUY</t>
        </is>
      </c>
      <c r="E219" s="14" t="n">
        <v>0.68</v>
      </c>
      <c r="F219" s="13" t="inlineStr">
        <is>
          <t>MEDIUM</t>
        </is>
      </c>
      <c r="G219" s="15" t="n">
        <v>215.95</v>
      </c>
      <c r="H219" s="16" t="n">
        <v>205.1</v>
      </c>
      <c r="I219" s="16" t="n">
        <v>205.19</v>
      </c>
      <c r="K219" s="26">
        <f>IF(H219="","",(H219-G219)/G219)</f>
        <v/>
      </c>
      <c r="L219" s="26">
        <f>IF(I219="","",(I219-G219)/G219)</f>
        <v/>
      </c>
      <c r="M219" s="26">
        <f>IF(J219="","",(J219-G219)/G219)</f>
        <v/>
      </c>
      <c r="N219" s="27">
        <f>IF(H219="","",IF(D219="HOLD",IF(ABS(K219)&lt;0.03,"YES","NO"),IF(D219="BUY",IF(K219&gt;0,"YES","NO"),IF(D219="SELL",IF(K219&lt;0,"YES","NO"),""))))</f>
        <v/>
      </c>
    </row>
    <row r="220" ht="15" customHeight="1">
      <c r="A220" s="12" t="n">
        <v>46171</v>
      </c>
      <c r="B220" s="13" t="inlineStr">
        <is>
          <t>GLD</t>
        </is>
      </c>
      <c r="C220" s="13" t="inlineStr">
        <is>
          <t>Scout</t>
        </is>
      </c>
      <c r="D220" s="13" t="inlineStr">
        <is>
          <t>HOLD</t>
        </is>
      </c>
      <c r="E220" s="14" t="n">
        <v>0.42</v>
      </c>
      <c r="F220" s="13" t="inlineStr">
        <is>
          <t>MEDIUM</t>
        </is>
      </c>
      <c r="G220" s="15" t="n">
        <v>416.12</v>
      </c>
      <c r="H220" s="16" t="n">
        <v>396.24</v>
      </c>
      <c r="I220" s="16" t="n">
        <v>386.54</v>
      </c>
      <c r="K220" s="26">
        <f>IF(H220="","",(H220-G220)/G220)</f>
        <v/>
      </c>
      <c r="L220" s="26">
        <f>IF(I220="","",(I220-G220)/G220)</f>
        <v/>
      </c>
      <c r="M220" s="26">
        <f>IF(J220="","",(J220-G220)/G220)</f>
        <v/>
      </c>
      <c r="N220" s="27">
        <f>IF(H220="","",IF(D220="HOLD",IF(ABS(K220)&lt;0.03,"YES","NO"),IF(D220="BUY",IF(K220&gt;0,"YES","NO"),IF(D220="SELL",IF(K220&lt;0,"YES","NO"),""))))</f>
        <v/>
      </c>
    </row>
    <row r="221" ht="15" customHeight="1">
      <c r="A221" s="12" t="n">
        <v>46174</v>
      </c>
      <c r="B221" s="13" t="inlineStr">
        <is>
          <t>AAPL</t>
        </is>
      </c>
      <c r="C221" s="13" t="inlineStr">
        <is>
          <t>Roth IRA</t>
        </is>
      </c>
      <c r="D221" s="13" t="inlineStr">
        <is>
          <t>HOLD</t>
        </is>
      </c>
      <c r="E221" s="14" t="n">
        <v>0.55</v>
      </c>
      <c r="F221" s="13" t="inlineStr">
        <is>
          <t>MEDIUM</t>
        </is>
      </c>
      <c r="G221" s="15" t="n">
        <v>307.74</v>
      </c>
      <c r="H221" s="16" t="n">
        <v>301.54</v>
      </c>
      <c r="I221" s="16" t="n">
        <v>296.42</v>
      </c>
      <c r="K221" s="26">
        <f>IF(H221="","",(H221-G221)/G221)</f>
        <v/>
      </c>
      <c r="L221" s="26">
        <f>IF(I221="","",(I221-G221)/G221)</f>
        <v/>
      </c>
      <c r="M221" s="26">
        <f>IF(J221="","",(J221-G221)/G221)</f>
        <v/>
      </c>
      <c r="N221" s="27">
        <f>IF(H221="","",IF(D221="HOLD",IF(ABS(K221)&lt;0.03,"YES","NO"),IF(D221="BUY",IF(K221&gt;0,"YES","NO"),IF(D221="SELL",IF(K221&lt;0,"YES","NO"),""))))</f>
        <v/>
      </c>
    </row>
    <row r="222" ht="75" customHeight="1">
      <c r="A222" s="28" t="n">
        <v>46174</v>
      </c>
      <c r="B222" s="29" t="inlineStr">
        <is>
          <t>AG</t>
        </is>
      </c>
      <c r="C222" s="29" t="inlineStr">
        <is>
          <t>Individual</t>
        </is>
      </c>
      <c r="D222" s="29" t="n"/>
      <c r="E222" s="30" t="n"/>
      <c r="F222" s="29" t="n"/>
      <c r="G222" s="31" t="n">
        <v>19.91</v>
      </c>
      <c r="H222" s="32" t="n">
        <v>17.17</v>
      </c>
      <c r="I222" s="32" t="n">
        <v>18.9</v>
      </c>
      <c r="J222" s="32" t="n"/>
      <c r="K222" s="26">
        <f>IF(H222="","",(H222-G222)/G222)</f>
        <v/>
      </c>
      <c r="L222" s="33">
        <f>IF(I222="","",(I222-G222)/G222)</f>
        <v/>
      </c>
      <c r="M222" s="33">
        <f>IF(J222="","",(J222-G222)/G222)</f>
        <v/>
      </c>
      <c r="N222" s="27">
        <f>IF(H222="","",IF(D222="HOLD",IF(ABS(K222)&lt;0.03,"YES","NO"),IF(D222="BUY",IF(K222&gt;0,"YES","NO"),IF(D222="SELL",IF(K222&lt;0,"YES","NO"),""))))</f>
        <v/>
      </c>
      <c r="O222" s="34" t="inlineStr">
        <is>
          <t>AG skipped 6/1 — Schwab 429 rate limit on quote fetch. No signal recorded. Phase 3 fix: add retry/backoff to quote client. +5d mark unavailable from run. Backfill from Schwab close if doing full cohort.</t>
        </is>
      </c>
    </row>
    <row r="223" ht="15" customHeight="1">
      <c r="A223" s="12" t="n">
        <v>46174</v>
      </c>
      <c r="B223" s="13" t="inlineStr">
        <is>
          <t>AIQ</t>
        </is>
      </c>
      <c r="C223" s="13" t="inlineStr">
        <is>
          <t>Roth IRA,Individual</t>
        </is>
      </c>
      <c r="D223" s="13" t="inlineStr">
        <is>
          <t>HOLD</t>
        </is>
      </c>
      <c r="E223" s="14" t="n">
        <v>0.62</v>
      </c>
      <c r="F223" s="13" t="inlineStr">
        <is>
          <t>MEDIUM</t>
        </is>
      </c>
      <c r="G223" s="15" t="n">
        <v>68.33</v>
      </c>
      <c r="H223" s="16" t="n">
        <v>64.44</v>
      </c>
      <c r="I223" s="16" t="n">
        <v>66.55</v>
      </c>
      <c r="K223" s="26">
        <f>IF(H223="","",(H223-G223)/G223)</f>
        <v/>
      </c>
      <c r="L223" s="26">
        <f>IF(I223="","",(I223-G223)/G223)</f>
        <v/>
      </c>
      <c r="M223" s="26">
        <f>IF(J223="","",(J223-G223)/G223)</f>
        <v/>
      </c>
      <c r="N223" s="27">
        <f>IF(H223="","",IF(D223="HOLD",IF(ABS(K223)&lt;0.03,"YES","NO"),IF(D223="BUY",IF(K223&gt;0,"YES","NO"),IF(D223="SELL",IF(K223&lt;0,"YES","NO"),""))))</f>
        <v/>
      </c>
    </row>
    <row r="224" ht="15" customHeight="1">
      <c r="A224" s="12" t="n">
        <v>46174</v>
      </c>
      <c r="B224" s="13" t="inlineStr">
        <is>
          <t>CBRS</t>
        </is>
      </c>
      <c r="C224" s="13" t="inlineStr">
        <is>
          <t>Individual</t>
        </is>
      </c>
      <c r="D224" s="13" t="inlineStr">
        <is>
          <t>HOLD</t>
        </is>
      </c>
      <c r="E224" s="14" t="n">
        <v>0.38</v>
      </c>
      <c r="F224" s="13" t="inlineStr">
        <is>
          <t>MEDIUM</t>
        </is>
      </c>
      <c r="G224" s="15" t="n">
        <v>220.15</v>
      </c>
      <c r="H224" s="16" t="n">
        <v>237.83</v>
      </c>
      <c r="I224" s="16" t="n">
        <v>218.03</v>
      </c>
      <c r="K224" s="26">
        <f>IF(H224="","",(H224-G224)/G224)</f>
        <v/>
      </c>
      <c r="L224" s="26">
        <f>IF(I224="","",(I224-G224)/G224)</f>
        <v/>
      </c>
      <c r="M224" s="26">
        <f>IF(J224="","",(J224-G224)/G224)</f>
        <v/>
      </c>
      <c r="N224" s="27">
        <f>IF(H224="","",IF(D224="HOLD",IF(ABS(K224)&lt;0.03,"YES","NO"),IF(D224="BUY",IF(K224&gt;0,"YES","NO"),IF(D224="SELL",IF(K224&lt;0,"YES","NO"),""))))</f>
        <v/>
      </c>
    </row>
    <row r="225" ht="15" customHeight="1">
      <c r="A225" s="12" t="n">
        <v>46174</v>
      </c>
      <c r="B225" s="13" t="inlineStr">
        <is>
          <t>CORN</t>
        </is>
      </c>
      <c r="C225" s="13" t="inlineStr">
        <is>
          <t>Individual</t>
        </is>
      </c>
      <c r="D225" s="13" t="inlineStr">
        <is>
          <t>HOLD</t>
        </is>
      </c>
      <c r="E225" s="14" t="n">
        <v>0.38</v>
      </c>
      <c r="F225" s="13" t="inlineStr">
        <is>
          <t>LOW</t>
        </is>
      </c>
      <c r="G225" s="15" t="n">
        <v>17.885</v>
      </c>
      <c r="H225" s="16" t="n">
        <v>17.02</v>
      </c>
      <c r="I225" s="16" t="n">
        <v>16.86</v>
      </c>
      <c r="K225" s="26">
        <f>IF(H225="","",(H225-G225)/G225)</f>
        <v/>
      </c>
      <c r="L225" s="26">
        <f>IF(I225="","",(I225-G225)/G225)</f>
        <v/>
      </c>
      <c r="M225" s="26">
        <f>IF(J225="","",(J225-G225)/G225)</f>
        <v/>
      </c>
      <c r="N225" s="27">
        <f>IF(H225="","",IF(D225="HOLD",IF(ABS(K225)&lt;0.03,"YES","NO"),IF(D225="BUY",IF(K225&gt;0,"YES","NO"),IF(D225="SELL",IF(K225&lt;0,"YES","NO"),""))))</f>
        <v/>
      </c>
    </row>
    <row r="226" ht="75" customHeight="1">
      <c r="A226" s="28" t="n">
        <v>46174</v>
      </c>
      <c r="B226" s="29" t="inlineStr">
        <is>
          <t>FTI</t>
        </is>
      </c>
      <c r="C226" s="29" t="inlineStr">
        <is>
          <t>Individual</t>
        </is>
      </c>
      <c r="D226" s="29" t="n"/>
      <c r="E226" s="30" t="n"/>
      <c r="F226" s="29" t="n"/>
      <c r="G226" s="31" t="n">
        <v>68.11</v>
      </c>
      <c r="H226" s="32" t="n">
        <v>68.75</v>
      </c>
      <c r="I226" s="32" t="n">
        <v>68.51000000000001</v>
      </c>
      <c r="J226" s="32" t="n"/>
      <c r="K226" s="26">
        <f>IF(H226="","",(H226-G226)/G226)</f>
        <v/>
      </c>
      <c r="L226" s="33">
        <f>IF(I226="","",(I226-G226)/G226)</f>
        <v/>
      </c>
      <c r="M226" s="33">
        <f>IF(J226="","",(J226-G226)/G226)</f>
        <v/>
      </c>
      <c r="N226" s="27">
        <f>IF(H226="","",IF(D226="HOLD",IF(ABS(K226)&lt;0.03,"YES","NO"),IF(D226="BUY",IF(K226&gt;0,"YES","NO"),IF(D226="SELL",IF(K226&lt;0,"YES","NO"),""))))</f>
        <v/>
      </c>
      <c r="O226" s="34" t="inlineStr">
        <is>
          <t>FTI skipped 6/1 — Schwab 429 rate limit on quote fetch. No signal recorded. Phase 3 fix: add retry/backoff to quote client. +5d mark unavailable from run. Backfill from Schwab close if doing full cohort.</t>
        </is>
      </c>
    </row>
    <row r="227" ht="15" customHeight="1">
      <c r="A227" s="12" t="n">
        <v>46174</v>
      </c>
      <c r="B227" s="13" t="inlineStr">
        <is>
          <t>DOW</t>
        </is>
      </c>
      <c r="C227" s="13" t="inlineStr">
        <is>
          <t>Roth IRA,Individual</t>
        </is>
      </c>
      <c r="D227" s="13" t="inlineStr">
        <is>
          <t>HOLD</t>
        </is>
      </c>
      <c r="E227" s="14" t="n">
        <v>0.42</v>
      </c>
      <c r="F227" s="13" t="inlineStr">
        <is>
          <t>MEDIUM</t>
        </is>
      </c>
      <c r="G227" s="15" t="n">
        <v>34.8</v>
      </c>
      <c r="H227" s="16" t="n">
        <v>34.2</v>
      </c>
      <c r="I227" s="16" t="n">
        <v>33.23</v>
      </c>
      <c r="K227" s="26">
        <f>IF(H227="","",(H227-G227)/G227)</f>
        <v/>
      </c>
      <c r="L227" s="26">
        <f>IF(I227="","",(I227-G227)/G227)</f>
        <v/>
      </c>
      <c r="M227" s="26">
        <f>IF(J227="","",(J227-G227)/G227)</f>
        <v/>
      </c>
      <c r="N227" s="27">
        <f>IF(H227="","",IF(D227="HOLD",IF(ABS(K227)&lt;0.03,"YES","NO"),IF(D227="BUY",IF(K227&gt;0,"YES","NO"),IF(D227="SELL",IF(K227&lt;0,"YES","NO"),""))))</f>
        <v/>
      </c>
    </row>
    <row r="228" ht="15" customHeight="1">
      <c r="A228" s="12" t="n">
        <v>46174</v>
      </c>
      <c r="B228" s="13" t="inlineStr">
        <is>
          <t>GM</t>
        </is>
      </c>
      <c r="C228" s="13" t="inlineStr">
        <is>
          <t>Roth IRA,Individual</t>
        </is>
      </c>
      <c r="D228" s="13" t="inlineStr">
        <is>
          <t>HOLD</t>
        </is>
      </c>
      <c r="E228" s="14" t="n">
        <v>0.52</v>
      </c>
      <c r="F228" s="13" t="inlineStr">
        <is>
          <t>MEDIUM</t>
        </is>
      </c>
      <c r="G228" s="15" t="n">
        <v>81.86</v>
      </c>
      <c r="H228" s="16" t="n">
        <v>83.77</v>
      </c>
      <c r="I228" s="16" t="n">
        <v>84.06999999999999</v>
      </c>
      <c r="K228" s="26">
        <f>IF(H228="","",(H228-G228)/G228)</f>
        <v/>
      </c>
      <c r="L228" s="26">
        <f>IF(I228="","",(I228-G228)/G228)</f>
        <v/>
      </c>
      <c r="M228" s="26">
        <f>IF(J228="","",(J228-G228)/G228)</f>
        <v/>
      </c>
      <c r="N228" s="27">
        <f>IF(H228="","",IF(D228="HOLD",IF(ABS(K228)&lt;0.03,"YES","NO"),IF(D228="BUY",IF(K228&gt;0,"YES","NO"),IF(D228="SELL",IF(K228&lt;0,"YES","NO"),""))))</f>
        <v/>
      </c>
    </row>
    <row r="229" ht="15" customHeight="1">
      <c r="A229" s="12" t="n">
        <v>46174</v>
      </c>
      <c r="B229" s="13" t="inlineStr">
        <is>
          <t>JPM</t>
        </is>
      </c>
      <c r="C229" s="13" t="inlineStr">
        <is>
          <t>Roth IRA</t>
        </is>
      </c>
      <c r="D229" s="13" t="inlineStr">
        <is>
          <t>HOLD</t>
        </is>
      </c>
      <c r="E229" s="14" t="n">
        <v>0.55</v>
      </c>
      <c r="F229" s="13" t="inlineStr">
        <is>
          <t>MEDIUM</t>
        </is>
      </c>
      <c r="G229" s="15" t="n">
        <v>296.275</v>
      </c>
      <c r="H229" s="16" t="n">
        <v>311.11</v>
      </c>
      <c r="I229" s="16" t="n">
        <v>319.4</v>
      </c>
      <c r="K229" s="26">
        <f>IF(H229="","",(H229-G229)/G229)</f>
        <v/>
      </c>
      <c r="L229" s="26">
        <f>IF(I229="","",(I229-G229)/G229)</f>
        <v/>
      </c>
      <c r="M229" s="26">
        <f>IF(J229="","",(J229-G229)/G229)</f>
        <v/>
      </c>
      <c r="N229" s="27">
        <f>IF(H229="","",IF(D229="HOLD",IF(ABS(K229)&lt;0.03,"YES","NO"),IF(D229="BUY",IF(K229&gt;0,"YES","NO"),IF(D229="SELL",IF(K229&lt;0,"YES","NO"),""))))</f>
        <v/>
      </c>
    </row>
    <row r="230" ht="15" customHeight="1">
      <c r="A230" s="12" t="n">
        <v>46174</v>
      </c>
      <c r="B230" s="13" t="inlineStr">
        <is>
          <t>MSFT</t>
        </is>
      </c>
      <c r="C230" s="13" t="inlineStr">
        <is>
          <t>Roth IRA,Individual</t>
        </is>
      </c>
      <c r="D230" s="13" t="inlineStr">
        <is>
          <t>HOLD</t>
        </is>
      </c>
      <c r="E230" s="14" t="n">
        <v>0.62</v>
      </c>
      <c r="F230" s="13" t="inlineStr">
        <is>
          <t>HIGH</t>
        </is>
      </c>
      <c r="G230" s="15" t="n">
        <v>460.2</v>
      </c>
      <c r="H230" s="16" t="n">
        <v>411.74</v>
      </c>
      <c r="I230" s="16" t="n">
        <v>399.76</v>
      </c>
      <c r="K230" s="26">
        <f>IF(H230="","",(H230-G230)/G230)</f>
        <v/>
      </c>
      <c r="L230" s="26">
        <f>IF(I230="","",(I230-G230)/G230)</f>
        <v/>
      </c>
      <c r="M230" s="26">
        <f>IF(J230="","",(J230-G230)/G230)</f>
        <v/>
      </c>
      <c r="N230" s="27">
        <f>IF(H230="","",IF(D230="HOLD",IF(ABS(K230)&lt;0.03,"YES","NO"),IF(D230="BUY",IF(K230&gt;0,"YES","NO"),IF(D230="SELL",IF(K230&lt;0,"YES","NO"),""))))</f>
        <v/>
      </c>
    </row>
    <row r="231" ht="15" customHeight="1">
      <c r="A231" s="12" t="n">
        <v>46174</v>
      </c>
      <c r="B231" s="13" t="inlineStr">
        <is>
          <t>NKE</t>
        </is>
      </c>
      <c r="C231" s="13" t="inlineStr">
        <is>
          <t>Roth IRA</t>
        </is>
      </c>
      <c r="D231" s="13" t="inlineStr">
        <is>
          <t>HOLD</t>
        </is>
      </c>
      <c r="E231" s="14" t="n">
        <v>0.48</v>
      </c>
      <c r="F231" s="13" t="inlineStr">
        <is>
          <t>MEDIUM</t>
        </is>
      </c>
      <c r="G231" s="15" t="n">
        <v>45.735</v>
      </c>
      <c r="H231" s="16" t="n">
        <v>43.23</v>
      </c>
      <c r="I231" s="16" t="n">
        <v>45.2</v>
      </c>
      <c r="K231" s="26">
        <f>IF(H231="","",(H231-G231)/G231)</f>
        <v/>
      </c>
      <c r="L231" s="26">
        <f>IF(I231="","",(I231-G231)/G231)</f>
        <v/>
      </c>
      <c r="M231" s="26">
        <f>IF(J231="","",(J231-G231)/G231)</f>
        <v/>
      </c>
      <c r="N231" s="27">
        <f>IF(H231="","",IF(D231="HOLD",IF(ABS(K231)&lt;0.03,"YES","NO"),IF(D231="BUY",IF(K231&gt;0,"YES","NO"),IF(D231="SELL",IF(K231&lt;0,"YES","NO"),""))))</f>
        <v/>
      </c>
    </row>
    <row r="232" ht="15" customHeight="1">
      <c r="A232" s="12" t="n">
        <v>46174</v>
      </c>
      <c r="B232" s="13" t="inlineStr">
        <is>
          <t>NTR</t>
        </is>
      </c>
      <c r="C232" s="13" t="inlineStr">
        <is>
          <t>Roth IRA,Individual</t>
        </is>
      </c>
      <c r="D232" s="13" t="inlineStr">
        <is>
          <t>HOLD</t>
        </is>
      </c>
      <c r="E232" s="14" t="n">
        <v>0.52</v>
      </c>
      <c r="F232" s="13" t="inlineStr">
        <is>
          <t>MEDIUM</t>
        </is>
      </c>
      <c r="G232" s="15" t="n">
        <v>68.95999999999999</v>
      </c>
      <c r="H232" s="16" t="n">
        <v>67.28</v>
      </c>
      <c r="I232" s="16" t="n">
        <v>66.13</v>
      </c>
      <c r="K232" s="26">
        <f>IF(H232="","",(H232-G232)/G232)</f>
        <v/>
      </c>
      <c r="L232" s="26">
        <f>IF(I232="","",(I232-G232)/G232)</f>
        <v/>
      </c>
      <c r="M232" s="26">
        <f>IF(J232="","",(J232-G232)/G232)</f>
        <v/>
      </c>
      <c r="N232" s="27">
        <f>IF(H232="","",IF(D232="HOLD",IF(ABS(K232)&lt;0.03,"YES","NO"),IF(D232="BUY",IF(K232&gt;0,"YES","NO"),IF(D232="SELL",IF(K232&lt;0,"YES","NO"),""))))</f>
        <v/>
      </c>
    </row>
    <row r="233" ht="15" customHeight="1">
      <c r="A233" s="12" t="n">
        <v>46174</v>
      </c>
      <c r="B233" s="13" t="inlineStr">
        <is>
          <t>PM</t>
        </is>
      </c>
      <c r="C233" s="13" t="inlineStr">
        <is>
          <t>Roth IRA</t>
        </is>
      </c>
      <c r="D233" s="13" t="inlineStr">
        <is>
          <t>HOLD</t>
        </is>
      </c>
      <c r="E233" s="14" t="n">
        <v>0.62</v>
      </c>
      <c r="F233" s="13" t="inlineStr">
        <is>
          <t>HIGH</t>
        </is>
      </c>
      <c r="G233" s="15" t="n">
        <v>175.09</v>
      </c>
      <c r="H233" s="16" t="n">
        <v>176.06</v>
      </c>
      <c r="I233" s="16" t="n">
        <v>181.81</v>
      </c>
      <c r="K233" s="26">
        <f>IF(H233="","",(H233-G233)/G233)</f>
        <v/>
      </c>
      <c r="L233" s="26">
        <f>IF(I233="","",(I233-G233)/G233)</f>
        <v/>
      </c>
      <c r="M233" s="26">
        <f>IF(J233="","",(J233-G233)/G233)</f>
        <v/>
      </c>
      <c r="N233" s="27">
        <f>IF(H233="","",IF(D233="HOLD",IF(ABS(K233)&lt;0.03,"YES","NO"),IF(D233="BUY",IF(K233&gt;0,"YES","NO"),IF(D233="SELL",IF(K233&lt;0,"YES","NO"),""))))</f>
        <v/>
      </c>
    </row>
    <row r="234" ht="15" customHeight="1">
      <c r="A234" s="12" t="n">
        <v>46174</v>
      </c>
      <c r="B234" s="13" t="inlineStr">
        <is>
          <t>PWR</t>
        </is>
      </c>
      <c r="C234" s="13" t="inlineStr">
        <is>
          <t>Roth IRA</t>
        </is>
      </c>
      <c r="D234" s="13" t="inlineStr">
        <is>
          <t>HOLD</t>
        </is>
      </c>
      <c r="E234" s="14" t="n">
        <v>0.62</v>
      </c>
      <c r="F234" s="13" t="inlineStr">
        <is>
          <t>HIGH</t>
        </is>
      </c>
      <c r="G234" s="15" t="n">
        <v>692.655</v>
      </c>
      <c r="H234" s="16" t="n">
        <v>693.8099999999999</v>
      </c>
      <c r="I234" s="16" t="n">
        <v>724.35</v>
      </c>
      <c r="K234" s="26">
        <f>IF(H234="","",(H234-G234)/G234)</f>
        <v/>
      </c>
      <c r="L234" s="26">
        <f>IF(I234="","",(I234-G234)/G234)</f>
        <v/>
      </c>
      <c r="M234" s="26">
        <f>IF(J234="","",(J234-G234)/G234)</f>
        <v/>
      </c>
      <c r="N234" s="27">
        <f>IF(H234="","",IF(D234="HOLD",IF(ABS(K234)&lt;0.03,"YES","NO"),IF(D234="BUY",IF(K234&gt;0,"YES","NO"),IF(D234="SELL",IF(K234&lt;0,"YES","NO"),""))))</f>
        <v/>
      </c>
    </row>
    <row r="235" ht="15" customHeight="1">
      <c r="A235" s="12" t="n">
        <v>46174</v>
      </c>
      <c r="B235" s="13" t="inlineStr">
        <is>
          <t>RTX</t>
        </is>
      </c>
      <c r="C235" s="13" t="inlineStr">
        <is>
          <t>Individual</t>
        </is>
      </c>
      <c r="D235" s="13" t="inlineStr">
        <is>
          <t>HOLD</t>
        </is>
      </c>
      <c r="E235" s="14" t="n">
        <v>0.52</v>
      </c>
      <c r="F235" s="13" t="inlineStr">
        <is>
          <t>MEDIUM</t>
        </is>
      </c>
      <c r="G235" s="15" t="n">
        <v>175.12</v>
      </c>
      <c r="H235" s="16" t="n">
        <v>178.66</v>
      </c>
      <c r="I235" s="16" t="n">
        <v>183.64</v>
      </c>
      <c r="K235" s="26">
        <f>IF(H235="","",(H235-G235)/G235)</f>
        <v/>
      </c>
      <c r="L235" s="26">
        <f>IF(I235="","",(I235-G235)/G235)</f>
        <v/>
      </c>
      <c r="M235" s="26">
        <f>IF(J235="","",(J235-G235)/G235)</f>
        <v/>
      </c>
      <c r="N235" s="27">
        <f>IF(H235="","",IF(D235="HOLD",IF(ABS(K235)&lt;0.03,"YES","NO"),IF(D235="BUY",IF(K235&gt;0,"YES","NO"),IF(D235="SELL",IF(K235&lt;0,"YES","NO"),""))))</f>
        <v/>
      </c>
    </row>
    <row r="236" ht="15" customHeight="1">
      <c r="A236" s="12" t="n">
        <v>46174</v>
      </c>
      <c r="B236" s="13" t="inlineStr">
        <is>
          <t>SCHD</t>
        </is>
      </c>
      <c r="C236" s="13" t="inlineStr">
        <is>
          <t>Roth IRA</t>
        </is>
      </c>
      <c r="D236" s="13" t="inlineStr">
        <is>
          <t>HOLD</t>
        </is>
      </c>
      <c r="E236" s="14" t="n">
        <v>0.65</v>
      </c>
      <c r="F236" s="13" t="inlineStr">
        <is>
          <t>HIGH</t>
        </is>
      </c>
      <c r="G236" s="15" t="n">
        <v>32.255</v>
      </c>
      <c r="H236" s="16" t="n">
        <v>32.29</v>
      </c>
      <c r="I236" s="16" t="n">
        <v>32.63</v>
      </c>
      <c r="K236" s="26">
        <f>IF(H236="","",(H236-G236)/G236)</f>
        <v/>
      </c>
      <c r="L236" s="26">
        <f>IF(I236="","",(I236-G236)/G236)</f>
        <v/>
      </c>
      <c r="M236" s="26">
        <f>IF(J236="","",(J236-G236)/G236)</f>
        <v/>
      </c>
      <c r="N236" s="27">
        <f>IF(H236="","",IF(D236="HOLD",IF(ABS(K236)&lt;0.03,"YES","NO"),IF(D236="BUY",IF(K236&gt;0,"YES","NO"),IF(D236="SELL",IF(K236&lt;0,"YES","NO"),""))))</f>
        <v/>
      </c>
    </row>
    <row r="237" ht="15" customHeight="1">
      <c r="A237" s="12" t="n">
        <v>46174</v>
      </c>
      <c r="B237" s="13" t="inlineStr">
        <is>
          <t>SND</t>
        </is>
      </c>
      <c r="C237" s="13" t="inlineStr">
        <is>
          <t>Individual</t>
        </is>
      </c>
      <c r="D237" s="13" t="inlineStr">
        <is>
          <t>HOLD</t>
        </is>
      </c>
      <c r="E237" s="14" t="n">
        <v>0.45</v>
      </c>
      <c r="F237" s="13" t="inlineStr">
        <is>
          <t>MEDIUM</t>
        </is>
      </c>
      <c r="G237" s="15" t="n">
        <v>4.59</v>
      </c>
      <c r="H237" s="16" t="n">
        <v>5.82</v>
      </c>
      <c r="I237" s="16" t="n">
        <v>5.02</v>
      </c>
      <c r="K237" s="26">
        <f>IF(H237="","",(H237-G237)/G237)</f>
        <v/>
      </c>
      <c r="L237" s="26">
        <f>IF(I237="","",(I237-G237)/G237)</f>
        <v/>
      </c>
      <c r="M237" s="26">
        <f>IF(J237="","",(J237-G237)/G237)</f>
        <v/>
      </c>
      <c r="N237" s="27">
        <f>IF(H237="","",IF(D237="HOLD",IF(ABS(K237)&lt;0.03,"YES","NO"),IF(D237="BUY",IF(K237&gt;0,"YES","NO"),IF(D237="SELL",IF(K237&lt;0,"YES","NO"),""))))</f>
        <v/>
      </c>
    </row>
    <row r="238" ht="15" customHeight="1">
      <c r="A238" s="12" t="n">
        <v>46174</v>
      </c>
      <c r="B238" s="13" t="inlineStr">
        <is>
          <t>WMT</t>
        </is>
      </c>
      <c r="C238" s="13" t="inlineStr">
        <is>
          <t>Roth IRA,Individual</t>
        </is>
      </c>
      <c r="D238" s="13" t="inlineStr">
        <is>
          <t>HOLD</t>
        </is>
      </c>
      <c r="E238" s="14" t="n">
        <v>0.52</v>
      </c>
      <c r="F238" s="13" t="inlineStr">
        <is>
          <t>MEDIUM</t>
        </is>
      </c>
      <c r="G238" s="15" t="n">
        <v>114.485</v>
      </c>
      <c r="H238" s="16" t="n">
        <v>119.83</v>
      </c>
      <c r="I238" s="16" t="n">
        <v>120.82</v>
      </c>
      <c r="K238" s="26">
        <f>IF(H238="","",(H238-G238)/G238)</f>
        <v/>
      </c>
      <c r="L238" s="26">
        <f>IF(I238="","",(I238-G238)/G238)</f>
        <v/>
      </c>
      <c r="M238" s="26">
        <f>IF(J238="","",(J238-G238)/G238)</f>
        <v/>
      </c>
      <c r="N238" s="27">
        <f>IF(H238="","",IF(D238="HOLD",IF(ABS(K238)&lt;0.03,"YES","NO"),IF(D238="BUY",IF(K238&gt;0,"YES","NO"),IF(D238="SELL",IF(K238&lt;0,"YES","NO"),""))))</f>
        <v/>
      </c>
    </row>
    <row r="239" ht="15" customHeight="1">
      <c r="A239" s="12" t="n">
        <v>46174</v>
      </c>
      <c r="B239" s="13" t="inlineStr">
        <is>
          <t>XLU</t>
        </is>
      </c>
      <c r="C239" s="13" t="inlineStr">
        <is>
          <t>Roth IRA</t>
        </is>
      </c>
      <c r="D239" s="13" t="inlineStr">
        <is>
          <t>HOLD</t>
        </is>
      </c>
      <c r="E239" s="14" t="n">
        <v>0.45</v>
      </c>
      <c r="F239" s="13" t="inlineStr">
        <is>
          <t>MEDIUM</t>
        </is>
      </c>
      <c r="G239" s="15" t="n">
        <v>43.575</v>
      </c>
      <c r="H239" s="16" t="n">
        <v>43.52</v>
      </c>
      <c r="I239" s="16" t="n">
        <v>44.74</v>
      </c>
      <c r="K239" s="26">
        <f>IF(H239="","",(H239-G239)/G239)</f>
        <v/>
      </c>
      <c r="L239" s="26">
        <f>IF(I239="","",(I239-G239)/G239)</f>
        <v/>
      </c>
      <c r="M239" s="26">
        <f>IF(J239="","",(J239-G239)/G239)</f>
        <v/>
      </c>
      <c r="N239" s="27">
        <f>IF(H239="","",IF(D239="HOLD",IF(ABS(K239)&lt;0.03,"YES","NO"),IF(D239="BUY",IF(K239&gt;0,"YES","NO"),IF(D239="SELL",IF(K239&lt;0,"YES","NO"),""))))</f>
        <v/>
      </c>
    </row>
    <row r="240" ht="15" customHeight="1">
      <c r="A240" s="12" t="n">
        <v>46174</v>
      </c>
      <c r="B240" s="13" t="inlineStr">
        <is>
          <t>SPY</t>
        </is>
      </c>
      <c r="C240" s="13" t="inlineStr">
        <is>
          <t>Scout</t>
        </is>
      </c>
      <c r="D240" s="13" t="inlineStr">
        <is>
          <t>HOLD</t>
        </is>
      </c>
      <c r="E240" s="14" t="n">
        <v>0.52</v>
      </c>
      <c r="F240" s="13" t="inlineStr">
        <is>
          <t>MEDIUM</t>
        </is>
      </c>
      <c r="G240" s="15" t="n">
        <v>755.6</v>
      </c>
      <c r="H240" s="16" t="n">
        <v>739.22</v>
      </c>
      <c r="I240" s="16" t="n">
        <v>754.83</v>
      </c>
      <c r="K240" s="26">
        <f>IF(H240="","",(H240-G240)/G240)</f>
        <v/>
      </c>
      <c r="L240" s="26">
        <f>IF(I240="","",(I240-G240)/G240)</f>
        <v/>
      </c>
      <c r="M240" s="26">
        <f>IF(J240="","",(J240-G240)/G240)</f>
        <v/>
      </c>
      <c r="N240" s="27">
        <f>IF(H240="","",IF(D240="HOLD",IF(ABS(K240)&lt;0.03,"YES","NO"),IF(D240="BUY",IF(K240&gt;0,"YES","NO"),IF(D240="SELL",IF(K240&lt;0,"YES","NO"),""))))</f>
        <v/>
      </c>
    </row>
    <row r="241" ht="15" customHeight="1">
      <c r="A241" s="12" t="n">
        <v>46174</v>
      </c>
      <c r="B241" s="13" t="inlineStr">
        <is>
          <t>QQQ</t>
        </is>
      </c>
      <c r="C241" s="13" t="inlineStr">
        <is>
          <t>Scout</t>
        </is>
      </c>
      <c r="D241" s="13" t="inlineStr">
        <is>
          <t>HOLD</t>
        </is>
      </c>
      <c r="E241" s="14" t="n">
        <v>0.45</v>
      </c>
      <c r="F241" s="13" t="inlineStr">
        <is>
          <t>MEDIUM</t>
        </is>
      </c>
      <c r="G241" s="15" t="n">
        <v>738.7</v>
      </c>
      <c r="H241" s="16" t="n">
        <v>716.0700000000001</v>
      </c>
      <c r="I241" s="16" t="n">
        <v>744</v>
      </c>
      <c r="K241" s="26">
        <f>IF(H241="","",(H241-G241)/G241)</f>
        <v/>
      </c>
      <c r="L241" s="26">
        <f>IF(I241="","",(I241-G241)/G241)</f>
        <v/>
      </c>
      <c r="M241" s="26">
        <f>IF(J241="","",(J241-G241)/G241)</f>
        <v/>
      </c>
      <c r="N241" s="27">
        <f>IF(H241="","",IF(D241="HOLD",IF(ABS(K241)&lt;0.03,"YES","NO"),IF(D241="BUY",IF(K241&gt;0,"YES","NO"),IF(D241="SELL",IF(K241&lt;0,"YES","NO"),""))))</f>
        <v/>
      </c>
    </row>
    <row r="242" ht="15" customHeight="1">
      <c r="A242" s="12" t="n">
        <v>46174</v>
      </c>
      <c r="B242" s="13" t="inlineStr">
        <is>
          <t>VTI</t>
        </is>
      </c>
      <c r="C242" s="13" t="inlineStr">
        <is>
          <t>Scout</t>
        </is>
      </c>
      <c r="D242" s="13" t="inlineStr">
        <is>
          <t>HOLD</t>
        </is>
      </c>
      <c r="E242" s="14" t="n">
        <v>0.52</v>
      </c>
      <c r="F242" s="13" t="inlineStr">
        <is>
          <t>MEDIUM</t>
        </is>
      </c>
      <c r="G242" s="15" t="n">
        <v>371.9</v>
      </c>
      <c r="H242" s="16" t="n">
        <v>364.47</v>
      </c>
      <c r="I242" s="16" t="n">
        <v>372.53</v>
      </c>
      <c r="K242" s="26">
        <f>IF(H242="","",(H242-G242)/G242)</f>
        <v/>
      </c>
      <c r="L242" s="26">
        <f>IF(I242="","",(I242-G242)/G242)</f>
        <v/>
      </c>
      <c r="M242" s="26">
        <f>IF(J242="","",(J242-G242)/G242)</f>
        <v/>
      </c>
      <c r="N242" s="27">
        <f>IF(H242="","",IF(D242="HOLD",IF(ABS(K242)&lt;0.03,"YES","NO"),IF(D242="BUY",IF(K242&gt;0,"YES","NO"),IF(D242="SELL",IF(K242&lt;0,"YES","NO"),""))))</f>
        <v/>
      </c>
    </row>
    <row r="243" ht="15" customHeight="1">
      <c r="A243" s="12" t="n">
        <v>46174</v>
      </c>
      <c r="B243" s="13" t="inlineStr">
        <is>
          <t>NVDA</t>
        </is>
      </c>
      <c r="C243" s="13" t="inlineStr">
        <is>
          <t>Scout</t>
        </is>
      </c>
      <c r="D243" s="13" t="inlineStr">
        <is>
          <t>BUY</t>
        </is>
      </c>
      <c r="E243" s="14" t="n">
        <v>0.68</v>
      </c>
      <c r="F243" s="13" t="inlineStr">
        <is>
          <t>MEDIUM</t>
        </is>
      </c>
      <c r="G243" s="15" t="n">
        <v>221.585</v>
      </c>
      <c r="H243" s="16" t="n">
        <v>208.64</v>
      </c>
      <c r="I243" s="16" t="n">
        <v>212.45</v>
      </c>
      <c r="K243" s="26">
        <f>IF(H243="","",(H243-G243)/G243)</f>
        <v/>
      </c>
      <c r="L243" s="26">
        <f>IF(I243="","",(I243-G243)/G243)</f>
        <v/>
      </c>
      <c r="M243" s="26">
        <f>IF(J243="","",(J243-G243)/G243)</f>
        <v/>
      </c>
      <c r="N243" s="27">
        <f>IF(H243="","",IF(D243="HOLD",IF(ABS(K243)&lt;0.03,"YES","NO"),IF(D243="BUY",IF(K243&gt;0,"YES","NO"),IF(D243="SELL",IF(K243&lt;0,"YES","NO"),""))))</f>
        <v/>
      </c>
    </row>
    <row r="244" ht="15" customHeight="1">
      <c r="A244" s="12" t="n">
        <v>46174</v>
      </c>
      <c r="B244" s="13" t="inlineStr">
        <is>
          <t>GLD</t>
        </is>
      </c>
      <c r="C244" s="13" t="inlineStr">
        <is>
          <t>Scout</t>
        </is>
      </c>
      <c r="D244" s="13" t="inlineStr">
        <is>
          <t>HOLD</t>
        </is>
      </c>
      <c r="E244" s="14" t="n">
        <v>0.45</v>
      </c>
      <c r="F244" s="13" t="inlineStr">
        <is>
          <t>MEDIUM</t>
        </is>
      </c>
      <c r="G244" s="15" t="n">
        <v>409.27</v>
      </c>
      <c r="H244" s="16" t="n">
        <v>397.27</v>
      </c>
      <c r="I244" s="16" t="n">
        <v>396.55</v>
      </c>
      <c r="K244" s="26">
        <f>IF(H244="","",(H244-G244)/G244)</f>
        <v/>
      </c>
      <c r="L244" s="26">
        <f>IF(I244="","",(I244-G244)/G244)</f>
        <v/>
      </c>
      <c r="M244" s="26">
        <f>IF(J244="","",(J244-G244)/G244)</f>
        <v/>
      </c>
      <c r="N244" s="27">
        <f>IF(H244="","",IF(D244="HOLD",IF(ABS(K244)&lt;0.03,"YES","NO"),IF(D244="BUY",IF(K244&gt;0,"YES","NO"),IF(D244="SELL",IF(K244&lt;0,"YES","NO"),""))))</f>
        <v/>
      </c>
    </row>
    <row r="245" ht="15" customHeight="1">
      <c r="A245" s="12" t="n">
        <v>46175</v>
      </c>
      <c r="B245" s="13" t="inlineStr">
        <is>
          <t>AAPL</t>
        </is>
      </c>
      <c r="C245" s="13" t="inlineStr">
        <is>
          <t>Roth IRA</t>
        </is>
      </c>
      <c r="D245" s="13" t="inlineStr">
        <is>
          <t>HOLD</t>
        </is>
      </c>
      <c r="E245" s="14" t="n">
        <v>0.52</v>
      </c>
      <c r="F245" s="13" t="inlineStr">
        <is>
          <t>MEDIUM</t>
        </is>
      </c>
      <c r="G245" s="15" t="n">
        <v>310.16</v>
      </c>
      <c r="H245" s="16" t="n">
        <v>290.55</v>
      </c>
      <c r="I245" s="16" t="n">
        <v>299.24</v>
      </c>
      <c r="K245" s="26">
        <f>IF(H245="","",(H245-G245)/G245)</f>
        <v/>
      </c>
      <c r="L245" s="26">
        <f>IF(I245="","",(I245-G245)/G245)</f>
        <v/>
      </c>
      <c r="M245" s="26">
        <f>IF(J245="","",(J245-G245)/G245)</f>
        <v/>
      </c>
      <c r="N245" s="27">
        <f>IF(H245="","",IF(D245="HOLD",IF(ABS(K245)&lt;0.03,"YES","NO"),IF(D245="BUY",IF(K245&gt;0,"YES","NO"),IF(D245="SELL",IF(K245&lt;0,"YES","NO"),""))))</f>
        <v/>
      </c>
    </row>
    <row r="246" ht="15" customHeight="1">
      <c r="A246" s="12" t="n">
        <v>46175</v>
      </c>
      <c r="B246" s="13" t="inlineStr">
        <is>
          <t>AG</t>
        </is>
      </c>
      <c r="C246" s="13" t="inlineStr">
        <is>
          <t>Individual</t>
        </is>
      </c>
      <c r="D246" s="13" t="inlineStr">
        <is>
          <t>HOLD</t>
        </is>
      </c>
      <c r="E246" s="14" t="n">
        <v>0.42</v>
      </c>
      <c r="F246" s="13" t="inlineStr">
        <is>
          <t>MEDIUM</t>
        </is>
      </c>
      <c r="G246" s="15" t="n">
        <v>20.475</v>
      </c>
      <c r="H246" s="16" t="n">
        <v>16.54</v>
      </c>
      <c r="I246" s="16" t="n">
        <v>19.42</v>
      </c>
      <c r="K246" s="26">
        <f>IF(H246="","",(H246-G246)/G246)</f>
        <v/>
      </c>
      <c r="L246" s="26">
        <f>IF(I246="","",(I246-G246)/G246)</f>
        <v/>
      </c>
      <c r="M246" s="26">
        <f>IF(J246="","",(J246-G246)/G246)</f>
        <v/>
      </c>
      <c r="N246" s="27">
        <f>IF(H246="","",IF(D246="HOLD",IF(ABS(K246)&lt;0.03,"YES","NO"),IF(D246="BUY",IF(K246&gt;0,"YES","NO"),IF(D246="SELL",IF(K246&lt;0,"YES","NO"),""))))</f>
        <v/>
      </c>
    </row>
    <row r="247" ht="15" customHeight="1">
      <c r="A247" s="12" t="n">
        <v>46175</v>
      </c>
      <c r="B247" s="13" t="inlineStr">
        <is>
          <t>AIQ</t>
        </is>
      </c>
      <c r="C247" s="13" t="inlineStr">
        <is>
          <t>Roth IRA,Individual</t>
        </is>
      </c>
      <c r="D247" s="13" t="inlineStr">
        <is>
          <t>HOLD</t>
        </is>
      </c>
      <c r="E247" s="14" t="n">
        <v>0.55</v>
      </c>
      <c r="F247" s="13" t="inlineStr">
        <is>
          <t>MEDIUM</t>
        </is>
      </c>
      <c r="G247" s="15" t="n">
        <v>69.38</v>
      </c>
      <c r="H247" s="16" t="n">
        <v>63.16</v>
      </c>
      <c r="I247" s="16" t="n">
        <v>64.64</v>
      </c>
      <c r="K247" s="26">
        <f>IF(H247="","",(H247-G247)/G247)</f>
        <v/>
      </c>
      <c r="L247" s="26">
        <f>IF(I247="","",(I247-G247)/G247)</f>
        <v/>
      </c>
      <c r="M247" s="26">
        <f>IF(J247="","",(J247-G247)/G247)</f>
        <v/>
      </c>
      <c r="N247" s="27">
        <f>IF(H247="","",IF(D247="HOLD",IF(ABS(K247)&lt;0.03,"YES","NO"),IF(D247="BUY",IF(K247&gt;0,"YES","NO"),IF(D247="SELL",IF(K247&lt;0,"YES","NO"),""))))</f>
        <v/>
      </c>
    </row>
    <row r="248" ht="15" customHeight="1">
      <c r="A248" s="12" t="n">
        <v>46175</v>
      </c>
      <c r="B248" s="13" t="inlineStr">
        <is>
          <t>CBRS</t>
        </is>
      </c>
      <c r="C248" s="13" t="inlineStr">
        <is>
          <t>Individual</t>
        </is>
      </c>
      <c r="D248" s="13" t="inlineStr">
        <is>
          <t>HOLD</t>
        </is>
      </c>
      <c r="E248" s="14" t="n">
        <v>0.42</v>
      </c>
      <c r="F248" s="13" t="inlineStr">
        <is>
          <t>MEDIUM</t>
        </is>
      </c>
      <c r="G248" s="15" t="n">
        <v>227.75</v>
      </c>
      <c r="H248" s="16" t="n">
        <v>226.81</v>
      </c>
      <c r="I248" s="16" t="n">
        <v>212.45</v>
      </c>
      <c r="K248" s="26">
        <f>IF(H248="","",(H248-G248)/G248)</f>
        <v/>
      </c>
      <c r="L248" s="26">
        <f>IF(I248="","",(I248-G248)/G248)</f>
        <v/>
      </c>
      <c r="M248" s="26">
        <f>IF(J248="","",(J248-G248)/G248)</f>
        <v/>
      </c>
      <c r="N248" s="27">
        <f>IF(H248="","",IF(D248="HOLD",IF(ABS(K248)&lt;0.03,"YES","NO"),IF(D248="BUY",IF(K248&gt;0,"YES","NO"),IF(D248="SELL",IF(K248&lt;0,"YES","NO"),""))))</f>
        <v/>
      </c>
    </row>
    <row r="249" ht="15" customHeight="1">
      <c r="A249" s="12" t="n">
        <v>46175</v>
      </c>
      <c r="B249" s="13" t="inlineStr">
        <is>
          <t>DOW</t>
        </is>
      </c>
      <c r="C249" s="13" t="inlineStr">
        <is>
          <t>Roth IRA,Individual</t>
        </is>
      </c>
      <c r="D249" s="13" t="inlineStr">
        <is>
          <t>HOLD</t>
        </is>
      </c>
      <c r="E249" s="14" t="n">
        <v>0.42</v>
      </c>
      <c r="F249" s="13" t="inlineStr">
        <is>
          <t>MEDIUM</t>
        </is>
      </c>
      <c r="G249" s="15" t="n">
        <v>34.46</v>
      </c>
      <c r="H249" s="16" t="n">
        <v>33.22</v>
      </c>
      <c r="I249" s="16" t="n">
        <v>32.96</v>
      </c>
      <c r="K249" s="26">
        <f>IF(H249="","",(H249-G249)/G249)</f>
        <v/>
      </c>
      <c r="L249" s="26">
        <f>IF(I249="","",(I249-G249)/G249)</f>
        <v/>
      </c>
      <c r="M249" s="26">
        <f>IF(J249="","",(J249-G249)/G249)</f>
        <v/>
      </c>
      <c r="N249" s="27">
        <f>IF(H249="","",IF(D249="HOLD",IF(ABS(K249)&lt;0.03,"YES","NO"),IF(D249="BUY",IF(K249&gt;0,"YES","NO"),IF(D249="SELL",IF(K249&lt;0,"YES","NO"),""))))</f>
        <v/>
      </c>
    </row>
    <row r="250" ht="15" customHeight="1">
      <c r="A250" s="12" t="n">
        <v>46175</v>
      </c>
      <c r="B250" s="13" t="inlineStr">
        <is>
          <t>FTI</t>
        </is>
      </c>
      <c r="C250" s="13" t="inlineStr">
        <is>
          <t>Individual</t>
        </is>
      </c>
      <c r="D250" s="13" t="inlineStr">
        <is>
          <t>HOLD</t>
        </is>
      </c>
      <c r="E250" s="14" t="n">
        <v>0.55</v>
      </c>
      <c r="F250" s="13" t="inlineStr">
        <is>
          <t>MEDIUM</t>
        </is>
      </c>
      <c r="G250" s="15" t="n">
        <v>69.47</v>
      </c>
      <c r="H250" s="16" t="n">
        <v>68.39</v>
      </c>
      <c r="I250" s="16" t="n">
        <v>67</v>
      </c>
      <c r="K250" s="26">
        <f>IF(H250="","",(H250-G250)/G250)</f>
        <v/>
      </c>
      <c r="L250" s="26">
        <f>IF(I250="","",(I250-G250)/G250)</f>
        <v/>
      </c>
      <c r="M250" s="26">
        <f>IF(J250="","",(J250-G250)/G250)</f>
        <v/>
      </c>
      <c r="N250" s="27">
        <f>IF(H250="","",IF(D250="HOLD",IF(ABS(K250)&lt;0.03,"YES","NO"),IF(D250="BUY",IF(K250&gt;0,"YES","NO"),IF(D250="SELL",IF(K250&lt;0,"YES","NO"),""))))</f>
        <v/>
      </c>
    </row>
    <row r="251" ht="15" customHeight="1">
      <c r="A251" s="12" t="n">
        <v>46175</v>
      </c>
      <c r="B251" s="13" t="inlineStr">
        <is>
          <t>GM</t>
        </is>
      </c>
      <c r="C251" s="13" t="inlineStr">
        <is>
          <t>Roth IRA,Individual</t>
        </is>
      </c>
      <c r="D251" s="13" t="inlineStr">
        <is>
          <t>HOLD</t>
        </is>
      </c>
      <c r="E251" s="14" t="n">
        <v>0.48</v>
      </c>
      <c r="F251" s="13" t="inlineStr">
        <is>
          <t>HIGH</t>
        </is>
      </c>
      <c r="G251" s="15" t="n">
        <v>82.005</v>
      </c>
      <c r="H251" s="16" t="n">
        <v>83.76000000000001</v>
      </c>
      <c r="I251" s="16" t="n">
        <v>82.51000000000001</v>
      </c>
      <c r="K251" s="26">
        <f>IF(H251="","",(H251-G251)/G251)</f>
        <v/>
      </c>
      <c r="L251" s="26">
        <f>IF(I251="","",(I251-G251)/G251)</f>
        <v/>
      </c>
      <c r="M251" s="26">
        <f>IF(J251="","",(J251-G251)/G251)</f>
        <v/>
      </c>
      <c r="N251" s="27">
        <f>IF(H251="","",IF(D251="HOLD",IF(ABS(K251)&lt;0.03,"YES","NO"),IF(D251="BUY",IF(K251&gt;0,"YES","NO"),IF(D251="SELL",IF(K251&lt;0,"YES","NO"),""))))</f>
        <v/>
      </c>
    </row>
    <row r="252" ht="15" customHeight="1">
      <c r="A252" s="12" t="n">
        <v>46175</v>
      </c>
      <c r="B252" s="13" t="inlineStr">
        <is>
          <t>JPM</t>
        </is>
      </c>
      <c r="C252" s="13" t="inlineStr">
        <is>
          <t>Roth IRA</t>
        </is>
      </c>
      <c r="D252" s="13" t="inlineStr">
        <is>
          <t>HOLD</t>
        </is>
      </c>
      <c r="E252" s="14" t="n">
        <v>0.52</v>
      </c>
      <c r="F252" s="13" t="inlineStr">
        <is>
          <t>MEDIUM</t>
        </is>
      </c>
      <c r="G252" s="15" t="n">
        <v>296.67</v>
      </c>
      <c r="H252" s="16" t="n">
        <v>312.7</v>
      </c>
      <c r="I252" s="16" t="n">
        <v>331.14</v>
      </c>
      <c r="K252" s="26">
        <f>IF(H252="","",(H252-G252)/G252)</f>
        <v/>
      </c>
      <c r="L252" s="26">
        <f>IF(I252="","",(I252-G252)/G252)</f>
        <v/>
      </c>
      <c r="M252" s="26">
        <f>IF(J252="","",(J252-G252)/G252)</f>
        <v/>
      </c>
      <c r="N252" s="27">
        <f>IF(H252="","",IF(D252="HOLD",IF(ABS(K252)&lt;0.03,"YES","NO"),IF(D252="BUY",IF(K252&gt;0,"YES","NO"),IF(D252="SELL",IF(K252&lt;0,"YES","NO"),""))))</f>
        <v/>
      </c>
    </row>
    <row r="253" ht="15" customHeight="1">
      <c r="A253" s="12" t="n">
        <v>46175</v>
      </c>
      <c r="B253" s="13" t="inlineStr">
        <is>
          <t>MSFT</t>
        </is>
      </c>
      <c r="C253" s="13" t="inlineStr">
        <is>
          <t>Roth IRA,Individual</t>
        </is>
      </c>
      <c r="D253" s="13" t="inlineStr">
        <is>
          <t>HOLD</t>
        </is>
      </c>
      <c r="E253" s="14" t="n">
        <v>0.55</v>
      </c>
      <c r="F253" s="13" t="inlineStr">
        <is>
          <t>MEDIUM</t>
        </is>
      </c>
      <c r="G253" s="15" t="n">
        <v>444.34</v>
      </c>
      <c r="H253" s="16" t="n">
        <v>403.41</v>
      </c>
      <c r="I253" s="16" t="n">
        <v>393.83</v>
      </c>
      <c r="K253" s="26">
        <f>IF(H253="","",(H253-G253)/G253)</f>
        <v/>
      </c>
      <c r="L253" s="26">
        <f>IF(I253="","",(I253-G253)/G253)</f>
        <v/>
      </c>
      <c r="M253" s="26">
        <f>IF(J253="","",(J253-G253)/G253)</f>
        <v/>
      </c>
      <c r="N253" s="27">
        <f>IF(H253="","",IF(D253="HOLD",IF(ABS(K253)&lt;0.03,"YES","NO"),IF(D253="BUY",IF(K253&gt;0,"YES","NO"),IF(D253="SELL",IF(K253&lt;0,"YES","NO"),""))))</f>
        <v/>
      </c>
    </row>
    <row r="254" ht="15" customHeight="1">
      <c r="A254" s="12" t="n">
        <v>46175</v>
      </c>
      <c r="B254" s="13" t="inlineStr">
        <is>
          <t>NKE</t>
        </is>
      </c>
      <c r="C254" s="13" t="inlineStr">
        <is>
          <t>Roth IRA</t>
        </is>
      </c>
      <c r="D254" s="13" t="inlineStr">
        <is>
          <t>HOLD</t>
        </is>
      </c>
      <c r="E254" s="14" t="n">
        <v>0.42</v>
      </c>
      <c r="F254" s="13" t="inlineStr">
        <is>
          <t>MEDIUM</t>
        </is>
      </c>
      <c r="G254" s="15" t="n">
        <v>44.135</v>
      </c>
      <c r="H254" s="16" t="n">
        <v>44.65</v>
      </c>
      <c r="I254" s="16" t="n">
        <v>45.04</v>
      </c>
      <c r="K254" s="26">
        <f>IF(H254="","",(H254-G254)/G254)</f>
        <v/>
      </c>
      <c r="L254" s="26">
        <f>IF(I254="","",(I254-G254)/G254)</f>
        <v/>
      </c>
      <c r="M254" s="26">
        <f>IF(J254="","",(J254-G254)/G254)</f>
        <v/>
      </c>
      <c r="N254" s="27">
        <f>IF(H254="","",IF(D254="HOLD",IF(ABS(K254)&lt;0.03,"YES","NO"),IF(D254="BUY",IF(K254&gt;0,"YES","NO"),IF(D254="SELL",IF(K254&lt;0,"YES","NO"),""))))</f>
        <v/>
      </c>
    </row>
    <row r="255" ht="15" customHeight="1">
      <c r="A255" s="12" t="n">
        <v>46175</v>
      </c>
      <c r="B255" s="13" t="inlineStr">
        <is>
          <t>NTR</t>
        </is>
      </c>
      <c r="C255" s="13" t="inlineStr">
        <is>
          <t>Roth IRA,Individual</t>
        </is>
      </c>
      <c r="D255" s="13" t="inlineStr">
        <is>
          <t>HOLD</t>
        </is>
      </c>
      <c r="E255" s="14" t="n">
        <v>0.52</v>
      </c>
      <c r="F255" s="13" t="inlineStr">
        <is>
          <t>MEDIUM</t>
        </is>
      </c>
      <c r="G255" s="15" t="n">
        <v>69.935</v>
      </c>
      <c r="H255" s="16" t="n">
        <v>66.34999999999999</v>
      </c>
      <c r="I255" s="16" t="n">
        <v>65.48</v>
      </c>
      <c r="K255" s="26">
        <f>IF(H255="","",(H255-G255)/G255)</f>
        <v/>
      </c>
      <c r="L255" s="26">
        <f>IF(I255="","",(I255-G255)/G255)</f>
        <v/>
      </c>
      <c r="M255" s="26">
        <f>IF(J255="","",(J255-G255)/G255)</f>
        <v/>
      </c>
      <c r="N255" s="27">
        <f>IF(H255="","",IF(D255="HOLD",IF(ABS(K255)&lt;0.03,"YES","NO"),IF(D255="BUY",IF(K255&gt;0,"YES","NO"),IF(D255="SELL",IF(K255&lt;0,"YES","NO"),""))))</f>
        <v/>
      </c>
    </row>
    <row r="256" ht="15" customHeight="1">
      <c r="A256" s="12" t="n">
        <v>46175</v>
      </c>
      <c r="B256" s="13" t="inlineStr">
        <is>
          <t>PM</t>
        </is>
      </c>
      <c r="C256" s="13" t="inlineStr">
        <is>
          <t>Roth IRA</t>
        </is>
      </c>
      <c r="D256" s="13" t="inlineStr">
        <is>
          <t>HOLD</t>
        </is>
      </c>
      <c r="E256" s="14" t="n">
        <v>0.58</v>
      </c>
      <c r="F256" s="13" t="inlineStr">
        <is>
          <t>HIGH</t>
        </is>
      </c>
      <c r="G256" s="15" t="n">
        <v>174.1</v>
      </c>
      <c r="H256" s="16" t="n">
        <v>178.49</v>
      </c>
      <c r="I256" s="16" t="n">
        <v>184.06</v>
      </c>
      <c r="K256" s="26">
        <f>IF(H256="","",(H256-G256)/G256)</f>
        <v/>
      </c>
      <c r="L256" s="26">
        <f>IF(I256="","",(I256-G256)/G256)</f>
        <v/>
      </c>
      <c r="M256" s="26">
        <f>IF(J256="","",(J256-G256)/G256)</f>
        <v/>
      </c>
      <c r="N256" s="27">
        <f>IF(H256="","",IF(D256="HOLD",IF(ABS(K256)&lt;0.03,"YES","NO"),IF(D256="BUY",IF(K256&gt;0,"YES","NO"),IF(D256="SELL",IF(K256&lt;0,"YES","NO"),""))))</f>
        <v/>
      </c>
    </row>
    <row r="257" ht="15" customHeight="1">
      <c r="A257" s="12" t="n">
        <v>46175</v>
      </c>
      <c r="B257" s="13" t="inlineStr">
        <is>
          <t>PWR</t>
        </is>
      </c>
      <c r="C257" s="13" t="inlineStr">
        <is>
          <t>Roth IRA</t>
        </is>
      </c>
      <c r="D257" s="13" t="inlineStr">
        <is>
          <t>HOLD</t>
        </is>
      </c>
      <c r="E257" s="14" t="n">
        <v>0.62</v>
      </c>
      <c r="F257" s="13" t="inlineStr">
        <is>
          <t>HIGH</t>
        </is>
      </c>
      <c r="G257" s="15" t="n">
        <v>702.96</v>
      </c>
      <c r="H257" s="16" t="n">
        <v>691.95</v>
      </c>
      <c r="I257" s="16" t="n">
        <v>719.29</v>
      </c>
      <c r="K257" s="26">
        <f>IF(H257="","",(H257-G257)/G257)</f>
        <v/>
      </c>
      <c r="L257" s="26">
        <f>IF(I257="","",(I257-G257)/G257)</f>
        <v/>
      </c>
      <c r="M257" s="26">
        <f>IF(J257="","",(J257-G257)/G257)</f>
        <v/>
      </c>
      <c r="N257" s="27">
        <f>IF(H257="","",IF(D257="HOLD",IF(ABS(K257)&lt;0.03,"YES","NO"),IF(D257="BUY",IF(K257&gt;0,"YES","NO"),IF(D257="SELL",IF(K257&lt;0,"YES","NO"),""))))</f>
        <v/>
      </c>
    </row>
    <row r="258" ht="15" customHeight="1">
      <c r="A258" s="12" t="n">
        <v>46175</v>
      </c>
      <c r="B258" s="13" t="inlineStr">
        <is>
          <t>RTX</t>
        </is>
      </c>
      <c r="C258" s="13" t="inlineStr">
        <is>
          <t>Individual</t>
        </is>
      </c>
      <c r="D258" s="13" t="inlineStr">
        <is>
          <t>HOLD</t>
        </is>
      </c>
      <c r="E258" s="14" t="n">
        <v>0.52</v>
      </c>
      <c r="F258" s="13" t="inlineStr">
        <is>
          <t>MEDIUM</t>
        </is>
      </c>
      <c r="G258" s="15" t="n">
        <v>175.125</v>
      </c>
      <c r="H258" s="16" t="n">
        <v>181.56</v>
      </c>
      <c r="I258" s="16" t="n">
        <v>186.77</v>
      </c>
      <c r="K258" s="26">
        <f>IF(H258="","",(H258-G258)/G258)</f>
        <v/>
      </c>
      <c r="L258" s="26">
        <f>IF(I258="","",(I258-G258)/G258)</f>
        <v/>
      </c>
      <c r="M258" s="26">
        <f>IF(J258="","",(J258-G258)/G258)</f>
        <v/>
      </c>
      <c r="N258" s="27">
        <f>IF(H258="","",IF(D258="HOLD",IF(ABS(K258)&lt;0.03,"YES","NO"),IF(D258="BUY",IF(K258&gt;0,"YES","NO"),IF(D258="SELL",IF(K258&lt;0,"YES","NO"),""))))</f>
        <v/>
      </c>
    </row>
    <row r="259" ht="15" customHeight="1">
      <c r="A259" s="12" t="n">
        <v>46175</v>
      </c>
      <c r="B259" s="13" t="inlineStr">
        <is>
          <t>SCHD</t>
        </is>
      </c>
      <c r="C259" s="13" t="inlineStr">
        <is>
          <t>Roth IRA</t>
        </is>
      </c>
      <c r="D259" s="13" t="inlineStr">
        <is>
          <t>HOLD</t>
        </is>
      </c>
      <c r="E259" s="14" t="n">
        <v>0.62</v>
      </c>
      <c r="F259" s="13" t="inlineStr">
        <is>
          <t>HIGH</t>
        </is>
      </c>
      <c r="G259" s="15" t="n">
        <v>32.171</v>
      </c>
      <c r="H259" s="16" t="n">
        <v>32.39</v>
      </c>
      <c r="I259" s="16" t="n">
        <v>32.53</v>
      </c>
      <c r="K259" s="26">
        <f>IF(H259="","",(H259-G259)/G259)</f>
        <v/>
      </c>
      <c r="L259" s="26">
        <f>IF(I259="","",(I259-G259)/G259)</f>
        <v/>
      </c>
      <c r="M259" s="26">
        <f>IF(J259="","",(J259-G259)/G259)</f>
        <v/>
      </c>
      <c r="N259" s="27">
        <f>IF(H259="","",IF(D259="HOLD",IF(ABS(K259)&lt;0.03,"YES","NO"),IF(D259="BUY",IF(K259&gt;0,"YES","NO"),IF(D259="SELL",IF(K259&lt;0,"YES","NO"),""))))</f>
        <v/>
      </c>
    </row>
    <row r="260" ht="15" customHeight="1">
      <c r="A260" s="12" t="n">
        <v>46175</v>
      </c>
      <c r="B260" s="13" t="inlineStr">
        <is>
          <t>SND</t>
        </is>
      </c>
      <c r="C260" s="13" t="inlineStr">
        <is>
          <t>Individual</t>
        </is>
      </c>
      <c r="D260" s="13" t="inlineStr">
        <is>
          <t>HOLD</t>
        </is>
      </c>
      <c r="E260" s="14" t="n">
        <v>0.48</v>
      </c>
      <c r="F260" s="13" t="inlineStr">
        <is>
          <t>MEDIUM</t>
        </is>
      </c>
      <c r="G260" s="15" t="n">
        <v>4.945</v>
      </c>
      <c r="H260" s="16" t="n">
        <v>5.36</v>
      </c>
      <c r="I260" s="16" t="n">
        <v>5.02</v>
      </c>
      <c r="K260" s="26">
        <f>IF(H260="","",(H260-G260)/G260)</f>
        <v/>
      </c>
      <c r="L260" s="26">
        <f>IF(I260="","",(I260-G260)/G260)</f>
        <v/>
      </c>
      <c r="M260" s="26">
        <f>IF(J260="","",(J260-G260)/G260)</f>
        <v/>
      </c>
      <c r="N260" s="27">
        <f>IF(H260="","",IF(D260="HOLD",IF(ABS(K260)&lt;0.03,"YES","NO"),IF(D260="BUY",IF(K260&gt;0,"YES","NO"),IF(D260="SELL",IF(K260&lt;0,"YES","NO"),""))))</f>
        <v/>
      </c>
    </row>
    <row r="261" ht="15" customHeight="1">
      <c r="A261" s="12" t="n">
        <v>46175</v>
      </c>
      <c r="B261" s="13" t="inlineStr">
        <is>
          <t>WMT</t>
        </is>
      </c>
      <c r="C261" s="13" t="inlineStr">
        <is>
          <t>Roth IRA,Individual</t>
        </is>
      </c>
      <c r="D261" s="13" t="inlineStr">
        <is>
          <t>HOLD</t>
        </is>
      </c>
      <c r="E261" s="14" t="n">
        <v>0.52</v>
      </c>
      <c r="F261" s="13" t="inlineStr">
        <is>
          <t>MEDIUM</t>
        </is>
      </c>
      <c r="G261" s="15" t="n">
        <v>113.29</v>
      </c>
      <c r="H261" s="16" t="n">
        <v>118.88</v>
      </c>
      <c r="I261" s="16" t="n">
        <v>121.03</v>
      </c>
      <c r="K261" s="26">
        <f>IF(H261="","",(H261-G261)/G261)</f>
        <v/>
      </c>
      <c r="L261" s="26">
        <f>IF(I261="","",(I261-G261)/G261)</f>
        <v/>
      </c>
      <c r="M261" s="26">
        <f>IF(J261="","",(J261-G261)/G261)</f>
        <v/>
      </c>
      <c r="N261" s="27">
        <f>IF(H261="","",IF(D261="HOLD",IF(ABS(K261)&lt;0.03,"YES","NO"),IF(D261="BUY",IF(K261&gt;0,"YES","NO"),IF(D261="SELL",IF(K261&lt;0,"YES","NO"),""))))</f>
        <v/>
      </c>
    </row>
    <row r="262" ht="15" customHeight="1">
      <c r="A262" s="12" t="n">
        <v>46175</v>
      </c>
      <c r="B262" s="13" t="inlineStr">
        <is>
          <t>QQQ</t>
        </is>
      </c>
      <c r="C262" s="13" t="inlineStr">
        <is>
          <t>Scout</t>
        </is>
      </c>
      <c r="D262" s="13" t="inlineStr">
        <is>
          <t>HOLD</t>
        </is>
      </c>
      <c r="E262" s="14" t="n">
        <v>0.42</v>
      </c>
      <c r="F262" s="13" t="inlineStr">
        <is>
          <t>MEDIUM</t>
        </is>
      </c>
      <c r="G262" s="15" t="n">
        <v>743.51</v>
      </c>
      <c r="H262" s="16" t="n">
        <v>707.83</v>
      </c>
      <c r="I262" s="16" t="n">
        <v>729.86</v>
      </c>
      <c r="K262" s="26">
        <f>IF(H262="","",(H262-G262)/G262)</f>
        <v/>
      </c>
      <c r="L262" s="26">
        <f>IF(I262="","",(I262-G262)/G262)</f>
        <v/>
      </c>
      <c r="M262" s="26">
        <f>IF(J262="","",(J262-G262)/G262)</f>
        <v/>
      </c>
      <c r="N262" s="27">
        <f>IF(H262="","",IF(D262="HOLD",IF(ABS(K262)&lt;0.03,"YES","NO"),IF(D262="BUY",IF(K262&gt;0,"YES","NO"),IF(D262="SELL",IF(K262&lt;0,"YES","NO"),""))))</f>
        <v/>
      </c>
    </row>
    <row r="263" ht="15" customHeight="1">
      <c r="A263" s="12" t="n">
        <v>46175</v>
      </c>
      <c r="B263" s="13" t="inlineStr">
        <is>
          <t>VTI</t>
        </is>
      </c>
      <c r="C263" s="13" t="inlineStr">
        <is>
          <t>Scout</t>
        </is>
      </c>
      <c r="D263" s="13" t="inlineStr">
        <is>
          <t>HOLD</t>
        </is>
      </c>
      <c r="E263" s="14" t="n">
        <v>0.52</v>
      </c>
      <c r="F263" s="13" t="inlineStr">
        <is>
          <t>MEDIUM</t>
        </is>
      </c>
      <c r="G263" s="15" t="n">
        <v>373.705</v>
      </c>
      <c r="H263" s="16" t="n">
        <v>363.67</v>
      </c>
      <c r="I263" s="16" t="n">
        <v>370.37</v>
      </c>
      <c r="K263" s="26">
        <f>IF(H263="","",(H263-G263)/G263)</f>
        <v/>
      </c>
      <c r="L263" s="26">
        <f>IF(I263="","",(I263-G263)/G263)</f>
        <v/>
      </c>
      <c r="M263" s="26">
        <f>IF(J263="","",(J263-G263)/G263)</f>
        <v/>
      </c>
      <c r="N263" s="27">
        <f>IF(H263="","",IF(D263="HOLD",IF(ABS(K263)&lt;0.03,"YES","NO"),IF(D263="BUY",IF(K263&gt;0,"YES","NO"),IF(D263="SELL",IF(K263&lt;0,"YES","NO"),""))))</f>
        <v/>
      </c>
    </row>
    <row r="264" ht="15" customHeight="1">
      <c r="A264" s="12" t="n">
        <v>46175</v>
      </c>
      <c r="B264" s="13" t="inlineStr">
        <is>
          <t>NVDA</t>
        </is>
      </c>
      <c r="C264" s="13" t="inlineStr">
        <is>
          <t>Scout</t>
        </is>
      </c>
      <c r="D264" s="13" t="inlineStr">
        <is>
          <t>BUY</t>
        </is>
      </c>
      <c r="E264" s="14" t="n">
        <v>0.68</v>
      </c>
      <c r="F264" s="13" t="inlineStr">
        <is>
          <t>MEDIUM</t>
        </is>
      </c>
      <c r="G264" s="15" t="n">
        <v>227.93</v>
      </c>
      <c r="H264" s="16" t="n">
        <v>208.19</v>
      </c>
      <c r="I264" s="16" t="n">
        <v>207.41</v>
      </c>
      <c r="K264" s="26">
        <f>IF(H264="","",(H264-G264)/G264)</f>
        <v/>
      </c>
      <c r="L264" s="26">
        <f>IF(I264="","",(I264-G264)/G264)</f>
        <v/>
      </c>
      <c r="M264" s="26">
        <f>IF(J264="","",(J264-G264)/G264)</f>
        <v/>
      </c>
      <c r="N264" s="27">
        <f>IF(H264="","",IF(D264="HOLD",IF(ABS(K264)&lt;0.03,"YES","NO"),IF(D264="BUY",IF(K264&gt;0,"YES","NO"),IF(D264="SELL",IF(K264&lt;0,"YES","NO"),""))))</f>
        <v/>
      </c>
    </row>
    <row r="265" ht="15" customHeight="1">
      <c r="A265" s="12" t="n">
        <v>46175</v>
      </c>
      <c r="B265" s="13" t="inlineStr">
        <is>
          <t>GLD</t>
        </is>
      </c>
      <c r="C265" s="13" t="inlineStr">
        <is>
          <t>Scout</t>
        </is>
      </c>
      <c r="D265" s="13" t="inlineStr">
        <is>
          <t>HOLD</t>
        </is>
      </c>
      <c r="E265" s="14" t="n">
        <v>0.47</v>
      </c>
      <c r="F265" s="13" t="inlineStr">
        <is>
          <t>MEDIUM</t>
        </is>
      </c>
      <c r="G265" s="15" t="n">
        <v>413.145</v>
      </c>
      <c r="H265" s="16" t="n">
        <v>390.78</v>
      </c>
      <c r="I265" s="16" t="n">
        <v>397.64</v>
      </c>
      <c r="K265" s="26">
        <f>IF(H265="","",(H265-G265)/G265)</f>
        <v/>
      </c>
      <c r="L265" s="26">
        <f>IF(I265="","",(I265-G265)/G265)</f>
        <v/>
      </c>
      <c r="M265" s="26">
        <f>IF(J265="","",(J265-G265)/G265)</f>
        <v/>
      </c>
      <c r="N265" s="27">
        <f>IF(H265="","",IF(D265="HOLD",IF(ABS(K265)&lt;0.03,"YES","NO"),IF(D265="BUY",IF(K265&gt;0,"YES","NO"),IF(D265="SELL",IF(K265&lt;0,"YES","NO"),""))))</f>
        <v/>
      </c>
    </row>
    <row r="266" ht="15" customHeight="1">
      <c r="A266" s="12" t="n">
        <v>46176</v>
      </c>
      <c r="B266" s="13" t="inlineStr">
        <is>
          <t>AAPL</t>
        </is>
      </c>
      <c r="C266" s="13" t="inlineStr">
        <is>
          <t>Roth IRA</t>
        </is>
      </c>
      <c r="D266" s="13" t="inlineStr">
        <is>
          <t>HOLD</t>
        </is>
      </c>
      <c r="E266" s="14" t="n">
        <v>0.55</v>
      </c>
      <c r="F266" s="13" t="inlineStr">
        <is>
          <t>MEDIUM</t>
        </is>
      </c>
      <c r="G266" s="15" t="n">
        <v>314.505</v>
      </c>
      <c r="H266" s="16" t="n">
        <v>291.58</v>
      </c>
      <c r="I266" s="16" t="n">
        <v>295.95</v>
      </c>
      <c r="K266" s="26">
        <f>IF(H266="","",(H266-G266)/G266)</f>
        <v/>
      </c>
      <c r="L266" s="26">
        <f>IF(I266="","",(I266-G266)/G266)</f>
        <v/>
      </c>
      <c r="M266" s="26">
        <f>IF(J266="","",(J266-G266)/G266)</f>
        <v/>
      </c>
      <c r="N266" s="27">
        <f>IF(H266="","",IF(D266="HOLD",IF(ABS(K266)&lt;0.03,"YES","NO"),IF(D266="BUY",IF(K266&gt;0,"YES","NO"),IF(D266="SELL",IF(K266&lt;0,"YES","NO"),""))))</f>
        <v/>
      </c>
    </row>
    <row r="267" ht="15" customHeight="1">
      <c r="A267" s="12" t="n">
        <v>46176</v>
      </c>
      <c r="B267" s="13" t="inlineStr">
        <is>
          <t>AG</t>
        </is>
      </c>
      <c r="C267" s="13" t="inlineStr">
        <is>
          <t>Individual</t>
        </is>
      </c>
      <c r="D267" s="13" t="inlineStr">
        <is>
          <t>HOLD</t>
        </is>
      </c>
      <c r="E267" s="14" t="n">
        <v>0.42</v>
      </c>
      <c r="F267" s="13" t="inlineStr">
        <is>
          <t>MEDIUM</t>
        </is>
      </c>
      <c r="G267" s="15" t="n">
        <v>20.14</v>
      </c>
      <c r="H267" s="16" t="n">
        <v>15.71</v>
      </c>
      <c r="I267" s="16" t="n">
        <v>18.55</v>
      </c>
      <c r="K267" s="26">
        <f>IF(H267="","",(H267-G267)/G267)</f>
        <v/>
      </c>
      <c r="L267" s="26">
        <f>IF(I267="","",(I267-G267)/G267)</f>
        <v/>
      </c>
      <c r="M267" s="26">
        <f>IF(J267="","",(J267-G267)/G267)</f>
        <v/>
      </c>
      <c r="N267" s="27">
        <f>IF(H267="","",IF(D267="HOLD",IF(ABS(K267)&lt;0.03,"YES","NO"),IF(D267="BUY",IF(K267&gt;0,"YES","NO"),IF(D267="SELL",IF(K267&lt;0,"YES","NO"),""))))</f>
        <v/>
      </c>
    </row>
    <row r="268" ht="15" customHeight="1">
      <c r="A268" s="12" t="n">
        <v>46176</v>
      </c>
      <c r="B268" s="13" t="inlineStr">
        <is>
          <t>AIQ</t>
        </is>
      </c>
      <c r="C268" s="13" t="inlineStr">
        <is>
          <t>Roth IRA,Individual</t>
        </is>
      </c>
      <c r="D268" s="13" t="inlineStr">
        <is>
          <t>HOLD</t>
        </is>
      </c>
      <c r="E268" s="14" t="n">
        <v>0.58</v>
      </c>
      <c r="F268" s="13" t="inlineStr">
        <is>
          <t>MEDIUM</t>
        </is>
      </c>
      <c r="G268" s="15" t="n">
        <v>69.42</v>
      </c>
      <c r="H268" s="16" t="n">
        <v>61.36</v>
      </c>
      <c r="I268" s="16" t="n">
        <v>64.33</v>
      </c>
      <c r="K268" s="26">
        <f>IF(H268="","",(H268-G268)/G268)</f>
        <v/>
      </c>
      <c r="L268" s="26">
        <f>IF(I268="","",(I268-G268)/G268)</f>
        <v/>
      </c>
      <c r="M268" s="26">
        <f>IF(J268="","",(J268-G268)/G268)</f>
        <v/>
      </c>
      <c r="N268" s="27">
        <f>IF(H268="","",IF(D268="HOLD",IF(ABS(K268)&lt;0.03,"YES","NO"),IF(D268="BUY",IF(K268&gt;0,"YES","NO"),IF(D268="SELL",IF(K268&lt;0,"YES","NO"),""))))</f>
        <v/>
      </c>
    </row>
    <row r="269" ht="15" customHeight="1">
      <c r="A269" s="12" t="n">
        <v>46176</v>
      </c>
      <c r="B269" s="13" t="inlineStr">
        <is>
          <t>CBRS</t>
        </is>
      </c>
      <c r="C269" s="13" t="inlineStr">
        <is>
          <t>Individual</t>
        </is>
      </c>
      <c r="D269" s="13" t="inlineStr">
        <is>
          <t>HOLD</t>
        </is>
      </c>
      <c r="E269" s="14" t="n">
        <v>0.38</v>
      </c>
      <c r="F269" s="13" t="inlineStr">
        <is>
          <t>LOW</t>
        </is>
      </c>
      <c r="G269" s="15" t="n">
        <v>222.22</v>
      </c>
      <c r="H269" s="16" t="n">
        <v>237.33</v>
      </c>
      <c r="I269" s="16" t="n">
        <v>213.67</v>
      </c>
      <c r="K269" s="26">
        <f>IF(H269="","",(H269-G269)/G269)</f>
        <v/>
      </c>
      <c r="L269" s="26">
        <f>IF(I269="","",(I269-G269)/G269)</f>
        <v/>
      </c>
      <c r="M269" s="26">
        <f>IF(J269="","",(J269-G269)/G269)</f>
        <v/>
      </c>
      <c r="N269" s="27">
        <f>IF(H269="","",IF(D269="HOLD",IF(ABS(K269)&lt;0.03,"YES","NO"),IF(D269="BUY",IF(K269&gt;0,"YES","NO"),IF(D269="SELL",IF(K269&lt;0,"YES","NO"),""))))</f>
        <v/>
      </c>
    </row>
    <row r="270" ht="15" customHeight="1">
      <c r="A270" s="12" t="n">
        <v>46176</v>
      </c>
      <c r="B270" s="13" t="inlineStr">
        <is>
          <t>CORN</t>
        </is>
      </c>
      <c r="C270" s="13" t="inlineStr">
        <is>
          <t>Individual</t>
        </is>
      </c>
      <c r="D270" s="13" t="inlineStr">
        <is>
          <t>HOLD</t>
        </is>
      </c>
      <c r="E270" s="14" t="n">
        <v>0.42</v>
      </c>
      <c r="F270" s="13" t="inlineStr">
        <is>
          <t>MEDIUM</t>
        </is>
      </c>
      <c r="G270" s="15" t="n">
        <v>17.665</v>
      </c>
      <c r="H270" s="16" t="n">
        <v>17.07</v>
      </c>
      <c r="I270" s="16" t="n">
        <v>17.15</v>
      </c>
      <c r="K270" s="26">
        <f>IF(H270="","",(H270-G270)/G270)</f>
        <v/>
      </c>
      <c r="L270" s="26">
        <f>IF(I270="","",(I270-G270)/G270)</f>
        <v/>
      </c>
      <c r="M270" s="26">
        <f>IF(J270="","",(J270-G270)/G270)</f>
        <v/>
      </c>
      <c r="N270" s="27">
        <f>IF(H270="","",IF(D270="HOLD",IF(ABS(K270)&lt;0.03,"YES","NO"),IF(D270="BUY",IF(K270&gt;0,"YES","NO"),IF(D270="SELL",IF(K270&lt;0,"YES","NO"),""))))</f>
        <v/>
      </c>
    </row>
    <row r="271" ht="15" customHeight="1">
      <c r="A271" s="12" t="n">
        <v>46176</v>
      </c>
      <c r="B271" s="13" t="inlineStr">
        <is>
          <t>DOW</t>
        </is>
      </c>
      <c r="C271" s="13" t="inlineStr">
        <is>
          <t>Roth IRA,Individual</t>
        </is>
      </c>
      <c r="D271" s="13" t="inlineStr">
        <is>
          <t>HOLD</t>
        </is>
      </c>
      <c r="E271" s="14" t="n">
        <v>0.42</v>
      </c>
      <c r="F271" s="13" t="inlineStr">
        <is>
          <t>MEDIUM</t>
        </is>
      </c>
      <c r="G271" s="15" t="n">
        <v>35.48</v>
      </c>
      <c r="H271" s="16" t="n">
        <v>34.24</v>
      </c>
      <c r="I271" s="16" t="n">
        <v>32.5</v>
      </c>
      <c r="K271" s="26">
        <f>IF(H271="","",(H271-G271)/G271)</f>
        <v/>
      </c>
      <c r="L271" s="26">
        <f>IF(I271="","",(I271-G271)/G271)</f>
        <v/>
      </c>
      <c r="M271" s="26">
        <f>IF(J271="","",(J271-G271)/G271)</f>
        <v/>
      </c>
      <c r="N271" s="27">
        <f>IF(H271="","",IF(D271="HOLD",IF(ABS(K271)&lt;0.03,"YES","NO"),IF(D271="BUY",IF(K271&gt;0,"YES","NO"),IF(D271="SELL",IF(K271&lt;0,"YES","NO"),""))))</f>
        <v/>
      </c>
    </row>
    <row r="272" ht="15" customHeight="1">
      <c r="A272" s="12" t="n">
        <v>46176</v>
      </c>
      <c r="B272" s="13" t="inlineStr">
        <is>
          <t>FTI</t>
        </is>
      </c>
      <c r="C272" s="13" t="inlineStr">
        <is>
          <t>Individual</t>
        </is>
      </c>
      <c r="D272" s="13" t="inlineStr">
        <is>
          <t>HOLD</t>
        </is>
      </c>
      <c r="E272" s="14" t="n">
        <v>0.52</v>
      </c>
      <c r="F272" s="13" t="inlineStr">
        <is>
          <t>MEDIUM</t>
        </is>
      </c>
      <c r="G272" s="15" t="n">
        <v>68.31</v>
      </c>
      <c r="H272" s="16" t="n">
        <v>69.95</v>
      </c>
      <c r="I272" s="16" t="n">
        <v>67.01000000000001</v>
      </c>
      <c r="K272" s="26">
        <f>IF(H272="","",(H272-G272)/G272)</f>
        <v/>
      </c>
      <c r="L272" s="26">
        <f>IF(I272="","",(I272-G272)/G272)</f>
        <v/>
      </c>
      <c r="M272" s="26">
        <f>IF(J272="","",(J272-G272)/G272)</f>
        <v/>
      </c>
      <c r="N272" s="27">
        <f>IF(H272="","",IF(D272="HOLD",IF(ABS(K272)&lt;0.03,"YES","NO"),IF(D272="BUY",IF(K272&gt;0,"YES","NO"),IF(D272="SELL",IF(K272&lt;0,"YES","NO"),""))))</f>
        <v/>
      </c>
    </row>
    <row r="273" ht="15" customHeight="1">
      <c r="A273" s="12" t="n">
        <v>46176</v>
      </c>
      <c r="B273" s="13" t="inlineStr">
        <is>
          <t>GM</t>
        </is>
      </c>
      <c r="C273" s="13" t="inlineStr">
        <is>
          <t>Roth IRA,Individual</t>
        </is>
      </c>
      <c r="D273" s="13" t="inlineStr">
        <is>
          <t>HOLD</t>
        </is>
      </c>
      <c r="E273" s="14" t="n">
        <v>0.58</v>
      </c>
      <c r="F273" s="13" t="inlineStr">
        <is>
          <t>MEDIUM</t>
        </is>
      </c>
      <c r="G273" s="15" t="n">
        <v>82.93000000000001</v>
      </c>
      <c r="H273" s="16" t="n">
        <v>79.40000000000001</v>
      </c>
      <c r="I273" s="16" t="n">
        <v>79.58</v>
      </c>
      <c r="K273" s="26">
        <f>IF(H273="","",(H273-G273)/G273)</f>
        <v/>
      </c>
      <c r="L273" s="26">
        <f>IF(I273="","",(I273-G273)/G273)</f>
        <v/>
      </c>
      <c r="M273" s="26">
        <f>IF(J273="","",(J273-G273)/G273)</f>
        <v/>
      </c>
      <c r="N273" s="27">
        <f>IF(H273="","",IF(D273="HOLD",IF(ABS(K273)&lt;0.03,"YES","NO"),IF(D273="BUY",IF(K273&gt;0,"YES","NO"),IF(D273="SELL",IF(K273&lt;0,"YES","NO"),""))))</f>
        <v/>
      </c>
    </row>
    <row r="274" ht="15" customHeight="1">
      <c r="A274" s="12" t="n">
        <v>46176</v>
      </c>
      <c r="B274" s="13" t="inlineStr">
        <is>
          <t>JPM</t>
        </is>
      </c>
      <c r="C274" s="13" t="inlineStr">
        <is>
          <t>Roth IRA</t>
        </is>
      </c>
      <c r="D274" s="13" t="inlineStr">
        <is>
          <t>HOLD</t>
        </is>
      </c>
      <c r="E274" s="14" t="n">
        <v>0.55</v>
      </c>
      <c r="F274" s="13" t="inlineStr">
        <is>
          <t>MEDIUM</t>
        </is>
      </c>
      <c r="G274" s="15" t="n">
        <v>297.985</v>
      </c>
      <c r="H274" s="16" t="n">
        <v>309.14</v>
      </c>
      <c r="I274" s="16" t="n">
        <v>333.46</v>
      </c>
      <c r="K274" s="26">
        <f>IF(H274="","",(H274-G274)/G274)</f>
        <v/>
      </c>
      <c r="L274" s="26">
        <f>IF(I274="","",(I274-G274)/G274)</f>
        <v/>
      </c>
      <c r="M274" s="26">
        <f>IF(J274="","",(J274-G274)/G274)</f>
        <v/>
      </c>
      <c r="N274" s="27">
        <f>IF(H274="","",IF(D274="HOLD",IF(ABS(K274)&lt;0.03,"YES","NO"),IF(D274="BUY",IF(K274&gt;0,"YES","NO"),IF(D274="SELL",IF(K274&lt;0,"YES","NO"),""))))</f>
        <v/>
      </c>
    </row>
    <row r="275" ht="15" customHeight="1">
      <c r="A275" s="12" t="n">
        <v>46176</v>
      </c>
      <c r="B275" s="13" t="inlineStr">
        <is>
          <t>MSFT</t>
        </is>
      </c>
      <c r="C275" s="13" t="inlineStr">
        <is>
          <t>Roth IRA,Individual</t>
        </is>
      </c>
      <c r="D275" s="13" t="inlineStr">
        <is>
          <t>HOLD</t>
        </is>
      </c>
      <c r="E275" s="14" t="n">
        <v>0.62</v>
      </c>
      <c r="F275" s="13" t="inlineStr">
        <is>
          <t>HIGH</t>
        </is>
      </c>
      <c r="G275" s="15" t="n">
        <v>430.85</v>
      </c>
      <c r="H275" s="16" t="n">
        <v>397.36</v>
      </c>
      <c r="I275" s="16" t="n">
        <v>378.91</v>
      </c>
      <c r="K275" s="26">
        <f>IF(H275="","",(H275-G275)/G275)</f>
        <v/>
      </c>
      <c r="L275" s="26">
        <f>IF(I275="","",(I275-G275)/G275)</f>
        <v/>
      </c>
      <c r="M275" s="26">
        <f>IF(J275="","",(J275-G275)/G275)</f>
        <v/>
      </c>
      <c r="N275" s="27">
        <f>IF(H275="","",IF(D275="HOLD",IF(ABS(K275)&lt;0.03,"YES","NO"),IF(D275="BUY",IF(K275&gt;0,"YES","NO"),IF(D275="SELL",IF(K275&lt;0,"YES","NO"),""))))</f>
        <v/>
      </c>
    </row>
    <row r="276" ht="15" customHeight="1">
      <c r="A276" s="12" t="n">
        <v>46176</v>
      </c>
      <c r="B276" s="13" t="inlineStr">
        <is>
          <t>NKE</t>
        </is>
      </c>
      <c r="C276" s="13" t="inlineStr">
        <is>
          <t>Roth IRA</t>
        </is>
      </c>
      <c r="D276" s="13" t="inlineStr">
        <is>
          <t>HOLD</t>
        </is>
      </c>
      <c r="E276" s="14" t="n">
        <v>0.52</v>
      </c>
      <c r="F276" s="13" t="inlineStr">
        <is>
          <t>HIGH</t>
        </is>
      </c>
      <c r="G276" s="15" t="n">
        <v>43.64</v>
      </c>
      <c r="H276" s="16" t="n">
        <v>43.96</v>
      </c>
      <c r="I276" s="16" t="n">
        <v>44.19</v>
      </c>
      <c r="K276" s="26">
        <f>IF(H276="","",(H276-G276)/G276)</f>
        <v/>
      </c>
      <c r="L276" s="26">
        <f>IF(I276="","",(I276-G276)/G276)</f>
        <v/>
      </c>
      <c r="M276" s="26">
        <f>IF(J276="","",(J276-G276)/G276)</f>
        <v/>
      </c>
      <c r="N276" s="27">
        <f>IF(H276="","",IF(D276="HOLD",IF(ABS(K276)&lt;0.03,"YES","NO"),IF(D276="BUY",IF(K276&gt;0,"YES","NO"),IF(D276="SELL",IF(K276&lt;0,"YES","NO"),""))))</f>
        <v/>
      </c>
    </row>
    <row r="277" ht="15" customHeight="1">
      <c r="A277" s="12" t="n">
        <v>46176</v>
      </c>
      <c r="B277" s="13" t="inlineStr">
        <is>
          <t>NTR</t>
        </is>
      </c>
      <c r="C277" s="13" t="inlineStr">
        <is>
          <t>Roth IRA,Individual</t>
        </is>
      </c>
      <c r="D277" s="13" t="inlineStr">
        <is>
          <t>HOLD</t>
        </is>
      </c>
      <c r="E277" s="14" t="n">
        <v>0.52</v>
      </c>
      <c r="F277" s="13" t="inlineStr">
        <is>
          <t>MEDIUM</t>
        </is>
      </c>
      <c r="G277" s="15" t="n">
        <v>69.79000000000001</v>
      </c>
      <c r="H277" s="16" t="n">
        <v>65.03</v>
      </c>
      <c r="I277" s="16" t="n">
        <v>64.28</v>
      </c>
      <c r="K277" s="26">
        <f>IF(H277="","",(H277-G277)/G277)</f>
        <v/>
      </c>
      <c r="L277" s="26">
        <f>IF(I277="","",(I277-G277)/G277)</f>
        <v/>
      </c>
      <c r="M277" s="26">
        <f>IF(J277="","",(J277-G277)/G277)</f>
        <v/>
      </c>
      <c r="N277" s="27">
        <f>IF(H277="","",IF(D277="HOLD",IF(ABS(K277)&lt;0.03,"YES","NO"),IF(D277="BUY",IF(K277&gt;0,"YES","NO"),IF(D277="SELL",IF(K277&lt;0,"YES","NO"),""))))</f>
        <v/>
      </c>
    </row>
    <row r="278" ht="15" customHeight="1">
      <c r="A278" s="12" t="n">
        <v>46176</v>
      </c>
      <c r="B278" s="13" t="inlineStr">
        <is>
          <t>PM</t>
        </is>
      </c>
      <c r="C278" s="13" t="inlineStr">
        <is>
          <t>Roth IRA</t>
        </is>
      </c>
      <c r="D278" s="13" t="inlineStr">
        <is>
          <t>HOLD</t>
        </is>
      </c>
      <c r="E278" s="14" t="n">
        <v>0.55</v>
      </c>
      <c r="F278" s="13" t="inlineStr">
        <is>
          <t>MEDIUM</t>
        </is>
      </c>
      <c r="G278" s="15" t="n">
        <v>176.64</v>
      </c>
      <c r="H278" s="16" t="n">
        <v>182.95</v>
      </c>
      <c r="I278" s="16" t="n">
        <v>179.44</v>
      </c>
      <c r="K278" s="26">
        <f>IF(H278="","",(H278-G278)/G278)</f>
        <v/>
      </c>
      <c r="L278" s="26">
        <f>IF(I278="","",(I278-G278)/G278)</f>
        <v/>
      </c>
      <c r="M278" s="26">
        <f>IF(J278="","",(J278-G278)/G278)</f>
        <v/>
      </c>
      <c r="N278" s="27">
        <f>IF(H278="","",IF(D278="HOLD",IF(ABS(K278)&lt;0.03,"YES","NO"),IF(D278="BUY",IF(K278&gt;0,"YES","NO"),IF(D278="SELL",IF(K278&lt;0,"YES","NO"),""))))</f>
        <v/>
      </c>
    </row>
    <row r="279" ht="15" customHeight="1">
      <c r="A279" s="12" t="n">
        <v>46176</v>
      </c>
      <c r="B279" s="13" t="inlineStr">
        <is>
          <t>PWR</t>
        </is>
      </c>
      <c r="C279" s="13" t="inlineStr">
        <is>
          <t>Roth IRA</t>
        </is>
      </c>
      <c r="D279" s="13" t="inlineStr">
        <is>
          <t>HOLD</t>
        </is>
      </c>
      <c r="E279" s="14" t="n">
        <v>0.62</v>
      </c>
      <c r="F279" s="13" t="inlineStr">
        <is>
          <t>MEDIUM</t>
        </is>
      </c>
      <c r="G279" s="15" t="n">
        <v>726.015</v>
      </c>
      <c r="H279" s="16" t="n">
        <v>650.92</v>
      </c>
      <c r="I279" s="16" t="n">
        <v>714.85</v>
      </c>
      <c r="K279" s="26">
        <f>IF(H279="","",(H279-G279)/G279)</f>
        <v/>
      </c>
      <c r="L279" s="26">
        <f>IF(I279="","",(I279-G279)/G279)</f>
        <v/>
      </c>
      <c r="M279" s="26">
        <f>IF(J279="","",(J279-G279)/G279)</f>
        <v/>
      </c>
      <c r="N279" s="27">
        <f>IF(H279="","",IF(D279="HOLD",IF(ABS(K279)&lt;0.03,"YES","NO"),IF(D279="BUY",IF(K279&gt;0,"YES","NO"),IF(D279="SELL",IF(K279&lt;0,"YES","NO"),""))))</f>
        <v/>
      </c>
    </row>
    <row r="280" ht="15" customHeight="1">
      <c r="A280" s="12" t="n">
        <v>46176</v>
      </c>
      <c r="B280" s="13" t="inlineStr">
        <is>
          <t>RTX</t>
        </is>
      </c>
      <c r="C280" s="13" t="inlineStr">
        <is>
          <t>Individual</t>
        </is>
      </c>
      <c r="D280" s="13" t="inlineStr">
        <is>
          <t>HOLD</t>
        </is>
      </c>
      <c r="E280" s="14" t="n">
        <v>0.58</v>
      </c>
      <c r="F280" s="13" t="inlineStr">
        <is>
          <t>MEDIUM</t>
        </is>
      </c>
      <c r="G280" s="15" t="n">
        <v>174.31</v>
      </c>
      <c r="H280" s="16" t="n">
        <v>177.41</v>
      </c>
      <c r="I280" s="16" t="n">
        <v>192.58</v>
      </c>
      <c r="K280" s="26">
        <f>IF(H280="","",(H280-G280)/G280)</f>
        <v/>
      </c>
      <c r="L280" s="26">
        <f>IF(I280="","",(I280-G280)/G280)</f>
        <v/>
      </c>
      <c r="M280" s="26">
        <f>IF(J280="","",(J280-G280)/G280)</f>
        <v/>
      </c>
      <c r="N280" s="27">
        <f>IF(H280="","",IF(D280="HOLD",IF(ABS(K280)&lt;0.03,"YES","NO"),IF(D280="BUY",IF(K280&gt;0,"YES","NO"),IF(D280="SELL",IF(K280&lt;0,"YES","NO"),""))))</f>
        <v/>
      </c>
    </row>
    <row r="281" ht="15" customHeight="1">
      <c r="A281" s="12" t="n">
        <v>46176</v>
      </c>
      <c r="B281" s="13" t="inlineStr">
        <is>
          <t>SCHD</t>
        </is>
      </c>
      <c r="C281" s="13" t="inlineStr">
        <is>
          <t>Roth IRA</t>
        </is>
      </c>
      <c r="D281" s="13" t="inlineStr">
        <is>
          <t>HOLD</t>
        </is>
      </c>
      <c r="E281" s="14" t="n">
        <v>0.65</v>
      </c>
      <c r="F281" s="13" t="inlineStr">
        <is>
          <t>HIGH</t>
        </is>
      </c>
      <c r="G281" s="15" t="n">
        <v>32.385</v>
      </c>
      <c r="H281" s="16" t="n">
        <v>32.26</v>
      </c>
      <c r="I281" s="16" t="n">
        <v>31.93</v>
      </c>
      <c r="K281" s="26">
        <f>IF(H281="","",(H281-G281)/G281)</f>
        <v/>
      </c>
      <c r="L281" s="26">
        <f>IF(I281="","",(I281-G281)/G281)</f>
        <v/>
      </c>
      <c r="M281" s="26">
        <f>IF(J281="","",(J281-G281)/G281)</f>
        <v/>
      </c>
      <c r="N281" s="27">
        <f>IF(H281="","",IF(D281="HOLD",IF(ABS(K281)&lt;0.03,"YES","NO"),IF(D281="BUY",IF(K281&gt;0,"YES","NO"),IF(D281="SELL",IF(K281&lt;0,"YES","NO"),""))))</f>
        <v/>
      </c>
    </row>
    <row r="282" ht="15" customHeight="1">
      <c r="A282" s="12" t="n">
        <v>46176</v>
      </c>
      <c r="B282" s="13" t="inlineStr">
        <is>
          <t>SND</t>
        </is>
      </c>
      <c r="C282" s="13" t="inlineStr">
        <is>
          <t>Individual</t>
        </is>
      </c>
      <c r="D282" s="13" t="inlineStr">
        <is>
          <t>HOLD</t>
        </is>
      </c>
      <c r="E282" s="14" t="n">
        <v>0.48</v>
      </c>
      <c r="F282" s="13" t="inlineStr">
        <is>
          <t>MEDIUM</t>
        </is>
      </c>
      <c r="G282" s="15" t="n">
        <v>5.005</v>
      </c>
      <c r="H282" s="16" t="n">
        <v>5.31</v>
      </c>
      <c r="I282" s="16" t="n">
        <v>5.03</v>
      </c>
      <c r="K282" s="26">
        <f>IF(H282="","",(H282-G282)/G282)</f>
        <v/>
      </c>
      <c r="L282" s="26">
        <f>IF(I282="","",(I282-G282)/G282)</f>
        <v/>
      </c>
      <c r="M282" s="26">
        <f>IF(J282="","",(J282-G282)/G282)</f>
        <v/>
      </c>
      <c r="N282" s="27">
        <f>IF(H282="","",IF(D282="HOLD",IF(ABS(K282)&lt;0.03,"YES","NO"),IF(D282="BUY",IF(K282&gt;0,"YES","NO"),IF(D282="SELL",IF(K282&lt;0,"YES","NO"),""))))</f>
        <v/>
      </c>
    </row>
    <row r="283" ht="15" customHeight="1">
      <c r="A283" s="12" t="n">
        <v>46176</v>
      </c>
      <c r="B283" s="13" t="inlineStr">
        <is>
          <t>WMT</t>
        </is>
      </c>
      <c r="C283" s="13" t="inlineStr">
        <is>
          <t>Roth IRA,Individual</t>
        </is>
      </c>
      <c r="D283" s="13" t="inlineStr">
        <is>
          <t>HOLD</t>
        </is>
      </c>
      <c r="E283" s="14" t="n">
        <v>0.52</v>
      </c>
      <c r="F283" s="13" t="inlineStr">
        <is>
          <t>HIGH</t>
        </is>
      </c>
      <c r="G283" s="15" t="n">
        <v>116.17</v>
      </c>
      <c r="H283" s="16" t="n">
        <v>120.59</v>
      </c>
      <c r="I283" s="16" t="n">
        <v>118.13</v>
      </c>
      <c r="K283" s="26">
        <f>IF(H283="","",(H283-G283)/G283)</f>
        <v/>
      </c>
      <c r="L283" s="26">
        <f>IF(I283="","",(I283-G283)/G283)</f>
        <v/>
      </c>
      <c r="M283" s="26">
        <f>IF(J283="","",(J283-G283)/G283)</f>
        <v/>
      </c>
      <c r="N283" s="27">
        <f>IF(H283="","",IF(D283="HOLD",IF(ABS(K283)&lt;0.03,"YES","NO"),IF(D283="BUY",IF(K283&gt;0,"YES","NO"),IF(D283="SELL",IF(K283&lt;0,"YES","NO"),""))))</f>
        <v/>
      </c>
    </row>
    <row r="284" ht="15" customHeight="1">
      <c r="A284" s="12" t="n">
        <v>46176</v>
      </c>
      <c r="B284" s="13" t="inlineStr">
        <is>
          <t>XLU</t>
        </is>
      </c>
      <c r="C284" s="13" t="inlineStr">
        <is>
          <t>Roth IRA</t>
        </is>
      </c>
      <c r="D284" s="13" t="inlineStr">
        <is>
          <t>HOLD</t>
        </is>
      </c>
      <c r="E284" s="14" t="n">
        <v>0.52</v>
      </c>
      <c r="F284" s="13" t="inlineStr">
        <is>
          <t>MEDIUM</t>
        </is>
      </c>
      <c r="G284" s="15" t="n">
        <v>44.255</v>
      </c>
      <c r="H284" s="16" t="n">
        <v>44</v>
      </c>
      <c r="I284" s="16" t="n">
        <v>44.46</v>
      </c>
      <c r="K284" s="26">
        <f>IF(H284="","",(H284-G284)/G284)</f>
        <v/>
      </c>
      <c r="L284" s="26">
        <f>IF(I284="","",(I284-G284)/G284)</f>
        <v/>
      </c>
      <c r="M284" s="26">
        <f>IF(J284="","",(J284-G284)/G284)</f>
        <v/>
      </c>
      <c r="N284" s="27">
        <f>IF(H284="","",IF(D284="HOLD",IF(ABS(K284)&lt;0.03,"YES","NO"),IF(D284="BUY",IF(K284&gt;0,"YES","NO"),IF(D284="SELL",IF(K284&lt;0,"YES","NO"),""))))</f>
        <v/>
      </c>
    </row>
    <row r="285" ht="15" customHeight="1">
      <c r="A285" s="12" t="n">
        <v>46176</v>
      </c>
      <c r="B285" s="13" t="inlineStr">
        <is>
          <t>SPY</t>
        </is>
      </c>
      <c r="C285" s="13" t="inlineStr">
        <is>
          <t>Scout</t>
        </is>
      </c>
      <c r="D285" s="13" t="inlineStr">
        <is>
          <t>HOLD</t>
        </is>
      </c>
      <c r="E285" s="14" t="n">
        <v>0.45</v>
      </c>
      <c r="F285" s="13" t="inlineStr">
        <is>
          <t>HIGH</t>
        </is>
      </c>
      <c r="G285" s="15" t="n">
        <v>756.5925</v>
      </c>
      <c r="H285" s="16" t="n">
        <v>725.42</v>
      </c>
      <c r="I285" s="16" t="n">
        <v>740.96</v>
      </c>
      <c r="K285" s="26">
        <f>IF(H285="","",(H285-G285)/G285)</f>
        <v/>
      </c>
      <c r="L285" s="26">
        <f>IF(I285="","",(I285-G285)/G285)</f>
        <v/>
      </c>
      <c r="M285" s="26">
        <f>IF(J285="","",(J285-G285)/G285)</f>
        <v/>
      </c>
      <c r="N285" s="27">
        <f>IF(H285="","",IF(D285="HOLD",IF(ABS(K285)&lt;0.03,"YES","NO"),IF(D285="BUY",IF(K285&gt;0,"YES","NO"),IF(D285="SELL",IF(K285&lt;0,"YES","NO"),""))))</f>
        <v/>
      </c>
    </row>
    <row r="286" ht="15" customHeight="1">
      <c r="A286" s="12" t="n">
        <v>46176</v>
      </c>
      <c r="B286" s="13" t="inlineStr">
        <is>
          <t>NVDA</t>
        </is>
      </c>
      <c r="C286" s="13" t="inlineStr">
        <is>
          <t>Scout</t>
        </is>
      </c>
      <c r="D286" s="13" t="inlineStr">
        <is>
          <t>BUY</t>
        </is>
      </c>
      <c r="E286" s="14" t="n">
        <v>0.66</v>
      </c>
      <c r="F286" s="13" t="inlineStr">
        <is>
          <t>MEDIUM</t>
        </is>
      </c>
      <c r="G286" s="15" t="n">
        <v>215.1283</v>
      </c>
      <c r="H286" s="16" t="n">
        <v>200.42</v>
      </c>
      <c r="I286" s="16" t="n">
        <v>204.65</v>
      </c>
      <c r="K286" s="26">
        <f>IF(H286="","",(H286-G286)/G286)</f>
        <v/>
      </c>
      <c r="L286" s="26">
        <f>IF(I286="","",(I286-G286)/G286)</f>
        <v/>
      </c>
      <c r="M286" s="26">
        <f>IF(J286="","",(J286-G286)/G286)</f>
        <v/>
      </c>
      <c r="N286" s="27">
        <f>IF(H286="","",IF(D286="HOLD",IF(ABS(K286)&lt;0.03,"YES","NO"),IF(D286="BUY",IF(K286&gt;0,"YES","NO"),IF(D286="SELL",IF(K286&lt;0,"YES","NO"),""))))</f>
        <v/>
      </c>
    </row>
    <row r="287" ht="15" customHeight="1">
      <c r="A287" s="12" t="n">
        <v>46176</v>
      </c>
      <c r="B287" s="13" t="inlineStr">
        <is>
          <t>GLD</t>
        </is>
      </c>
      <c r="C287" s="13" t="inlineStr">
        <is>
          <t>Scout</t>
        </is>
      </c>
      <c r="D287" s="13" t="inlineStr">
        <is>
          <t>BUY</t>
        </is>
      </c>
      <c r="E287" s="14" t="n">
        <v>0.62</v>
      </c>
      <c r="F287" s="13" t="inlineStr">
        <is>
          <t>MEDIUM</t>
        </is>
      </c>
      <c r="G287" s="15" t="n">
        <v>408.5</v>
      </c>
      <c r="H287" s="16" t="n">
        <v>374.58</v>
      </c>
      <c r="I287" s="16" t="n">
        <v>388.6</v>
      </c>
      <c r="K287" s="26">
        <f>IF(H287="","",(H287-G287)/G287)</f>
        <v/>
      </c>
      <c r="L287" s="26">
        <f>IF(I287="","",(I287-G287)/G287)</f>
        <v/>
      </c>
      <c r="M287" s="26">
        <f>IF(J287="","",(J287-G287)/G287)</f>
        <v/>
      </c>
      <c r="N287" s="27">
        <f>IF(H287="","",IF(D287="HOLD",IF(ABS(K287)&lt;0.03,"YES","NO"),IF(D287="BUY",IF(K287&gt;0,"YES","NO"),IF(D287="SELL",IF(K287&lt;0,"YES","NO"),""))))</f>
        <v/>
      </c>
    </row>
    <row r="288" ht="15" customHeight="1">
      <c r="A288" s="12" t="n">
        <v>46177</v>
      </c>
      <c r="B288" s="13" t="inlineStr">
        <is>
          <t>AAPL</t>
        </is>
      </c>
      <c r="C288" s="13" t="inlineStr">
        <is>
          <t>Roth IRA</t>
        </is>
      </c>
      <c r="D288" s="13" t="inlineStr">
        <is>
          <t>HOLD</t>
        </is>
      </c>
      <c r="E288" s="14" t="n">
        <v>0.62</v>
      </c>
      <c r="F288" s="13" t="inlineStr">
        <is>
          <t>HIGH</t>
        </is>
      </c>
      <c r="G288" s="15" t="n">
        <v>310.22</v>
      </c>
      <c r="H288" s="16" t="n">
        <v>295.63</v>
      </c>
      <c r="I288" s="16" t="n">
        <v>298.01</v>
      </c>
      <c r="K288" s="26">
        <f>IF(H288="","",(H288-G288)/G288)</f>
        <v/>
      </c>
      <c r="L288" s="26">
        <f>IF(I288="","",(I288-G288)/G288)</f>
        <v/>
      </c>
      <c r="M288" s="26">
        <f>IF(J288="","",(J288-G288)/G288)</f>
        <v/>
      </c>
      <c r="N288" s="27">
        <f>IF(H288="","",IF(D288="HOLD",IF(ABS(K288)&lt;0.03,"YES","NO"),IF(D288="BUY",IF(K288&gt;0,"YES","NO"),IF(D288="SELL",IF(K288&lt;0,"YES","NO"),""))))</f>
        <v/>
      </c>
    </row>
    <row r="289" ht="15" customHeight="1">
      <c r="A289" s="12" t="n">
        <v>46177</v>
      </c>
      <c r="B289" s="13" t="inlineStr">
        <is>
          <t>AG</t>
        </is>
      </c>
      <c r="C289" s="13" t="inlineStr">
        <is>
          <t>Individual</t>
        </is>
      </c>
      <c r="D289" s="13" t="inlineStr">
        <is>
          <t>HOLD</t>
        </is>
      </c>
      <c r="E289" s="14" t="n">
        <v>0.42</v>
      </c>
      <c r="F289" s="13" t="inlineStr">
        <is>
          <t>MEDIUM</t>
        </is>
      </c>
      <c r="G289" s="15" t="n">
        <v>20.16</v>
      </c>
      <c r="H289" s="16" t="n">
        <v>16.92</v>
      </c>
      <c r="I289" s="16" t="n">
        <v>18</v>
      </c>
      <c r="K289" s="26">
        <f>IF(H289="","",(H289-G289)/G289)</f>
        <v/>
      </c>
      <c r="L289" s="26">
        <f>IF(I289="","",(I289-G289)/G289)</f>
        <v/>
      </c>
      <c r="M289" s="26">
        <f>IF(J289="","",(J289-G289)/G289)</f>
        <v/>
      </c>
      <c r="N289" s="27">
        <f>IF(H289="","",IF(D289="HOLD",IF(ABS(K289)&lt;0.03,"YES","NO"),IF(D289="BUY",IF(K289&gt;0,"YES","NO"),IF(D289="SELL",IF(K289&lt;0,"YES","NO"),""))))</f>
        <v/>
      </c>
    </row>
    <row r="290" ht="15" customHeight="1">
      <c r="A290" s="12" t="n">
        <v>46177</v>
      </c>
      <c r="B290" s="13" t="inlineStr">
        <is>
          <t>AIQ</t>
        </is>
      </c>
      <c r="C290" s="13" t="inlineStr">
        <is>
          <t>Roth IRA,Individual</t>
        </is>
      </c>
      <c r="D290" s="13" t="inlineStr">
        <is>
          <t>HOLD</t>
        </is>
      </c>
      <c r="E290" s="14" t="n">
        <v>0.58</v>
      </c>
      <c r="F290" s="13" t="inlineStr">
        <is>
          <t>MEDIUM</t>
        </is>
      </c>
      <c r="G290" s="15" t="n">
        <v>67.40000000000001</v>
      </c>
      <c r="H290" s="16" t="n">
        <v>63.95</v>
      </c>
      <c r="I290" s="16" t="n">
        <v>66.8</v>
      </c>
      <c r="K290" s="26">
        <f>IF(H290="","",(H290-G290)/G290)</f>
        <v/>
      </c>
      <c r="L290" s="26">
        <f>IF(I290="","",(I290-G290)/G290)</f>
        <v/>
      </c>
      <c r="M290" s="26">
        <f>IF(J290="","",(J290-G290)/G290)</f>
        <v/>
      </c>
      <c r="N290" s="27">
        <f>IF(H290="","",IF(D290="HOLD",IF(ABS(K290)&lt;0.03,"YES","NO"),IF(D290="BUY",IF(K290&gt;0,"YES","NO"),IF(D290="SELL",IF(K290&lt;0,"YES","NO"),""))))</f>
        <v/>
      </c>
    </row>
    <row r="291" ht="15" customHeight="1">
      <c r="A291" s="12" t="n">
        <v>46177</v>
      </c>
      <c r="B291" s="13" t="inlineStr">
        <is>
          <t>CBRS</t>
        </is>
      </c>
      <c r="C291" s="13" t="inlineStr">
        <is>
          <t>Individual</t>
        </is>
      </c>
      <c r="D291" s="13" t="inlineStr">
        <is>
          <t>HOLD</t>
        </is>
      </c>
      <c r="E291" s="14" t="n">
        <v>0.38</v>
      </c>
      <c r="F291" s="13" t="inlineStr">
        <is>
          <t>MEDIUM</t>
        </is>
      </c>
      <c r="G291" s="15" t="n">
        <v>208.085</v>
      </c>
      <c r="H291" s="16" t="n">
        <v>226.55</v>
      </c>
      <c r="I291" s="16" t="n">
        <v>234.71</v>
      </c>
      <c r="K291" s="26">
        <f>IF(H291="","",(H291-G291)/G291)</f>
        <v/>
      </c>
      <c r="L291" s="26">
        <f>IF(I291="","",(I291-G291)/G291)</f>
        <v/>
      </c>
      <c r="M291" s="26">
        <f>IF(J291="","",(J291-G291)/G291)</f>
        <v/>
      </c>
      <c r="N291" s="27">
        <f>IF(H291="","",IF(D291="HOLD",IF(ABS(K291)&lt;0.03,"YES","NO"),IF(D291="BUY",IF(K291&gt;0,"YES","NO"),IF(D291="SELL",IF(K291&lt;0,"YES","NO"),""))))</f>
        <v/>
      </c>
    </row>
    <row r="292" ht="15" customHeight="1">
      <c r="A292" s="12" t="n">
        <v>46177</v>
      </c>
      <c r="B292" s="13" t="inlineStr">
        <is>
          <t>CORN</t>
        </is>
      </c>
      <c r="C292" s="13" t="inlineStr">
        <is>
          <t>Individual</t>
        </is>
      </c>
      <c r="D292" s="13" t="inlineStr">
        <is>
          <t>HOLD</t>
        </is>
      </c>
      <c r="E292" s="14" t="n">
        <v>0.42</v>
      </c>
      <c r="F292" s="13" t="inlineStr">
        <is>
          <t>MEDIUM</t>
        </is>
      </c>
      <c r="G292" s="15" t="n">
        <v>17.235</v>
      </c>
      <c r="H292" s="16" t="n">
        <v>16.72</v>
      </c>
      <c r="I292" s="16" t="n">
        <v>16.95</v>
      </c>
      <c r="K292" s="26">
        <f>IF(H292="","",(H292-G292)/G292)</f>
        <v/>
      </c>
      <c r="L292" s="26">
        <f>IF(I292="","",(I292-G292)/G292)</f>
        <v/>
      </c>
      <c r="M292" s="26">
        <f>IF(J292="","",(J292-G292)/G292)</f>
        <v/>
      </c>
      <c r="N292" s="27">
        <f>IF(H292="","",IF(D292="HOLD",IF(ABS(K292)&lt;0.03,"YES","NO"),IF(D292="BUY",IF(K292&gt;0,"YES","NO"),IF(D292="SELL",IF(K292&lt;0,"YES","NO"),""))))</f>
        <v/>
      </c>
    </row>
    <row r="293" ht="15" customHeight="1">
      <c r="A293" s="12" t="n">
        <v>46177</v>
      </c>
      <c r="B293" s="13" t="inlineStr">
        <is>
          <t>DOW</t>
        </is>
      </c>
      <c r="C293" s="13" t="inlineStr">
        <is>
          <t>Roth IRA,Individual</t>
        </is>
      </c>
      <c r="D293" s="13" t="inlineStr">
        <is>
          <t>HOLD</t>
        </is>
      </c>
      <c r="E293" s="14" t="n">
        <v>0.38</v>
      </c>
      <c r="F293" s="13" t="inlineStr">
        <is>
          <t>HIGH</t>
        </is>
      </c>
      <c r="G293" s="15" t="n">
        <v>34.99</v>
      </c>
      <c r="H293" s="16" t="n">
        <v>33.63</v>
      </c>
      <c r="I293" s="16" t="n">
        <v>31.73</v>
      </c>
      <c r="K293" s="26">
        <f>IF(H293="","",(H293-G293)/G293)</f>
        <v/>
      </c>
      <c r="L293" s="26">
        <f>IF(I293="","",(I293-G293)/G293)</f>
        <v/>
      </c>
      <c r="M293" s="26">
        <f>IF(J293="","",(J293-G293)/G293)</f>
        <v/>
      </c>
      <c r="N293" s="27">
        <f>IF(H293="","",IF(D293="HOLD",IF(ABS(K293)&lt;0.03,"YES","NO"),IF(D293="BUY",IF(K293&gt;0,"YES","NO"),IF(D293="SELL",IF(K293&lt;0,"YES","NO"),""))))</f>
        <v/>
      </c>
    </row>
    <row r="294" ht="15" customHeight="1">
      <c r="A294" s="12" t="n">
        <v>46177</v>
      </c>
      <c r="B294" s="13" t="inlineStr">
        <is>
          <t>FTI</t>
        </is>
      </c>
      <c r="C294" s="13" t="inlineStr">
        <is>
          <t>Individual</t>
        </is>
      </c>
      <c r="D294" s="13" t="inlineStr">
        <is>
          <t>HOLD</t>
        </is>
      </c>
      <c r="E294" s="14" t="n">
        <v>0.55</v>
      </c>
      <c r="F294" s="13" t="inlineStr">
        <is>
          <t>MEDIUM</t>
        </is>
      </c>
      <c r="G294" s="15" t="n">
        <v>68.41</v>
      </c>
      <c r="H294" s="16" t="n">
        <v>70.59999999999999</v>
      </c>
      <c r="I294" s="16" t="n">
        <v>65.17</v>
      </c>
      <c r="K294" s="26">
        <f>IF(H294="","",(H294-G294)/G294)</f>
        <v/>
      </c>
      <c r="L294" s="26">
        <f>IF(I294="","",(I294-G294)/G294)</f>
        <v/>
      </c>
      <c r="M294" s="26">
        <f>IF(J294="","",(J294-G294)/G294)</f>
        <v/>
      </c>
      <c r="N294" s="27">
        <f>IF(H294="","",IF(D294="HOLD",IF(ABS(K294)&lt;0.03,"YES","NO"),IF(D294="BUY",IF(K294&gt;0,"YES","NO"),IF(D294="SELL",IF(K294&lt;0,"YES","NO"),""))))</f>
        <v/>
      </c>
    </row>
    <row r="295" ht="15" customHeight="1">
      <c r="A295" s="12" t="n">
        <v>46177</v>
      </c>
      <c r="B295" s="13" t="inlineStr">
        <is>
          <t>GM</t>
        </is>
      </c>
      <c r="C295" s="13" t="inlineStr">
        <is>
          <t>Roth IRA,Individual</t>
        </is>
      </c>
      <c r="D295" s="13" t="inlineStr">
        <is>
          <t>HOLD</t>
        </is>
      </c>
      <c r="E295" s="14" t="n">
        <v>0.58</v>
      </c>
      <c r="F295" s="13" t="inlineStr">
        <is>
          <t>MEDIUM</t>
        </is>
      </c>
      <c r="G295" s="15" t="n">
        <v>82.825</v>
      </c>
      <c r="H295" s="16" t="n">
        <v>80.84999999999999</v>
      </c>
      <c r="I295" s="16" t="n">
        <v>79.29000000000001</v>
      </c>
      <c r="K295" s="26">
        <f>IF(H295="","",(H295-G295)/G295)</f>
        <v/>
      </c>
      <c r="L295" s="26">
        <f>IF(I295="","",(I295-G295)/G295)</f>
        <v/>
      </c>
      <c r="M295" s="26">
        <f>IF(J295="","",(J295-G295)/G295)</f>
        <v/>
      </c>
      <c r="N295" s="27">
        <f>IF(H295="","",IF(D295="HOLD",IF(ABS(K295)&lt;0.03,"YES","NO"),IF(D295="BUY",IF(K295&gt;0,"YES","NO"),IF(D295="SELL",IF(K295&lt;0,"YES","NO"),""))))</f>
        <v/>
      </c>
    </row>
    <row r="296" ht="15" customHeight="1">
      <c r="A296" s="12" t="n">
        <v>46177</v>
      </c>
      <c r="B296" s="13" t="inlineStr">
        <is>
          <t>JPM</t>
        </is>
      </c>
      <c r="C296" s="13" t="inlineStr">
        <is>
          <t>Roth IRA</t>
        </is>
      </c>
      <c r="D296" s="13" t="inlineStr">
        <is>
          <t>HOLD</t>
        </is>
      </c>
      <c r="E296" s="14" t="n">
        <v>0.52</v>
      </c>
      <c r="F296" s="13" t="inlineStr">
        <is>
          <t>MEDIUM</t>
        </is>
      </c>
      <c r="G296" s="15" t="n">
        <v>307.405</v>
      </c>
      <c r="H296" s="16" t="n">
        <v>313.49</v>
      </c>
      <c r="I296" s="16" t="n">
        <v>325.22</v>
      </c>
      <c r="K296" s="26">
        <f>IF(H296="","",(H296-G296)/G296)</f>
        <v/>
      </c>
      <c r="L296" s="26">
        <f>IF(I296="","",(I296-G296)/G296)</f>
        <v/>
      </c>
      <c r="M296" s="26">
        <f>IF(J296="","",(J296-G296)/G296)</f>
        <v/>
      </c>
      <c r="N296" s="27">
        <f>IF(H296="","",IF(D296="HOLD",IF(ABS(K296)&lt;0.03,"YES","NO"),IF(D296="BUY",IF(K296&gt;0,"YES","NO"),IF(D296="SELL",IF(K296&lt;0,"YES","NO"),""))))</f>
        <v/>
      </c>
    </row>
    <row r="297" ht="15" customHeight="1">
      <c r="A297" s="12" t="n">
        <v>46177</v>
      </c>
      <c r="B297" s="13" t="inlineStr">
        <is>
          <t>MSFT</t>
        </is>
      </c>
      <c r="C297" s="13" t="inlineStr">
        <is>
          <t>Roth IRA,Individual</t>
        </is>
      </c>
      <c r="D297" s="13" t="inlineStr">
        <is>
          <t>HOLD</t>
        </is>
      </c>
      <c r="E297" s="14" t="n">
        <v>0.55</v>
      </c>
      <c r="F297" s="13" t="inlineStr">
        <is>
          <t>MEDIUM</t>
        </is>
      </c>
      <c r="G297" s="15" t="n">
        <v>430.11</v>
      </c>
      <c r="H297" s="16" t="n">
        <v>390.34</v>
      </c>
      <c r="I297" s="16" t="n">
        <v>379.4</v>
      </c>
      <c r="K297" s="26">
        <f>IF(H297="","",(H297-G297)/G297)</f>
        <v/>
      </c>
      <c r="L297" s="26">
        <f>IF(I297="","",(I297-G297)/G297)</f>
        <v/>
      </c>
      <c r="M297" s="26">
        <f>IF(J297="","",(J297-G297)/G297)</f>
        <v/>
      </c>
      <c r="N297" s="27">
        <f>IF(H297="","",IF(D297="HOLD",IF(ABS(K297)&lt;0.03,"YES","NO"),IF(D297="BUY",IF(K297&gt;0,"YES","NO"),IF(D297="SELL",IF(K297&lt;0,"YES","NO"),""))))</f>
        <v/>
      </c>
    </row>
    <row r="298" ht="15" customHeight="1">
      <c r="A298" s="12" t="n">
        <v>46177</v>
      </c>
      <c r="B298" s="13" t="inlineStr">
        <is>
          <t>NKE</t>
        </is>
      </c>
      <c r="C298" s="13" t="inlineStr">
        <is>
          <t>Roth IRA</t>
        </is>
      </c>
      <c r="D298" s="13" t="inlineStr">
        <is>
          <t>HOLD</t>
        </is>
      </c>
      <c r="E298" s="14" t="n">
        <v>0.42</v>
      </c>
      <c r="F298" s="13" t="inlineStr">
        <is>
          <t>MEDIUM</t>
        </is>
      </c>
      <c r="G298" s="15" t="n">
        <v>43.46</v>
      </c>
      <c r="H298" s="16" t="n">
        <v>45.96</v>
      </c>
      <c r="I298" s="16" t="n">
        <v>45.2</v>
      </c>
      <c r="K298" s="26">
        <f>IF(H298="","",(H298-G298)/G298)</f>
        <v/>
      </c>
      <c r="L298" s="26">
        <f>IF(I298="","",(I298-G298)/G298)</f>
        <v/>
      </c>
      <c r="M298" s="26">
        <f>IF(J298="","",(J298-G298)/G298)</f>
        <v/>
      </c>
      <c r="N298" s="27">
        <f>IF(H298="","",IF(D298="HOLD",IF(ABS(K298)&lt;0.03,"YES","NO"),IF(D298="BUY",IF(K298&gt;0,"YES","NO"),IF(D298="SELL",IF(K298&lt;0,"YES","NO"),""))))</f>
        <v/>
      </c>
    </row>
    <row r="299" ht="15" customHeight="1">
      <c r="A299" s="12" t="n">
        <v>46177</v>
      </c>
      <c r="B299" s="13" t="inlineStr">
        <is>
          <t>NTR</t>
        </is>
      </c>
      <c r="C299" s="13" t="inlineStr">
        <is>
          <t>Roth IRA,Individual</t>
        </is>
      </c>
      <c r="D299" s="13" t="inlineStr">
        <is>
          <t>HOLD</t>
        </is>
      </c>
      <c r="E299" s="14" t="n">
        <v>0.52</v>
      </c>
      <c r="F299" s="13" t="inlineStr">
        <is>
          <t>MEDIUM</t>
        </is>
      </c>
      <c r="G299" s="15" t="n">
        <v>69.12</v>
      </c>
      <c r="H299" s="16" t="n">
        <v>65.56</v>
      </c>
      <c r="I299" s="16" t="n">
        <v>62.86</v>
      </c>
      <c r="K299" s="26">
        <f>IF(H299="","",(H299-G299)/G299)</f>
        <v/>
      </c>
      <c r="L299" s="26">
        <f>IF(I299="","",(I299-G299)/G299)</f>
        <v/>
      </c>
      <c r="M299" s="26">
        <f>IF(J299="","",(J299-G299)/G299)</f>
        <v/>
      </c>
      <c r="N299" s="27">
        <f>IF(H299="","",IF(D299="HOLD",IF(ABS(K299)&lt;0.03,"YES","NO"),IF(D299="BUY",IF(K299&gt;0,"YES","NO"),IF(D299="SELL",IF(K299&lt;0,"YES","NO"),""))))</f>
        <v/>
      </c>
    </row>
    <row r="300" ht="15" customHeight="1">
      <c r="A300" s="12" t="n">
        <v>46177</v>
      </c>
      <c r="B300" s="13" t="inlineStr">
        <is>
          <t>PM</t>
        </is>
      </c>
      <c r="C300" s="13" t="inlineStr">
        <is>
          <t>Roth IRA</t>
        </is>
      </c>
      <c r="D300" s="13" t="inlineStr">
        <is>
          <t>HOLD</t>
        </is>
      </c>
      <c r="E300" s="14" t="n">
        <v>0.62</v>
      </c>
      <c r="F300" s="13" t="inlineStr">
        <is>
          <t>MEDIUM</t>
        </is>
      </c>
      <c r="G300" s="15" t="n">
        <v>178.86</v>
      </c>
      <c r="H300" s="16" t="n">
        <v>180.77</v>
      </c>
      <c r="I300" s="16" t="n">
        <v>178.4</v>
      </c>
      <c r="K300" s="26">
        <f>IF(H300="","",(H300-G300)/G300)</f>
        <v/>
      </c>
      <c r="L300" s="26">
        <f>IF(I300="","",(I300-G300)/G300)</f>
        <v/>
      </c>
      <c r="M300" s="26">
        <f>IF(J300="","",(J300-G300)/G300)</f>
        <v/>
      </c>
      <c r="N300" s="27">
        <f>IF(H300="","",IF(D300="HOLD",IF(ABS(K300)&lt;0.03,"YES","NO"),IF(D300="BUY",IF(K300&gt;0,"YES","NO"),IF(D300="SELL",IF(K300&lt;0,"YES","NO"),""))))</f>
        <v/>
      </c>
    </row>
    <row r="301" ht="15" customHeight="1">
      <c r="A301" s="12" t="n">
        <v>46177</v>
      </c>
      <c r="B301" s="13" t="inlineStr">
        <is>
          <t>PWR</t>
        </is>
      </c>
      <c r="C301" s="13" t="inlineStr">
        <is>
          <t>Roth IRA</t>
        </is>
      </c>
      <c r="D301" s="13" t="inlineStr">
        <is>
          <t>HOLD</t>
        </is>
      </c>
      <c r="E301" s="14" t="n">
        <v>0.55</v>
      </c>
      <c r="F301" s="13" t="inlineStr">
        <is>
          <t>HIGH</t>
        </is>
      </c>
      <c r="G301" s="15" t="n">
        <v>706.92</v>
      </c>
      <c r="H301" s="16" t="n">
        <v>683.29</v>
      </c>
      <c r="I301" s="16" t="n">
        <v>702.25</v>
      </c>
      <c r="K301" s="26">
        <f>IF(H301="","",(H301-G301)/G301)</f>
        <v/>
      </c>
      <c r="L301" s="26">
        <f>IF(I301="","",(I301-G301)/G301)</f>
        <v/>
      </c>
      <c r="M301" s="26">
        <f>IF(J301="","",(J301-G301)/G301)</f>
        <v/>
      </c>
      <c r="N301" s="27">
        <f>IF(H301="","",IF(D301="HOLD",IF(ABS(K301)&lt;0.03,"YES","NO"),IF(D301="BUY",IF(K301&gt;0,"YES","NO"),IF(D301="SELL",IF(K301&lt;0,"YES","NO"),""))))</f>
        <v/>
      </c>
    </row>
    <row r="302" ht="15" customHeight="1">
      <c r="A302" s="12" t="n">
        <v>46177</v>
      </c>
      <c r="B302" s="13" t="inlineStr">
        <is>
          <t>RTX</t>
        </is>
      </c>
      <c r="C302" s="13" t="inlineStr">
        <is>
          <t>Individual</t>
        </is>
      </c>
      <c r="D302" s="13" t="inlineStr">
        <is>
          <t>HOLD</t>
        </is>
      </c>
      <c r="E302" s="14" t="n">
        <v>0.58</v>
      </c>
      <c r="F302" s="13" t="inlineStr">
        <is>
          <t>MEDIUM</t>
        </is>
      </c>
      <c r="G302" s="15" t="n">
        <v>179.49</v>
      </c>
      <c r="H302" s="16" t="n">
        <v>184.21</v>
      </c>
      <c r="I302" s="16" t="n">
        <v>185.6</v>
      </c>
      <c r="K302" s="26">
        <f>IF(H302="","",(H302-G302)/G302)</f>
        <v/>
      </c>
      <c r="L302" s="26">
        <f>IF(I302="","",(I302-G302)/G302)</f>
        <v/>
      </c>
      <c r="M302" s="26">
        <f>IF(J302="","",(J302-G302)/G302)</f>
        <v/>
      </c>
      <c r="N302" s="27">
        <f>IF(H302="","",IF(D302="HOLD",IF(ABS(K302)&lt;0.03,"YES","NO"),IF(D302="BUY",IF(K302&gt;0,"YES","NO"),IF(D302="SELL",IF(K302&lt;0,"YES","NO"),""))))</f>
        <v/>
      </c>
    </row>
    <row r="303" ht="15" customHeight="1">
      <c r="A303" s="12" t="n">
        <v>46177</v>
      </c>
      <c r="B303" s="13" t="inlineStr">
        <is>
          <t>SCHD</t>
        </is>
      </c>
      <c r="C303" s="13" t="inlineStr">
        <is>
          <t>Roth IRA</t>
        </is>
      </c>
      <c r="D303" s="13" t="inlineStr">
        <is>
          <t>HOLD</t>
        </is>
      </c>
      <c r="E303" s="14" t="n">
        <v>0.68</v>
      </c>
      <c r="F303" s="13" t="inlineStr">
        <is>
          <t>HIGH</t>
        </is>
      </c>
      <c r="G303" s="15" t="n">
        <v>32.6701</v>
      </c>
      <c r="H303" s="16" t="n">
        <v>32.53</v>
      </c>
      <c r="I303" s="16" t="n">
        <v>31.86</v>
      </c>
      <c r="K303" s="26">
        <f>IF(H303="","",(H303-G303)/G303)</f>
        <v/>
      </c>
      <c r="L303" s="26">
        <f>IF(I303="","",(I303-G303)/G303)</f>
        <v/>
      </c>
      <c r="M303" s="26">
        <f>IF(J303="","",(J303-G303)/G303)</f>
        <v/>
      </c>
      <c r="N303" s="27">
        <f>IF(H303="","",IF(D303="HOLD",IF(ABS(K303)&lt;0.03,"YES","NO"),IF(D303="BUY",IF(K303&gt;0,"YES","NO"),IF(D303="SELL",IF(K303&lt;0,"YES","NO"),""))))</f>
        <v/>
      </c>
    </row>
    <row r="304" ht="15" customHeight="1">
      <c r="A304" s="12" t="n">
        <v>46177</v>
      </c>
      <c r="B304" s="13" t="inlineStr">
        <is>
          <t>SND</t>
        </is>
      </c>
      <c r="C304" s="13" t="inlineStr">
        <is>
          <t>Individual</t>
        </is>
      </c>
      <c r="D304" s="13" t="inlineStr">
        <is>
          <t>HOLD</t>
        </is>
      </c>
      <c r="E304" s="14" t="n">
        <v>0.52</v>
      </c>
      <c r="F304" s="13" t="inlineStr">
        <is>
          <t>MEDIUM</t>
        </is>
      </c>
      <c r="G304" s="15" t="n">
        <v>5.4</v>
      </c>
      <c r="H304" s="16" t="n">
        <v>5.19</v>
      </c>
      <c r="I304" s="16" t="n">
        <v>4.79</v>
      </c>
      <c r="K304" s="26">
        <f>IF(H304="","",(H304-G304)/G304)</f>
        <v/>
      </c>
      <c r="L304" s="26">
        <f>IF(I304="","",(I304-G304)/G304)</f>
        <v/>
      </c>
      <c r="M304" s="26">
        <f>IF(J304="","",(J304-G304)/G304)</f>
        <v/>
      </c>
      <c r="N304" s="27">
        <f>IF(H304="","",IF(D304="HOLD",IF(ABS(K304)&lt;0.03,"YES","NO"),IF(D304="BUY",IF(K304&gt;0,"YES","NO"),IF(D304="SELL",IF(K304&lt;0,"YES","NO"),""))))</f>
        <v/>
      </c>
    </row>
    <row r="305" ht="15" customHeight="1">
      <c r="A305" s="12" t="n">
        <v>46177</v>
      </c>
      <c r="B305" s="13" t="inlineStr">
        <is>
          <t>WMT</t>
        </is>
      </c>
      <c r="C305" s="13" t="inlineStr">
        <is>
          <t>Roth IRA,Individual</t>
        </is>
      </c>
      <c r="D305" s="13" t="inlineStr">
        <is>
          <t>HOLD</t>
        </is>
      </c>
      <c r="E305" s="14" t="n">
        <v>0.52</v>
      </c>
      <c r="F305" s="13" t="inlineStr">
        <is>
          <t>MEDIUM</t>
        </is>
      </c>
      <c r="G305" s="15" t="n">
        <v>119.16</v>
      </c>
      <c r="H305" s="16" t="n">
        <v>120.5</v>
      </c>
      <c r="I305" s="16" t="n">
        <v>117.18</v>
      </c>
      <c r="K305" s="26">
        <f>IF(H305="","",(H305-G305)/G305)</f>
        <v/>
      </c>
      <c r="L305" s="26">
        <f>IF(I305="","",(I305-G305)/G305)</f>
        <v/>
      </c>
      <c r="M305" s="26">
        <f>IF(J305="","",(J305-G305)/G305)</f>
        <v/>
      </c>
      <c r="N305" s="27">
        <f>IF(H305="","",IF(D305="HOLD",IF(ABS(K305)&lt;0.03,"YES","NO"),IF(D305="BUY",IF(K305&gt;0,"YES","NO"),IF(D305="SELL",IF(K305&lt;0,"YES","NO"),""))))</f>
        <v/>
      </c>
    </row>
    <row r="306" ht="15" customHeight="1">
      <c r="A306" s="12" t="n">
        <v>46177</v>
      </c>
      <c r="B306" s="13" t="inlineStr">
        <is>
          <t>XLU</t>
        </is>
      </c>
      <c r="C306" s="13" t="inlineStr">
        <is>
          <t>Roth IRA</t>
        </is>
      </c>
      <c r="D306" s="13" t="inlineStr">
        <is>
          <t>HOLD</t>
        </is>
      </c>
      <c r="E306" s="14" t="n">
        <v>0.52</v>
      </c>
      <c r="F306" s="13" t="inlineStr">
        <is>
          <t>MEDIUM</t>
        </is>
      </c>
      <c r="G306" s="15" t="n">
        <v>43.745</v>
      </c>
      <c r="H306" s="16" t="n">
        <v>44.05</v>
      </c>
      <c r="I306" s="16" t="n">
        <v>44.76</v>
      </c>
      <c r="K306" s="26">
        <f>IF(H306="","",(H306-G306)/G306)</f>
        <v/>
      </c>
      <c r="L306" s="26">
        <f>IF(I306="","",(I306-G306)/G306)</f>
        <v/>
      </c>
      <c r="M306" s="26">
        <f>IF(J306="","",(J306-G306)/G306)</f>
        <v/>
      </c>
      <c r="N306" s="27">
        <f>IF(H306="","",IF(D306="HOLD",IF(ABS(K306)&lt;0.03,"YES","NO"),IF(D306="BUY",IF(K306&gt;0,"YES","NO"),IF(D306="SELL",IF(K306&lt;0,"YES","NO"),""))))</f>
        <v/>
      </c>
    </row>
    <row r="307" ht="15" customHeight="1">
      <c r="A307" s="12" t="n">
        <v>46177</v>
      </c>
      <c r="B307" s="13" t="inlineStr">
        <is>
          <t>SPY</t>
        </is>
      </c>
      <c r="C307" s="13" t="inlineStr">
        <is>
          <t>Scout</t>
        </is>
      </c>
      <c r="D307" s="13" t="inlineStr">
        <is>
          <t>HOLD</t>
        </is>
      </c>
      <c r="E307" s="14" t="n">
        <v>0.52</v>
      </c>
      <c r="F307" s="13" t="inlineStr">
        <is>
          <t>MEDIUM</t>
        </is>
      </c>
      <c r="G307" s="15" t="n">
        <v>753.89</v>
      </c>
      <c r="H307" s="16" t="n">
        <v>737.76</v>
      </c>
      <c r="I307" s="16" t="n">
        <v>746.74</v>
      </c>
      <c r="K307" s="26">
        <f>IF(H307="","",(H307-G307)/G307)</f>
        <v/>
      </c>
      <c r="L307" s="26">
        <f>IF(I307="","",(I307-G307)/G307)</f>
        <v/>
      </c>
      <c r="M307" s="26">
        <f>IF(J307="","",(J307-G307)/G307)</f>
        <v/>
      </c>
      <c r="N307" s="27">
        <f>IF(H307="","",IF(D307="HOLD",IF(ABS(K307)&lt;0.03,"YES","NO"),IF(D307="BUY",IF(K307&gt;0,"YES","NO"),IF(D307="SELL",IF(K307&lt;0,"YES","NO"),""))))</f>
        <v/>
      </c>
    </row>
    <row r="308" ht="15" customHeight="1">
      <c r="A308" s="12" t="n">
        <v>46177</v>
      </c>
      <c r="B308" s="13" t="inlineStr">
        <is>
          <t>QQQ</t>
        </is>
      </c>
      <c r="C308" s="13" t="inlineStr">
        <is>
          <t>Scout</t>
        </is>
      </c>
      <c r="D308" s="13" t="inlineStr">
        <is>
          <t>HOLD</t>
        </is>
      </c>
      <c r="E308" s="14" t="n">
        <v>0.45</v>
      </c>
      <c r="F308" s="13" t="inlineStr">
        <is>
          <t>HIGH</t>
        </is>
      </c>
      <c r="G308" s="15" t="n">
        <v>736.2082</v>
      </c>
      <c r="H308" s="16" t="n">
        <v>717.12</v>
      </c>
      <c r="I308" s="16" t="n">
        <v>740.62</v>
      </c>
      <c r="K308" s="26">
        <f>IF(H308="","",(H308-G308)/G308)</f>
        <v/>
      </c>
      <c r="L308" s="26">
        <f>IF(I308="","",(I308-G308)/G308)</f>
        <v/>
      </c>
      <c r="M308" s="26">
        <f>IF(J308="","",(J308-G308)/G308)</f>
        <v/>
      </c>
      <c r="N308" s="27">
        <f>IF(H308="","",IF(D308="HOLD",IF(ABS(K308)&lt;0.03,"YES","NO"),IF(D308="BUY",IF(K308&gt;0,"YES","NO"),IF(D308="SELL",IF(K308&lt;0,"YES","NO"),""))))</f>
        <v/>
      </c>
    </row>
    <row r="309" ht="15" customHeight="1">
      <c r="A309" s="12" t="n">
        <v>46177</v>
      </c>
      <c r="B309" s="13" t="inlineStr">
        <is>
          <t>VTI</t>
        </is>
      </c>
      <c r="C309" s="13" t="inlineStr">
        <is>
          <t>Scout</t>
        </is>
      </c>
      <c r="D309" s="13" t="inlineStr">
        <is>
          <t>HOLD</t>
        </is>
      </c>
      <c r="E309" s="14" t="n">
        <v>0.52</v>
      </c>
      <c r="F309" s="13" t="inlineStr">
        <is>
          <t>MEDIUM</t>
        </is>
      </c>
      <c r="G309" s="15" t="n">
        <v>371.74</v>
      </c>
      <c r="H309" s="16" t="n">
        <v>364.3</v>
      </c>
      <c r="I309" s="16" t="n">
        <v>369.99</v>
      </c>
      <c r="K309" s="26">
        <f>IF(H309="","",(H309-G309)/G309)</f>
        <v/>
      </c>
      <c r="L309" s="26">
        <f>IF(I309="","",(I309-G309)/G309)</f>
        <v/>
      </c>
      <c r="M309" s="26">
        <f>IF(J309="","",(J309-G309)/G309)</f>
        <v/>
      </c>
      <c r="N309" s="27">
        <f>IF(H309="","",IF(D309="HOLD",IF(ABS(K309)&lt;0.03,"YES","NO"),IF(D309="BUY",IF(K309&gt;0,"YES","NO"),IF(D309="SELL",IF(K309&lt;0,"YES","NO"),""))))</f>
        <v/>
      </c>
    </row>
    <row r="310" ht="15" customHeight="1">
      <c r="A310" s="12" t="n">
        <v>46177</v>
      </c>
      <c r="B310" s="13" t="inlineStr">
        <is>
          <t>NVDA</t>
        </is>
      </c>
      <c r="C310" s="13" t="inlineStr">
        <is>
          <t>Scout</t>
        </is>
      </c>
      <c r="D310" s="13" t="inlineStr">
        <is>
          <t>BUY</t>
        </is>
      </c>
      <c r="E310" s="14" t="n">
        <v>0.65</v>
      </c>
      <c r="F310" s="13" t="inlineStr">
        <is>
          <t>MEDIUM</t>
        </is>
      </c>
      <c r="G310" s="15" t="n">
        <v>213.785</v>
      </c>
      <c r="H310" s="16" t="n">
        <v>204.87</v>
      </c>
      <c r="I310" s="16" t="n">
        <v>210.15</v>
      </c>
      <c r="K310" s="26">
        <f>IF(H310="","",(H310-G310)/G310)</f>
        <v/>
      </c>
      <c r="L310" s="26">
        <f>IF(I310="","",(I310-G310)/G310)</f>
        <v/>
      </c>
      <c r="M310" s="26">
        <f>IF(J310="","",(J310-G310)/G310)</f>
        <v/>
      </c>
      <c r="N310" s="27">
        <f>IF(H310="","",IF(D310="HOLD",IF(ABS(K310)&lt;0.03,"YES","NO"),IF(D310="BUY",IF(K310&gt;0,"YES","NO"),IF(D310="SELL",IF(K310&lt;0,"YES","NO"),""))))</f>
        <v/>
      </c>
    </row>
    <row r="311" ht="15" customHeight="1">
      <c r="A311" s="12" t="n">
        <v>46177</v>
      </c>
      <c r="B311" s="13" t="inlineStr">
        <is>
          <t>GLD</t>
        </is>
      </c>
      <c r="C311" s="13" t="inlineStr">
        <is>
          <t>Scout</t>
        </is>
      </c>
      <c r="D311" s="13" t="inlineStr">
        <is>
          <t>HOLD</t>
        </is>
      </c>
      <c r="E311" s="14" t="n">
        <v>0.45</v>
      </c>
      <c r="F311" s="13" t="inlineStr">
        <is>
          <t>MEDIUM</t>
        </is>
      </c>
      <c r="G311" s="15" t="n">
        <v>411.1301</v>
      </c>
      <c r="H311" s="16" t="n">
        <v>386.32</v>
      </c>
      <c r="I311" s="16" t="n">
        <v>387.12</v>
      </c>
      <c r="K311" s="26">
        <f>IF(H311="","",(H311-G311)/G311)</f>
        <v/>
      </c>
      <c r="L311" s="26">
        <f>IF(I311="","",(I311-G311)/G311)</f>
        <v/>
      </c>
      <c r="M311" s="26">
        <f>IF(J311="","",(J311-G311)/G311)</f>
        <v/>
      </c>
      <c r="N311" s="27">
        <f>IF(H311="","",IF(D311="HOLD",IF(ABS(K311)&lt;0.03,"YES","NO"),IF(D311="BUY",IF(K311&gt;0,"YES","NO"),IF(D311="SELL",IF(K311&lt;0,"YES","NO"),""))))</f>
        <v/>
      </c>
    </row>
    <row r="312" ht="15" customHeight="1">
      <c r="A312" s="12" t="n">
        <v>46178</v>
      </c>
      <c r="B312" s="13" t="inlineStr">
        <is>
          <t>AAPL</t>
        </is>
      </c>
      <c r="C312" s="13" t="inlineStr">
        <is>
          <t>Roth IRA</t>
        </is>
      </c>
      <c r="D312" s="13" t="inlineStr">
        <is>
          <t>HOLD</t>
        </is>
      </c>
      <c r="E312" s="14" t="n">
        <v>0.62</v>
      </c>
      <c r="F312" s="13" t="inlineStr">
        <is>
          <t>HIGH</t>
        </is>
      </c>
      <c r="G312" s="15" t="n">
        <v>313.71</v>
      </c>
      <c r="H312" s="16" t="n">
        <v>291.13</v>
      </c>
      <c r="I312" s="16" t="n">
        <v>297.01</v>
      </c>
      <c r="K312" s="26">
        <f>IF(H312="","",(H312-G312)/G312)</f>
        <v/>
      </c>
      <c r="L312" s="26">
        <f>IF(I312="","",(I312-G312)/G312)</f>
        <v/>
      </c>
      <c r="M312" s="26">
        <f>IF(J312="","",(J312-G312)/G312)</f>
        <v/>
      </c>
      <c r="N312" s="27">
        <f>IF(H312="","",IF(D312="HOLD",IF(ABS(K312)&lt;0.03,"YES","NO"),IF(D312="BUY",IF(K312&gt;0,"YES","NO"),IF(D312="SELL",IF(K312&lt;0,"YES","NO"),""))))</f>
        <v/>
      </c>
    </row>
    <row r="313" ht="15" customHeight="1">
      <c r="A313" s="12" t="n">
        <v>46178</v>
      </c>
      <c r="B313" s="13" t="inlineStr">
        <is>
          <t>AG</t>
        </is>
      </c>
      <c r="C313" s="13" t="inlineStr">
        <is>
          <t>Individual</t>
        </is>
      </c>
      <c r="D313" s="13" t="inlineStr">
        <is>
          <t>HOLD</t>
        </is>
      </c>
      <c r="E313" s="14" t="n">
        <v>0.42</v>
      </c>
      <c r="F313" s="13" t="inlineStr">
        <is>
          <t>LOW</t>
        </is>
      </c>
      <c r="G313" s="15" t="n">
        <v>17.88</v>
      </c>
      <c r="H313" s="16" t="n">
        <v>17.65</v>
      </c>
      <c r="I313" s="16" t="n">
        <v>17.72</v>
      </c>
      <c r="K313" s="26">
        <f>IF(H313="","",(H313-G313)/G313)</f>
        <v/>
      </c>
      <c r="L313" s="26">
        <f>IF(I313="","",(I313-G313)/G313)</f>
        <v/>
      </c>
      <c r="M313" s="26">
        <f>IF(J313="","",(J313-G313)/G313)</f>
        <v/>
      </c>
      <c r="N313" s="27">
        <f>IF(H313="","",IF(D313="HOLD",IF(ABS(K313)&lt;0.03,"YES","NO"),IF(D313="BUY",IF(K313&gt;0,"YES","NO"),IF(D313="SELL",IF(K313&lt;0,"YES","NO"),""))))</f>
        <v/>
      </c>
    </row>
    <row r="314" ht="15" customHeight="1">
      <c r="A314" s="12" t="n">
        <v>46178</v>
      </c>
      <c r="B314" s="13" t="inlineStr">
        <is>
          <t>AIQ</t>
        </is>
      </c>
      <c r="C314" s="13" t="inlineStr">
        <is>
          <t>Roth IRA,Individual</t>
        </is>
      </c>
      <c r="D314" s="13" t="inlineStr">
        <is>
          <t>HOLD</t>
        </is>
      </c>
      <c r="E314" s="14" t="n">
        <v>0.52</v>
      </c>
      <c r="F314" s="13" t="inlineStr">
        <is>
          <t>MEDIUM</t>
        </is>
      </c>
      <c r="G314" s="15" t="n">
        <v>65.11</v>
      </c>
      <c r="H314" s="16" t="n">
        <v>64</v>
      </c>
      <c r="I314" s="16" t="n">
        <v>67.09</v>
      </c>
      <c r="K314" s="26">
        <f>IF(H314="","",(H314-G314)/G314)</f>
        <v/>
      </c>
      <c r="L314" s="26">
        <f>IF(I314="","",(I314-G314)/G314)</f>
        <v/>
      </c>
      <c r="M314" s="26">
        <f>IF(J314="","",(J314-G314)/G314)</f>
        <v/>
      </c>
      <c r="N314" s="27">
        <f>IF(H314="","",IF(D314="HOLD",IF(ABS(K314)&lt;0.03,"YES","NO"),IF(D314="BUY",IF(K314&gt;0,"YES","NO"),IF(D314="SELL",IF(K314&lt;0,"YES","NO"),""))))</f>
        <v/>
      </c>
    </row>
    <row r="315" ht="15" customHeight="1">
      <c r="A315" s="12" t="n">
        <v>46178</v>
      </c>
      <c r="B315" s="13" t="inlineStr">
        <is>
          <t>CBRS</t>
        </is>
      </c>
      <c r="C315" s="13" t="inlineStr">
        <is>
          <t>Individual</t>
        </is>
      </c>
      <c r="D315" s="13" t="inlineStr">
        <is>
          <t>HOLD</t>
        </is>
      </c>
      <c r="E315" s="14" t="n">
        <v>0.42</v>
      </c>
      <c r="F315" s="13" t="inlineStr">
        <is>
          <t>MEDIUM</t>
        </is>
      </c>
      <c r="G315" s="15" t="n">
        <v>217.25</v>
      </c>
      <c r="H315" s="16" t="n">
        <v>214</v>
      </c>
      <c r="I315" s="16" t="n">
        <v>224.43</v>
      </c>
      <c r="K315" s="26">
        <f>IF(H315="","",(H315-G315)/G315)</f>
        <v/>
      </c>
      <c r="L315" s="26">
        <f>IF(I315="","",(I315-G315)/G315)</f>
        <v/>
      </c>
      <c r="M315" s="26">
        <f>IF(J315="","",(J315-G315)/G315)</f>
        <v/>
      </c>
      <c r="N315" s="27">
        <f>IF(H315="","",IF(D315="HOLD",IF(ABS(K315)&lt;0.03,"YES","NO"),IF(D315="BUY",IF(K315&gt;0,"YES","NO"),IF(D315="SELL",IF(K315&lt;0,"YES","NO"),""))))</f>
        <v/>
      </c>
    </row>
    <row r="316" ht="15" customHeight="1">
      <c r="A316" s="12" t="n">
        <v>46178</v>
      </c>
      <c r="B316" s="13" t="inlineStr">
        <is>
          <t>CORN</t>
        </is>
      </c>
      <c r="C316" s="13" t="inlineStr">
        <is>
          <t>Individual</t>
        </is>
      </c>
      <c r="D316" s="13" t="inlineStr">
        <is>
          <t>HOLD</t>
        </is>
      </c>
      <c r="E316" s="14" t="n">
        <v>0.42</v>
      </c>
      <c r="F316" s="13" t="inlineStr">
        <is>
          <t>MEDIUM</t>
        </is>
      </c>
      <c r="G316" s="15" t="n">
        <v>17.13</v>
      </c>
      <c r="H316" s="16" t="n">
        <v>16.8</v>
      </c>
      <c r="I316" s="16" t="n">
        <v>16.77</v>
      </c>
      <c r="K316" s="26">
        <f>IF(H316="","",(H316-G316)/G316)</f>
        <v/>
      </c>
      <c r="L316" s="26">
        <f>IF(I316="","",(I316-G316)/G316)</f>
        <v/>
      </c>
      <c r="M316" s="26">
        <f>IF(J316="","",(J316-G316)/G316)</f>
        <v/>
      </c>
      <c r="N316" s="27">
        <f>IF(H316="","",IF(D316="HOLD",IF(ABS(K316)&lt;0.03,"YES","NO"),IF(D316="BUY",IF(K316&gt;0,"YES","NO"),IF(D316="SELL",IF(K316&lt;0,"YES","NO"),""))))</f>
        <v/>
      </c>
    </row>
    <row r="317" ht="15" customHeight="1">
      <c r="A317" s="12" t="n">
        <v>46178</v>
      </c>
      <c r="B317" s="13" t="inlineStr">
        <is>
          <t>DOW</t>
        </is>
      </c>
      <c r="C317" s="13" t="inlineStr">
        <is>
          <t>Roth IRA,Individual</t>
        </is>
      </c>
      <c r="D317" s="13" t="inlineStr">
        <is>
          <t>HOLD</t>
        </is>
      </c>
      <c r="E317" s="14" t="n">
        <v>0.42</v>
      </c>
      <c r="F317" s="13" t="inlineStr">
        <is>
          <t>MEDIUM</t>
        </is>
      </c>
      <c r="G317" s="15" t="n">
        <v>34.1</v>
      </c>
      <c r="H317" s="16" t="n">
        <v>33.85</v>
      </c>
      <c r="I317" s="16" t="n">
        <v>30.79</v>
      </c>
      <c r="K317" s="26">
        <f>IF(H317="","",(H317-G317)/G317)</f>
        <v/>
      </c>
      <c r="L317" s="26">
        <f>IF(I317="","",(I317-G317)/G317)</f>
        <v/>
      </c>
      <c r="M317" s="26">
        <f>IF(J317="","",(J317-G317)/G317)</f>
        <v/>
      </c>
      <c r="N317" s="27">
        <f>IF(H317="","",IF(D317="HOLD",IF(ABS(K317)&lt;0.03,"YES","NO"),IF(D317="BUY",IF(K317&gt;0,"YES","NO"),IF(D317="SELL",IF(K317&lt;0,"YES","NO"),""))))</f>
        <v/>
      </c>
    </row>
    <row r="318" ht="15" customHeight="1">
      <c r="A318" s="12" t="n">
        <v>46178</v>
      </c>
      <c r="B318" s="13" t="inlineStr">
        <is>
          <t>FTI</t>
        </is>
      </c>
      <c r="C318" s="13" t="inlineStr">
        <is>
          <t>Individual</t>
        </is>
      </c>
      <c r="D318" s="13" t="inlineStr">
        <is>
          <t>HOLD</t>
        </is>
      </c>
      <c r="E318" s="14" t="n">
        <v>0.58</v>
      </c>
      <c r="F318" s="13" t="inlineStr">
        <is>
          <t>MEDIUM</t>
        </is>
      </c>
      <c r="G318" s="15" t="n">
        <v>67.78</v>
      </c>
      <c r="H318" s="16" t="n">
        <v>70.79000000000001</v>
      </c>
      <c r="I318" s="16" t="n">
        <v>67.39</v>
      </c>
      <c r="K318" s="26">
        <f>IF(H318="","",(H318-G318)/G318)</f>
        <v/>
      </c>
      <c r="L318" s="26">
        <f>IF(I318="","",(I318-G318)/G318)</f>
        <v/>
      </c>
      <c r="M318" s="26">
        <f>IF(J318="","",(J318-G318)/G318)</f>
        <v/>
      </c>
      <c r="N318" s="27">
        <f>IF(H318="","",IF(D318="HOLD",IF(ABS(K318)&lt;0.03,"YES","NO"),IF(D318="BUY",IF(K318&gt;0,"YES","NO"),IF(D318="SELL",IF(K318&lt;0,"YES","NO"),""))))</f>
        <v/>
      </c>
    </row>
    <row r="319" ht="15" customHeight="1">
      <c r="A319" s="12" t="n">
        <v>46178</v>
      </c>
      <c r="B319" s="13" t="inlineStr">
        <is>
          <t>GM</t>
        </is>
      </c>
      <c r="C319" s="13" t="inlineStr">
        <is>
          <t>Roth IRA,Individual</t>
        </is>
      </c>
      <c r="D319" s="13" t="inlineStr">
        <is>
          <t>HOLD</t>
        </is>
      </c>
      <c r="E319" s="14" t="n">
        <v>0.55</v>
      </c>
      <c r="F319" s="13" t="inlineStr">
        <is>
          <t>MEDIUM</t>
        </is>
      </c>
      <c r="G319" s="15" t="n">
        <v>82.61</v>
      </c>
      <c r="H319" s="16" t="n">
        <v>81.5</v>
      </c>
      <c r="I319" s="16" t="n">
        <v>80.43000000000001</v>
      </c>
      <c r="K319" s="26">
        <f>IF(H319="","",(H319-G319)/G319)</f>
        <v/>
      </c>
      <c r="L319" s="26">
        <f>IF(I319="","",(I319-G319)/G319)</f>
        <v/>
      </c>
      <c r="M319" s="26">
        <f>IF(J319="","",(J319-G319)/G319)</f>
        <v/>
      </c>
      <c r="N319" s="27">
        <f>IF(H319="","",IF(D319="HOLD",IF(ABS(K319)&lt;0.03,"YES","NO"),IF(D319="BUY",IF(K319&gt;0,"YES","NO"),IF(D319="SELL",IF(K319&lt;0,"YES","NO"),""))))</f>
        <v/>
      </c>
    </row>
    <row r="320" ht="15" customHeight="1">
      <c r="A320" s="12" t="n">
        <v>46178</v>
      </c>
      <c r="B320" s="13" t="inlineStr">
        <is>
          <t>JPM</t>
        </is>
      </c>
      <c r="C320" s="13" t="inlineStr">
        <is>
          <t>Roth IRA</t>
        </is>
      </c>
      <c r="D320" s="13" t="inlineStr">
        <is>
          <t>HOLD</t>
        </is>
      </c>
      <c r="E320" s="14" t="n">
        <v>0.62</v>
      </c>
      <c r="F320" s="13" t="inlineStr">
        <is>
          <t>HIGH</t>
        </is>
      </c>
      <c r="G320" s="15" t="n">
        <v>312.5</v>
      </c>
      <c r="H320" s="16" t="n">
        <v>320.72</v>
      </c>
      <c r="I320" s="16" t="n">
        <v>331.48</v>
      </c>
      <c r="K320" s="26">
        <f>IF(H320="","",(H320-G320)/G320)</f>
        <v/>
      </c>
      <c r="L320" s="26">
        <f>IF(I320="","",(I320-G320)/G320)</f>
        <v/>
      </c>
      <c r="M320" s="26">
        <f>IF(J320="","",(J320-G320)/G320)</f>
        <v/>
      </c>
      <c r="N320" s="27">
        <f>IF(H320="","",IF(D320="HOLD",IF(ABS(K320)&lt;0.03,"YES","NO"),IF(D320="BUY",IF(K320&gt;0,"YES","NO"),IF(D320="SELL",IF(K320&lt;0,"YES","NO"),""))))</f>
        <v/>
      </c>
    </row>
    <row r="321" ht="15" customHeight="1">
      <c r="A321" s="12" t="n">
        <v>46178</v>
      </c>
      <c r="B321" s="13" t="inlineStr">
        <is>
          <t>MSFT</t>
        </is>
      </c>
      <c r="C321" s="13" t="inlineStr">
        <is>
          <t>Roth IRA,Individual</t>
        </is>
      </c>
      <c r="D321" s="13" t="inlineStr">
        <is>
          <t>HOLD</t>
        </is>
      </c>
      <c r="E321" s="14" t="n">
        <v>0.52</v>
      </c>
      <c r="F321" s="13" t="inlineStr">
        <is>
          <t>MEDIUM</t>
        </is>
      </c>
      <c r="G321" s="15" t="n">
        <v>422.7535</v>
      </c>
      <c r="H321" s="16" t="n">
        <v>390.74</v>
      </c>
      <c r="I321" s="16" t="n">
        <v>367.34</v>
      </c>
      <c r="K321" s="26">
        <f>IF(H321="","",(H321-G321)/G321)</f>
        <v/>
      </c>
      <c r="L321" s="26">
        <f>IF(I321="","",(I321-G321)/G321)</f>
        <v/>
      </c>
      <c r="M321" s="26">
        <f>IF(J321="","",(J321-G321)/G321)</f>
        <v/>
      </c>
      <c r="N321" s="27">
        <f>IF(H321="","",IF(D321="HOLD",IF(ABS(K321)&lt;0.03,"YES","NO"),IF(D321="BUY",IF(K321&gt;0,"YES","NO"),IF(D321="SELL",IF(K321&lt;0,"YES","NO"),""))))</f>
        <v/>
      </c>
    </row>
    <row r="322" ht="15" customHeight="1">
      <c r="A322" s="12" t="n">
        <v>46178</v>
      </c>
      <c r="B322" s="13" t="inlineStr">
        <is>
          <t>NKE</t>
        </is>
      </c>
      <c r="C322" s="13" t="inlineStr">
        <is>
          <t>Roth IRA</t>
        </is>
      </c>
      <c r="D322" s="13" t="inlineStr">
        <is>
          <t>HOLD</t>
        </is>
      </c>
      <c r="E322" s="14" t="n">
        <v>0.42</v>
      </c>
      <c r="F322" s="13" t="inlineStr">
        <is>
          <t>MEDIUM</t>
        </is>
      </c>
      <c r="G322" s="15" t="n">
        <v>43.215</v>
      </c>
      <c r="H322" s="16" t="n">
        <v>44.93</v>
      </c>
      <c r="I322" s="16" t="n">
        <v>43.19</v>
      </c>
      <c r="K322" s="26">
        <f>IF(H322="","",(H322-G322)/G322)</f>
        <v/>
      </c>
      <c r="L322" s="26">
        <f>IF(I322="","",(I322-G322)/G322)</f>
        <v/>
      </c>
      <c r="M322" s="26">
        <f>IF(J322="","",(J322-G322)/G322)</f>
        <v/>
      </c>
      <c r="N322" s="27">
        <f>IF(H322="","",IF(D322="HOLD",IF(ABS(K322)&lt;0.03,"YES","NO"),IF(D322="BUY",IF(K322&gt;0,"YES","NO"),IF(D322="SELL",IF(K322&lt;0,"YES","NO"),""))))</f>
        <v/>
      </c>
    </row>
    <row r="323" ht="15" customHeight="1">
      <c r="A323" s="12" t="n">
        <v>46178</v>
      </c>
      <c r="B323" s="13" t="inlineStr">
        <is>
          <t>NTR</t>
        </is>
      </c>
      <c r="C323" s="13" t="inlineStr">
        <is>
          <t>Roth IRA,Individual</t>
        </is>
      </c>
      <c r="D323" s="13" t="inlineStr">
        <is>
          <t>HOLD</t>
        </is>
      </c>
      <c r="E323" s="14" t="n">
        <v>0.48</v>
      </c>
      <c r="F323" s="13" t="inlineStr">
        <is>
          <t>MEDIUM</t>
        </is>
      </c>
      <c r="G323" s="15" t="n">
        <v>67.66</v>
      </c>
      <c r="H323" s="16" t="n">
        <v>67.62</v>
      </c>
      <c r="I323" s="16" t="n">
        <v>62.25</v>
      </c>
      <c r="K323" s="26">
        <f>IF(H323="","",(H323-G323)/G323)</f>
        <v/>
      </c>
      <c r="L323" s="26">
        <f>IF(I323="","",(I323-G323)/G323)</f>
        <v/>
      </c>
      <c r="M323" s="26">
        <f>IF(J323="","",(J323-G323)/G323)</f>
        <v/>
      </c>
      <c r="N323" s="27">
        <f>IF(H323="","",IF(D323="HOLD",IF(ABS(K323)&lt;0.03,"YES","NO"),IF(D323="BUY",IF(K323&gt;0,"YES","NO"),IF(D323="SELL",IF(K323&lt;0,"YES","NO"),""))))</f>
        <v/>
      </c>
    </row>
    <row r="324" ht="15" customHeight="1">
      <c r="A324" s="12" t="n">
        <v>46178</v>
      </c>
      <c r="B324" s="13" t="inlineStr">
        <is>
          <t>PM</t>
        </is>
      </c>
      <c r="C324" s="13" t="inlineStr">
        <is>
          <t>Roth IRA</t>
        </is>
      </c>
      <c r="D324" s="13" t="inlineStr">
        <is>
          <t>HOLD</t>
        </is>
      </c>
      <c r="E324" s="14" t="n">
        <v>0.62</v>
      </c>
      <c r="F324" s="13" t="inlineStr">
        <is>
          <t>HIGH</t>
        </is>
      </c>
      <c r="G324" s="15" t="n">
        <v>175.475</v>
      </c>
      <c r="H324" s="16" t="n">
        <v>184.3</v>
      </c>
      <c r="I324" s="16" t="n">
        <v>173.17</v>
      </c>
      <c r="K324" s="26">
        <f>IF(H324="","",(H324-G324)/G324)</f>
        <v/>
      </c>
      <c r="L324" s="26">
        <f>IF(I324="","",(I324-G324)/G324)</f>
        <v/>
      </c>
      <c r="M324" s="26">
        <f>IF(J324="","",(J324-G324)/G324)</f>
        <v/>
      </c>
      <c r="N324" s="27">
        <f>IF(H324="","",IF(D324="HOLD",IF(ABS(K324)&lt;0.03,"YES","NO"),IF(D324="BUY",IF(K324&gt;0,"YES","NO"),IF(D324="SELL",IF(K324&lt;0,"YES","NO"),""))))</f>
        <v/>
      </c>
    </row>
    <row r="325" ht="15" customHeight="1">
      <c r="A325" s="12" t="n">
        <v>46178</v>
      </c>
      <c r="B325" s="13" t="inlineStr">
        <is>
          <t>PWR</t>
        </is>
      </c>
      <c r="C325" s="13" t="inlineStr">
        <is>
          <t>Roth IRA</t>
        </is>
      </c>
      <c r="D325" s="13" t="inlineStr">
        <is>
          <t>HOLD</t>
        </is>
      </c>
      <c r="E325" s="14" t="n">
        <v>0.52</v>
      </c>
      <c r="F325" s="13" t="inlineStr">
        <is>
          <t>HIGH</t>
        </is>
      </c>
      <c r="G325" s="15" t="n">
        <v>705.0700000000001</v>
      </c>
      <c r="H325" s="16" t="n">
        <v>707.74</v>
      </c>
      <c r="I325" s="16" t="n">
        <v>740.14</v>
      </c>
      <c r="K325" s="26">
        <f>IF(H325="","",(H325-G325)/G325)</f>
        <v/>
      </c>
      <c r="L325" s="26">
        <f>IF(I325="","",(I325-G325)/G325)</f>
        <v/>
      </c>
      <c r="M325" s="26">
        <f>IF(J325="","",(J325-G325)/G325)</f>
        <v/>
      </c>
      <c r="N325" s="27">
        <f>IF(H325="","",IF(D325="HOLD",IF(ABS(K325)&lt;0.03,"YES","NO"),IF(D325="BUY",IF(K325&gt;0,"YES","NO"),IF(D325="SELL",IF(K325&lt;0,"YES","NO"),""))))</f>
        <v/>
      </c>
    </row>
    <row r="326" ht="15" customHeight="1">
      <c r="A326" s="12" t="n">
        <v>46178</v>
      </c>
      <c r="B326" s="13" t="inlineStr">
        <is>
          <t>RTX</t>
        </is>
      </c>
      <c r="C326" s="13" t="inlineStr">
        <is>
          <t>Individual</t>
        </is>
      </c>
      <c r="D326" s="13" t="inlineStr">
        <is>
          <t>HOLD</t>
        </is>
      </c>
      <c r="E326" s="14" t="n">
        <v>0.58</v>
      </c>
      <c r="F326" s="13" t="inlineStr">
        <is>
          <t>HIGH</t>
        </is>
      </c>
      <c r="G326" s="15" t="n">
        <v>180.37</v>
      </c>
      <c r="H326" s="16" t="n">
        <v>183.53</v>
      </c>
      <c r="I326" s="16" t="n">
        <v>181.83</v>
      </c>
      <c r="K326" s="26">
        <f>IF(H326="","",(H326-G326)/G326)</f>
        <v/>
      </c>
      <c r="L326" s="26">
        <f>IF(I326="","",(I326-G326)/G326)</f>
        <v/>
      </c>
      <c r="M326" s="26">
        <f>IF(J326="","",(J326-G326)/G326)</f>
        <v/>
      </c>
      <c r="N326" s="27">
        <f>IF(H326="","",IF(D326="HOLD",IF(ABS(K326)&lt;0.03,"YES","NO"),IF(D326="BUY",IF(K326&gt;0,"YES","NO"),IF(D326="SELL",IF(K326&lt;0,"YES","NO"),""))))</f>
        <v/>
      </c>
    </row>
    <row r="327" ht="15" customHeight="1">
      <c r="A327" s="12" t="n">
        <v>46178</v>
      </c>
      <c r="B327" s="13" t="inlineStr">
        <is>
          <t>SCHD</t>
        </is>
      </c>
      <c r="C327" s="13" t="inlineStr">
        <is>
          <t>Roth IRA</t>
        </is>
      </c>
      <c r="D327" s="13" t="inlineStr">
        <is>
          <t>HOLD</t>
        </is>
      </c>
      <c r="E327" s="14" t="n">
        <v>0.68</v>
      </c>
      <c r="F327" s="13" t="inlineStr">
        <is>
          <t>HIGH</t>
        </is>
      </c>
      <c r="G327" s="15" t="n">
        <v>32.585</v>
      </c>
      <c r="H327" s="16" t="n">
        <v>32.82</v>
      </c>
      <c r="I327" s="16" t="n">
        <v>31.89</v>
      </c>
      <c r="K327" s="26">
        <f>IF(H327="","",(H327-G327)/G327)</f>
        <v/>
      </c>
      <c r="L327" s="26">
        <f>IF(I327="","",(I327-G327)/G327)</f>
        <v/>
      </c>
      <c r="M327" s="26">
        <f>IF(J327="","",(J327-G327)/G327)</f>
        <v/>
      </c>
      <c r="N327" s="27">
        <f>IF(H327="","",IF(D327="HOLD",IF(ABS(K327)&lt;0.03,"YES","NO"),IF(D327="BUY",IF(K327&gt;0,"YES","NO"),IF(D327="SELL",IF(K327&lt;0,"YES","NO"),""))))</f>
        <v/>
      </c>
    </row>
    <row r="328" ht="15" customHeight="1">
      <c r="A328" s="12" t="n">
        <v>46178</v>
      </c>
      <c r="B328" s="13" t="inlineStr">
        <is>
          <t>SND</t>
        </is>
      </c>
      <c r="C328" s="13" t="inlineStr">
        <is>
          <t>Individual</t>
        </is>
      </c>
      <c r="D328" s="13" t="inlineStr">
        <is>
          <t>HOLD</t>
        </is>
      </c>
      <c r="E328" s="14" t="n">
        <v>0.52</v>
      </c>
      <c r="F328" s="13" t="inlineStr">
        <is>
          <t>MEDIUM</t>
        </is>
      </c>
      <c r="G328" s="15" t="n">
        <v>5.555</v>
      </c>
      <c r="H328" s="16" t="n">
        <v>5.32</v>
      </c>
      <c r="I328" s="16" t="n">
        <v>4.65</v>
      </c>
      <c r="K328" s="26">
        <f>IF(H328="","",(H328-G328)/G328)</f>
        <v/>
      </c>
      <c r="L328" s="26">
        <f>IF(I328="","",(I328-G328)/G328)</f>
        <v/>
      </c>
      <c r="M328" s="26">
        <f>IF(J328="","",(J328-G328)/G328)</f>
        <v/>
      </c>
      <c r="N328" s="27">
        <f>IF(H328="","",IF(D328="HOLD",IF(ABS(K328)&lt;0.03,"YES","NO"),IF(D328="BUY",IF(K328&gt;0,"YES","NO"),IF(D328="SELL",IF(K328&lt;0,"YES","NO"),""))))</f>
        <v/>
      </c>
    </row>
    <row r="329" ht="15" customHeight="1">
      <c r="A329" s="12" t="n">
        <v>46178</v>
      </c>
      <c r="B329" s="13" t="inlineStr">
        <is>
          <t>WMT</t>
        </is>
      </c>
      <c r="C329" s="13" t="inlineStr">
        <is>
          <t>Roth IRA,Individual</t>
        </is>
      </c>
      <c r="D329" s="13" t="inlineStr">
        <is>
          <t>HOLD</t>
        </is>
      </c>
      <c r="E329" s="14" t="n">
        <v>0.52</v>
      </c>
      <c r="F329" s="13" t="inlineStr">
        <is>
          <t>HIGH</t>
        </is>
      </c>
      <c r="G329" s="15" t="n">
        <v>120.44</v>
      </c>
      <c r="H329" s="16" t="n">
        <v>121.04</v>
      </c>
      <c r="I329" s="16" t="n">
        <v>117.18</v>
      </c>
      <c r="K329" s="26">
        <f>IF(H329="","",(H329-G329)/G329)</f>
        <v/>
      </c>
      <c r="L329" s="26">
        <f>IF(I329="","",(I329-G329)/G329)</f>
        <v/>
      </c>
      <c r="M329" s="26">
        <f>IF(J329="","",(J329-G329)/G329)</f>
        <v/>
      </c>
      <c r="N329" s="27">
        <f>IF(H329="","",IF(D329="HOLD",IF(ABS(K329)&lt;0.03,"YES","NO"),IF(D329="BUY",IF(K329&gt;0,"YES","NO"),IF(D329="SELL",IF(K329&lt;0,"YES","NO"),""))))</f>
        <v/>
      </c>
    </row>
    <row r="330" ht="15" customHeight="1">
      <c r="A330" s="12" t="n">
        <v>46178</v>
      </c>
      <c r="B330" s="13" t="inlineStr">
        <is>
          <t>XLU</t>
        </is>
      </c>
      <c r="C330" s="13" t="inlineStr">
        <is>
          <t>Roth IRA</t>
        </is>
      </c>
      <c r="D330" s="13" t="inlineStr">
        <is>
          <t>HOLD</t>
        </is>
      </c>
      <c r="E330" s="14" t="n">
        <v>0.52</v>
      </c>
      <c r="F330" s="13" t="inlineStr">
        <is>
          <t>MEDIUM</t>
        </is>
      </c>
      <c r="G330" s="15" t="n">
        <v>44.285</v>
      </c>
      <c r="H330" s="16" t="n">
        <v>44.53</v>
      </c>
      <c r="I330" s="16" t="n">
        <v>44.72</v>
      </c>
      <c r="K330" s="26">
        <f>IF(H330="","",(H330-G330)/G330)</f>
        <v/>
      </c>
      <c r="L330" s="26">
        <f>IF(I330="","",(I330-G330)/G330)</f>
        <v/>
      </c>
      <c r="M330" s="26">
        <f>IF(J330="","",(J330-G330)/G330)</f>
        <v/>
      </c>
      <c r="N330" s="27">
        <f>IF(H330="","",IF(D330="HOLD",IF(ABS(K330)&lt;0.03,"YES","NO"),IF(D330="BUY",IF(K330&gt;0,"YES","NO"),IF(D330="SELL",IF(K330&lt;0,"YES","NO"),""))))</f>
        <v/>
      </c>
    </row>
    <row r="331" ht="15" customHeight="1">
      <c r="A331" s="12" t="n">
        <v>46178</v>
      </c>
      <c r="B331" s="13" t="inlineStr">
        <is>
          <t>SPY</t>
        </is>
      </c>
      <c r="C331" s="13" t="inlineStr">
        <is>
          <t>Scout</t>
        </is>
      </c>
      <c r="D331" s="13" t="inlineStr">
        <is>
          <t>HOLD</t>
        </is>
      </c>
      <c r="E331" s="14" t="n">
        <v>0.48</v>
      </c>
      <c r="F331" s="13" t="inlineStr">
        <is>
          <t>HIGH</t>
        </is>
      </c>
      <c r="G331" s="15" t="n">
        <v>750.4037</v>
      </c>
      <c r="H331" s="16" t="n">
        <v>741.75</v>
      </c>
      <c r="I331" s="16" t="n">
        <v>744.39</v>
      </c>
      <c r="K331" s="26">
        <f>IF(H331="","",(H331-G331)/G331)</f>
        <v/>
      </c>
      <c r="L331" s="26">
        <f>IF(I331="","",(I331-G331)/G331)</f>
        <v/>
      </c>
      <c r="M331" s="26">
        <f>IF(J331="","",(J331-G331)/G331)</f>
        <v/>
      </c>
      <c r="N331" s="27">
        <f>IF(H331="","",IF(D331="HOLD",IF(ABS(K331)&lt;0.03,"YES","NO"),IF(D331="BUY",IF(K331&gt;0,"YES","NO"),IF(D331="SELL",IF(K331&lt;0,"YES","NO"),""))))</f>
        <v/>
      </c>
    </row>
    <row r="332" ht="15" customHeight="1">
      <c r="A332" s="12" t="n">
        <v>46178</v>
      </c>
      <c r="B332" s="13" t="inlineStr">
        <is>
          <t>QQQ</t>
        </is>
      </c>
      <c r="C332" s="13" t="inlineStr">
        <is>
          <t>Scout</t>
        </is>
      </c>
      <c r="D332" s="13" t="inlineStr">
        <is>
          <t>HOLD</t>
        </is>
      </c>
      <c r="E332" s="14" t="n">
        <v>0.45</v>
      </c>
      <c r="F332" s="13" t="inlineStr">
        <is>
          <t>MEDIUM</t>
        </is>
      </c>
      <c r="G332" s="15" t="n">
        <v>727.3099999999999</v>
      </c>
      <c r="H332" s="16" t="n">
        <v>721.34</v>
      </c>
      <c r="I332" s="16" t="n">
        <v>737.95</v>
      </c>
      <c r="K332" s="26">
        <f>IF(H332="","",(H332-G332)/G332)</f>
        <v/>
      </c>
      <c r="L332" s="26">
        <f>IF(I332="","",(I332-G332)/G332)</f>
        <v/>
      </c>
      <c r="M332" s="26">
        <f>IF(J332="","",(J332-G332)/G332)</f>
        <v/>
      </c>
      <c r="N332" s="27">
        <f>IF(H332="","",IF(D332="HOLD",IF(ABS(K332)&lt;0.03,"YES","NO"),IF(D332="BUY",IF(K332&gt;0,"YES","NO"),IF(D332="SELL",IF(K332&lt;0,"YES","NO"),""))))</f>
        <v/>
      </c>
    </row>
    <row r="333" ht="15" customHeight="1">
      <c r="A333" s="12" t="n">
        <v>46178</v>
      </c>
      <c r="B333" s="13" t="inlineStr">
        <is>
          <t>VTI</t>
        </is>
      </c>
      <c r="C333" s="13" t="inlineStr">
        <is>
          <t>Scout</t>
        </is>
      </c>
      <c r="D333" s="13" t="inlineStr">
        <is>
          <t>HOLD</t>
        </is>
      </c>
      <c r="E333" s="14" t="n">
        <v>0.52</v>
      </c>
      <c r="F333" s="13" t="inlineStr">
        <is>
          <t>MEDIUM</t>
        </is>
      </c>
      <c r="G333" s="15" t="n">
        <v>369.89</v>
      </c>
      <c r="H333" s="16" t="n">
        <v>366.36</v>
      </c>
      <c r="I333" s="16" t="n">
        <v>368.81</v>
      </c>
      <c r="K333" s="26">
        <f>IF(H333="","",(H333-G333)/G333)</f>
        <v/>
      </c>
      <c r="L333" s="26">
        <f>IF(I333="","",(I333-G333)/G333)</f>
        <v/>
      </c>
      <c r="M333" s="26">
        <f>IF(J333="","",(J333-G333)/G333)</f>
        <v/>
      </c>
      <c r="N333" s="27">
        <f>IF(H333="","",IF(D333="HOLD",IF(ABS(K333)&lt;0.03,"YES","NO"),IF(D333="BUY",IF(K333&gt;0,"YES","NO"),IF(D333="SELL",IF(K333&lt;0,"YES","NO"),""))))</f>
        <v/>
      </c>
    </row>
    <row r="334" ht="15" customHeight="1">
      <c r="A334" s="12" t="n">
        <v>46178</v>
      </c>
      <c r="B334" s="13" t="inlineStr">
        <is>
          <t>NVDA</t>
        </is>
      </c>
      <c r="C334" s="13" t="inlineStr">
        <is>
          <t>Scout</t>
        </is>
      </c>
      <c r="D334" s="13" t="inlineStr">
        <is>
          <t>BUY</t>
        </is>
      </c>
      <c r="E334" s="14" t="n">
        <v>0.65</v>
      </c>
      <c r="F334" s="13" t="inlineStr">
        <is>
          <t>MEDIUM</t>
        </is>
      </c>
      <c r="G334" s="15" t="n">
        <v>211.975</v>
      </c>
      <c r="H334" s="16" t="n">
        <v>205.19</v>
      </c>
      <c r="I334" s="16" t="n">
        <v>208.65</v>
      </c>
      <c r="K334" s="26">
        <f>IF(H334="","",(H334-G334)/G334)</f>
        <v/>
      </c>
      <c r="L334" s="26">
        <f>IF(I334="","",(I334-G334)/G334)</f>
        <v/>
      </c>
      <c r="M334" s="26">
        <f>IF(J334="","",(J334-G334)/G334)</f>
        <v/>
      </c>
      <c r="N334" s="27">
        <f>IF(H334="","",IF(D334="HOLD",IF(ABS(K334)&lt;0.03,"YES","NO"),IF(D334="BUY",IF(K334&gt;0,"YES","NO"),IF(D334="SELL",IF(K334&lt;0,"YES","NO"),""))))</f>
        <v/>
      </c>
    </row>
    <row r="335" ht="15" customHeight="1">
      <c r="A335" s="12" t="n">
        <v>46178</v>
      </c>
      <c r="B335" s="13" t="inlineStr">
        <is>
          <t>GLD</t>
        </is>
      </c>
      <c r="C335" s="13" t="inlineStr">
        <is>
          <t>Scout</t>
        </is>
      </c>
      <c r="D335" s="13" t="inlineStr">
        <is>
          <t>HOLD</t>
        </is>
      </c>
      <c r="E335" s="14" t="n">
        <v>0.52</v>
      </c>
      <c r="F335" s="13" t="inlineStr">
        <is>
          <t>MEDIUM</t>
        </is>
      </c>
      <c r="G335" s="15" t="n">
        <v>399.3</v>
      </c>
      <c r="H335" s="16" t="n">
        <v>386.54</v>
      </c>
      <c r="I335" s="16" t="n">
        <v>384.59</v>
      </c>
      <c r="K335" s="26">
        <f>IF(H335="","",(H335-G335)/G335)</f>
        <v/>
      </c>
      <c r="L335" s="26">
        <f>IF(I335="","",(I335-G335)/G335)</f>
        <v/>
      </c>
      <c r="M335" s="26">
        <f>IF(J335="","",(J335-G335)/G335)</f>
        <v/>
      </c>
      <c r="N335" s="27">
        <f>IF(H335="","",IF(D335="HOLD",IF(ABS(K335)&lt;0.03,"YES","NO"),IF(D335="BUY",IF(K335&gt;0,"YES","NO"),IF(D335="SELL",IF(K335&lt;0,"YES","NO"),""))))</f>
        <v/>
      </c>
    </row>
    <row r="336" ht="15" customHeight="1">
      <c r="A336" s="12" t="n">
        <v>46181</v>
      </c>
      <c r="B336" s="13" t="inlineStr">
        <is>
          <t>AAPL</t>
        </is>
      </c>
      <c r="C336" s="13" t="inlineStr">
        <is>
          <t>Roth IRA</t>
        </is>
      </c>
      <c r="D336" s="13" t="inlineStr">
        <is>
          <t>HOLD</t>
        </is>
      </c>
      <c r="E336" s="14" t="n">
        <v>0.55</v>
      </c>
      <c r="F336" s="13" t="inlineStr">
        <is>
          <t>HIGH</t>
        </is>
      </c>
      <c r="G336" s="15" t="n">
        <v>312.0501</v>
      </c>
      <c r="H336" s="16" t="n">
        <v>296.42</v>
      </c>
      <c r="I336" s="16" t="n">
        <v>294.3</v>
      </c>
      <c r="K336" s="26">
        <f>IF(H336="","",(H336-G336)/G336)</f>
        <v/>
      </c>
      <c r="L336" s="26">
        <f>IF(I336="","",(I336-G336)/G336)</f>
        <v/>
      </c>
      <c r="M336" s="26">
        <f>IF(J336="","",(J336-G336)/G336)</f>
        <v/>
      </c>
      <c r="N336" s="27">
        <f>IF(H336="","",IF(D336="HOLD",IF(ABS(K336)&lt;0.03,"YES","NO"),IF(D336="BUY",IF(K336&gt;0,"YES","NO"),IF(D336="SELL",IF(K336&lt;0,"YES","NO"),""))))</f>
        <v/>
      </c>
    </row>
    <row r="337" ht="15" customHeight="1">
      <c r="A337" s="12" t="n">
        <v>46181</v>
      </c>
      <c r="B337" s="13" t="inlineStr">
        <is>
          <t>AG</t>
        </is>
      </c>
      <c r="C337" s="13" t="inlineStr">
        <is>
          <t>Individual</t>
        </is>
      </c>
      <c r="D337" s="13" t="inlineStr">
        <is>
          <t>HOLD</t>
        </is>
      </c>
      <c r="E337" s="14" t="n">
        <v>0.48</v>
      </c>
      <c r="F337" s="13" t="inlineStr">
        <is>
          <t>MEDIUM</t>
        </is>
      </c>
      <c r="G337" s="15" t="n">
        <v>17.3301</v>
      </c>
      <c r="H337" s="16" t="n">
        <v>18.9</v>
      </c>
      <c r="I337" s="16" t="n">
        <v>16.5</v>
      </c>
      <c r="K337" s="26">
        <f>IF(H337="","",(H337-G337)/G337)</f>
        <v/>
      </c>
      <c r="L337" s="26">
        <f>IF(I337="","",(I337-G337)/G337)</f>
        <v/>
      </c>
      <c r="M337" s="26">
        <f>IF(J337="","",(J337-G337)/G337)</f>
        <v/>
      </c>
      <c r="N337" s="27">
        <f>IF(H337="","",IF(D337="HOLD",IF(ABS(K337)&lt;0.03,"YES","NO"),IF(D337="BUY",IF(K337&gt;0,"YES","NO"),IF(D337="SELL",IF(K337&lt;0,"YES","NO"),""))))</f>
        <v/>
      </c>
    </row>
    <row r="338" ht="15" customHeight="1">
      <c r="A338" s="12" t="n">
        <v>46181</v>
      </c>
      <c r="B338" s="13" t="inlineStr">
        <is>
          <t>AIQ</t>
        </is>
      </c>
      <c r="C338" s="13" t="inlineStr">
        <is>
          <t>Roth IRA,Individual</t>
        </is>
      </c>
      <c r="D338" s="13" t="inlineStr">
        <is>
          <t>HOLD</t>
        </is>
      </c>
      <c r="E338" s="14" t="n">
        <v>0.52</v>
      </c>
      <c r="F338" s="13" t="inlineStr">
        <is>
          <t>MEDIUM</t>
        </is>
      </c>
      <c r="G338" s="15" t="n">
        <v>64.54989999999999</v>
      </c>
      <c r="H338" s="16" t="n">
        <v>66.55</v>
      </c>
      <c r="I338" s="16" t="n">
        <v>63.35</v>
      </c>
      <c r="K338" s="26">
        <f>IF(H338="","",(H338-G338)/G338)</f>
        <v/>
      </c>
      <c r="L338" s="26">
        <f>IF(I338="","",(I338-G338)/G338)</f>
        <v/>
      </c>
      <c r="M338" s="26">
        <f>IF(J338="","",(J338-G338)/G338)</f>
        <v/>
      </c>
      <c r="N338" s="27">
        <f>IF(H338="","",IF(D338="HOLD",IF(ABS(K338)&lt;0.03,"YES","NO"),IF(D338="BUY",IF(K338&gt;0,"YES","NO"),IF(D338="SELL",IF(K338&lt;0,"YES","NO"),""))))</f>
        <v/>
      </c>
    </row>
    <row r="339" ht="15" customHeight="1">
      <c r="A339" s="12" t="n">
        <v>46181</v>
      </c>
      <c r="B339" s="13" t="inlineStr">
        <is>
          <t>CBRS</t>
        </is>
      </c>
      <c r="C339" s="13" t="inlineStr">
        <is>
          <t>Individual</t>
        </is>
      </c>
      <c r="D339" s="13" t="inlineStr">
        <is>
          <t>HOLD</t>
        </is>
      </c>
      <c r="E339" s="14" t="n">
        <v>0.42</v>
      </c>
      <c r="F339" s="13" t="inlineStr">
        <is>
          <t>MEDIUM</t>
        </is>
      </c>
      <c r="G339" s="15" t="n">
        <v>233.45</v>
      </c>
      <c r="H339" s="16" t="n">
        <v>218.03</v>
      </c>
      <c r="I339" s="16" t="n">
        <v>226.72</v>
      </c>
      <c r="K339" s="26">
        <f>IF(H339="","",(H339-G339)/G339)</f>
        <v/>
      </c>
      <c r="L339" s="26">
        <f>IF(I339="","",(I339-G339)/G339)</f>
        <v/>
      </c>
      <c r="M339" s="26">
        <f>IF(J339="","",(J339-G339)/G339)</f>
        <v/>
      </c>
      <c r="N339" s="27">
        <f>IF(H339="","",IF(D339="HOLD",IF(ABS(K339)&lt;0.03,"YES","NO"),IF(D339="BUY",IF(K339&gt;0,"YES","NO"),IF(D339="SELL",IF(K339&lt;0,"YES","NO"),""))))</f>
        <v/>
      </c>
    </row>
    <row r="340" ht="15" customHeight="1">
      <c r="A340" s="12" t="n">
        <v>46181</v>
      </c>
      <c r="B340" s="13" t="inlineStr">
        <is>
          <t>CORN</t>
        </is>
      </c>
      <c r="C340" s="13" t="inlineStr">
        <is>
          <t>Individual</t>
        </is>
      </c>
      <c r="D340" s="13" t="inlineStr">
        <is>
          <t>HOLD</t>
        </is>
      </c>
      <c r="E340" s="14" t="n">
        <v>0.42</v>
      </c>
      <c r="F340" s="13" t="inlineStr">
        <is>
          <t>MEDIUM</t>
        </is>
      </c>
      <c r="G340" s="15" t="n">
        <v>17.05</v>
      </c>
      <c r="H340" s="16" t="n">
        <v>16.86</v>
      </c>
      <c r="I340" s="16" t="n">
        <v>16.74</v>
      </c>
      <c r="K340" s="26">
        <f>IF(H340="","",(H340-G340)/G340)</f>
        <v/>
      </c>
      <c r="L340" s="26">
        <f>IF(I340="","",(I340-G340)/G340)</f>
        <v/>
      </c>
      <c r="M340" s="26">
        <f>IF(J340="","",(J340-G340)/G340)</f>
        <v/>
      </c>
      <c r="N340" s="27">
        <f>IF(H340="","",IF(D340="HOLD",IF(ABS(K340)&lt;0.03,"YES","NO"),IF(D340="BUY",IF(K340&gt;0,"YES","NO"),IF(D340="SELL",IF(K340&lt;0,"YES","NO"),""))))</f>
        <v/>
      </c>
    </row>
    <row r="341" ht="15" customHeight="1">
      <c r="A341" s="12" t="n">
        <v>46181</v>
      </c>
      <c r="B341" s="13" t="inlineStr">
        <is>
          <t>DOW</t>
        </is>
      </c>
      <c r="C341" s="13" t="inlineStr">
        <is>
          <t>Roth IRA,Individual</t>
        </is>
      </c>
      <c r="D341" s="13" t="inlineStr">
        <is>
          <t>HOLD</t>
        </is>
      </c>
      <c r="E341" s="14" t="n">
        <v>0.45</v>
      </c>
      <c r="F341" s="13" t="inlineStr">
        <is>
          <t>MEDIUM</t>
        </is>
      </c>
      <c r="G341" s="15" t="n">
        <v>34.02</v>
      </c>
      <c r="H341" s="16" t="n">
        <v>33.23</v>
      </c>
      <c r="I341" s="16" t="n">
        <v>30.33</v>
      </c>
      <c r="K341" s="26">
        <f>IF(H341="","",(H341-G341)/G341)</f>
        <v/>
      </c>
      <c r="L341" s="26">
        <f>IF(I341="","",(I341-G341)/G341)</f>
        <v/>
      </c>
      <c r="M341" s="26">
        <f>IF(J341="","",(J341-G341)/G341)</f>
        <v/>
      </c>
      <c r="N341" s="27">
        <f>IF(H341="","",IF(D341="HOLD",IF(ABS(K341)&lt;0.03,"YES","NO"),IF(D341="BUY",IF(K341&gt;0,"YES","NO"),IF(D341="SELL",IF(K341&lt;0,"YES","NO"),""))))</f>
        <v/>
      </c>
    </row>
    <row r="342" ht="15" customHeight="1">
      <c r="A342" s="12" t="n">
        <v>46181</v>
      </c>
      <c r="B342" s="13" t="inlineStr">
        <is>
          <t>FTI</t>
        </is>
      </c>
      <c r="C342" s="13" t="inlineStr">
        <is>
          <t>Individual</t>
        </is>
      </c>
      <c r="D342" s="13" t="inlineStr">
        <is>
          <t>HOLD</t>
        </is>
      </c>
      <c r="E342" s="14" t="n">
        <v>0.62</v>
      </c>
      <c r="F342" s="13" t="inlineStr">
        <is>
          <t>MEDIUM</t>
        </is>
      </c>
      <c r="G342" s="15" t="n">
        <v>68.70999999999999</v>
      </c>
      <c r="H342" s="16" t="n">
        <v>68.51000000000001</v>
      </c>
      <c r="I342" s="16" t="n">
        <v>66.14</v>
      </c>
      <c r="K342" s="26">
        <f>IF(H342="","",(H342-G342)/G342)</f>
        <v/>
      </c>
      <c r="L342" s="26">
        <f>IF(I342="","",(I342-G342)/G342)</f>
        <v/>
      </c>
      <c r="M342" s="26">
        <f>IF(J342="","",(J342-G342)/G342)</f>
        <v/>
      </c>
      <c r="N342" s="27">
        <f>IF(H342="","",IF(D342="HOLD",IF(ABS(K342)&lt;0.03,"YES","NO"),IF(D342="BUY",IF(K342&gt;0,"YES","NO"),IF(D342="SELL",IF(K342&lt;0,"YES","NO"),""))))</f>
        <v/>
      </c>
    </row>
    <row r="343" ht="15" customHeight="1">
      <c r="A343" s="12" t="n">
        <v>46181</v>
      </c>
      <c r="B343" s="13" t="inlineStr">
        <is>
          <t>GM</t>
        </is>
      </c>
      <c r="C343" s="13" t="inlineStr">
        <is>
          <t>Roth IRA,Individual</t>
        </is>
      </c>
      <c r="D343" s="13" t="inlineStr">
        <is>
          <t>HOLD</t>
        </is>
      </c>
      <c r="E343" s="14" t="n">
        <v>0.55</v>
      </c>
      <c r="F343" s="13" t="inlineStr">
        <is>
          <t>HIGH</t>
        </is>
      </c>
      <c r="G343" s="15" t="n">
        <v>83.42</v>
      </c>
      <c r="H343" s="16" t="n">
        <v>84.06999999999999</v>
      </c>
      <c r="I343" s="16" t="n">
        <v>78.95</v>
      </c>
      <c r="K343" s="26">
        <f>IF(H343="","",(H343-G343)/G343)</f>
        <v/>
      </c>
      <c r="L343" s="26">
        <f>IF(I343="","",(I343-G343)/G343)</f>
        <v/>
      </c>
      <c r="M343" s="26">
        <f>IF(J343="","",(J343-G343)/G343)</f>
        <v/>
      </c>
      <c r="N343" s="27">
        <f>IF(H343="","",IF(D343="HOLD",IF(ABS(K343)&lt;0.03,"YES","NO"),IF(D343="BUY",IF(K343&gt;0,"YES","NO"),IF(D343="SELL",IF(K343&lt;0,"YES","NO"),""))))</f>
        <v/>
      </c>
    </row>
    <row r="344" ht="15" customHeight="1">
      <c r="A344" s="12" t="n">
        <v>46181</v>
      </c>
      <c r="B344" s="13" t="inlineStr">
        <is>
          <t>JPM</t>
        </is>
      </c>
      <c r="C344" s="13" t="inlineStr">
        <is>
          <t>Roth IRA</t>
        </is>
      </c>
      <c r="D344" s="13" t="inlineStr">
        <is>
          <t>HOLD</t>
        </is>
      </c>
      <c r="E344" s="14" t="n">
        <v>0.58</v>
      </c>
      <c r="F344" s="13" t="inlineStr">
        <is>
          <t>MEDIUM</t>
        </is>
      </c>
      <c r="G344" s="15" t="n">
        <v>311.92</v>
      </c>
      <c r="H344" s="16" t="n">
        <v>319.4</v>
      </c>
      <c r="I344" s="16" t="n">
        <v>334.14</v>
      </c>
      <c r="K344" s="26">
        <f>IF(H344="","",(H344-G344)/G344)</f>
        <v/>
      </c>
      <c r="L344" s="26">
        <f>IF(I344="","",(I344-G344)/G344)</f>
        <v/>
      </c>
      <c r="M344" s="26">
        <f>IF(J344="","",(J344-G344)/G344)</f>
        <v/>
      </c>
      <c r="N344" s="27">
        <f>IF(H344="","",IF(D344="HOLD",IF(ABS(K344)&lt;0.03,"YES","NO"),IF(D344="BUY",IF(K344&gt;0,"YES","NO"),IF(D344="SELL",IF(K344&lt;0,"YES","NO"),""))))</f>
        <v/>
      </c>
    </row>
    <row r="345" ht="15" customHeight="1">
      <c r="A345" s="12" t="n">
        <v>46181</v>
      </c>
      <c r="B345" s="13" t="inlineStr">
        <is>
          <t>MSFT</t>
        </is>
      </c>
      <c r="C345" s="13" t="inlineStr">
        <is>
          <t>Roth IRA,Individual</t>
        </is>
      </c>
      <c r="D345" s="13" t="inlineStr">
        <is>
          <t>HOLD</t>
        </is>
      </c>
      <c r="E345" s="14" t="n">
        <v>0.52</v>
      </c>
      <c r="F345" s="13" t="inlineStr">
        <is>
          <t>HIGH</t>
        </is>
      </c>
      <c r="G345" s="15" t="n">
        <v>413.0761</v>
      </c>
      <c r="H345" s="16" t="n">
        <v>399.76</v>
      </c>
      <c r="I345" s="16" t="n">
        <v>373.94</v>
      </c>
      <c r="K345" s="26">
        <f>IF(H345="","",(H345-G345)/G345)</f>
        <v/>
      </c>
      <c r="L345" s="26">
        <f>IF(I345="","",(I345-G345)/G345)</f>
        <v/>
      </c>
      <c r="M345" s="26">
        <f>IF(J345="","",(J345-G345)/G345)</f>
        <v/>
      </c>
      <c r="N345" s="27">
        <f>IF(H345="","",IF(D345="HOLD",IF(ABS(K345)&lt;0.03,"YES","NO"),IF(D345="BUY",IF(K345&gt;0,"YES","NO"),IF(D345="SELL",IF(K345&lt;0,"YES","NO"),""))))</f>
        <v/>
      </c>
    </row>
    <row r="346" ht="15" customHeight="1">
      <c r="A346" s="12" t="n">
        <v>46181</v>
      </c>
      <c r="B346" s="13" t="inlineStr">
        <is>
          <t>NKE</t>
        </is>
      </c>
      <c r="C346" s="13" t="inlineStr">
        <is>
          <t>Roth IRA</t>
        </is>
      </c>
      <c r="D346" s="13" t="inlineStr">
        <is>
          <t>HOLD</t>
        </is>
      </c>
      <c r="E346" s="14" t="n">
        <v>0.48</v>
      </c>
      <c r="F346" s="13" t="inlineStr">
        <is>
          <t>HIGH</t>
        </is>
      </c>
      <c r="G346" s="15" t="n">
        <v>43.63</v>
      </c>
      <c r="H346" s="16" t="n">
        <v>45.2</v>
      </c>
      <c r="I346" s="16" t="n">
        <v>42.38</v>
      </c>
      <c r="K346" s="26">
        <f>IF(H346="","",(H346-G346)/G346)</f>
        <v/>
      </c>
      <c r="L346" s="26">
        <f>IF(I346="","",(I346-G346)/G346)</f>
        <v/>
      </c>
      <c r="M346" s="26">
        <f>IF(J346="","",(J346-G346)/G346)</f>
        <v/>
      </c>
      <c r="N346" s="27">
        <f>IF(H346="","",IF(D346="HOLD",IF(ABS(K346)&lt;0.03,"YES","NO"),IF(D346="BUY",IF(K346&gt;0,"YES","NO"),IF(D346="SELL",IF(K346&lt;0,"YES","NO"),""))))</f>
        <v/>
      </c>
    </row>
    <row r="347" ht="15" customHeight="1">
      <c r="A347" s="12" t="n">
        <v>46181</v>
      </c>
      <c r="B347" s="13" t="inlineStr">
        <is>
          <t>NTR</t>
        </is>
      </c>
      <c r="C347" s="13" t="inlineStr">
        <is>
          <t>Roth IRA,Individual</t>
        </is>
      </c>
      <c r="D347" s="13" t="inlineStr">
        <is>
          <t>HOLD</t>
        </is>
      </c>
      <c r="E347" s="14" t="n">
        <v>0.52</v>
      </c>
      <c r="F347" s="13" t="inlineStr">
        <is>
          <t>MEDIUM</t>
        </is>
      </c>
      <c r="G347" s="15" t="n">
        <v>67.72</v>
      </c>
      <c r="H347" s="16" t="n">
        <v>66.13</v>
      </c>
      <c r="I347" s="16" t="n">
        <v>61.54</v>
      </c>
      <c r="K347" s="26">
        <f>IF(H347="","",(H347-G347)/G347)</f>
        <v/>
      </c>
      <c r="L347" s="26">
        <f>IF(I347="","",(I347-G347)/G347)</f>
        <v/>
      </c>
      <c r="M347" s="26">
        <f>IF(J347="","",(J347-G347)/G347)</f>
        <v/>
      </c>
      <c r="N347" s="27">
        <f>IF(H347="","",IF(D347="HOLD",IF(ABS(K347)&lt;0.03,"YES","NO"),IF(D347="BUY",IF(K347&gt;0,"YES","NO"),IF(D347="SELL",IF(K347&lt;0,"YES","NO"),""))))</f>
        <v/>
      </c>
    </row>
    <row r="348" ht="15" customHeight="1">
      <c r="A348" s="12" t="n">
        <v>46181</v>
      </c>
      <c r="B348" s="13" t="inlineStr">
        <is>
          <t>PM</t>
        </is>
      </c>
      <c r="C348" s="13" t="inlineStr">
        <is>
          <t>Roth IRA</t>
        </is>
      </c>
      <c r="D348" s="13" t="inlineStr">
        <is>
          <t>HOLD</t>
        </is>
      </c>
      <c r="E348" s="14" t="n">
        <v>0.62</v>
      </c>
      <c r="F348" s="13" t="inlineStr">
        <is>
          <t>MEDIUM</t>
        </is>
      </c>
      <c r="G348" s="15" t="n">
        <v>174.95</v>
      </c>
      <c r="H348" s="16" t="n">
        <v>181.81</v>
      </c>
      <c r="I348" s="16" t="n">
        <v>178.69</v>
      </c>
      <c r="K348" s="26">
        <f>IF(H348="","",(H348-G348)/G348)</f>
        <v/>
      </c>
      <c r="L348" s="26">
        <f>IF(I348="","",(I348-G348)/G348)</f>
        <v/>
      </c>
      <c r="M348" s="26">
        <f>IF(J348="","",(J348-G348)/G348)</f>
        <v/>
      </c>
      <c r="N348" s="27">
        <f>IF(H348="","",IF(D348="HOLD",IF(ABS(K348)&lt;0.03,"YES","NO"),IF(D348="BUY",IF(K348&gt;0,"YES","NO"),IF(D348="SELL",IF(K348&lt;0,"YES","NO"),""))))</f>
        <v/>
      </c>
    </row>
    <row r="349" ht="15" customHeight="1">
      <c r="A349" s="12" t="n">
        <v>46181</v>
      </c>
      <c r="B349" s="13" t="inlineStr">
        <is>
          <t>PWR</t>
        </is>
      </c>
      <c r="C349" s="13" t="inlineStr">
        <is>
          <t>Roth IRA</t>
        </is>
      </c>
      <c r="D349" s="13" t="inlineStr">
        <is>
          <t>HOLD</t>
        </is>
      </c>
      <c r="E349" s="14" t="n">
        <v>0.62</v>
      </c>
      <c r="F349" s="13" t="inlineStr">
        <is>
          <t>HIGH</t>
        </is>
      </c>
      <c r="G349" s="15" t="n">
        <v>690.65</v>
      </c>
      <c r="H349" s="16" t="n">
        <v>724.35</v>
      </c>
      <c r="I349" s="16" t="n">
        <v>702.29</v>
      </c>
      <c r="K349" s="26">
        <f>IF(H349="","",(H349-G349)/G349)</f>
        <v/>
      </c>
      <c r="L349" s="26">
        <f>IF(I349="","",(I349-G349)/G349)</f>
        <v/>
      </c>
      <c r="M349" s="26">
        <f>IF(J349="","",(J349-G349)/G349)</f>
        <v/>
      </c>
      <c r="N349" s="27">
        <f>IF(H349="","",IF(D349="HOLD",IF(ABS(K349)&lt;0.03,"YES","NO"),IF(D349="BUY",IF(K349&gt;0,"YES","NO"),IF(D349="SELL",IF(K349&lt;0,"YES","NO"),""))))</f>
        <v/>
      </c>
    </row>
    <row r="350" ht="15" customHeight="1">
      <c r="A350" s="12" t="n">
        <v>46181</v>
      </c>
      <c r="B350" s="13" t="inlineStr">
        <is>
          <t>RTX</t>
        </is>
      </c>
      <c r="C350" s="13" t="inlineStr">
        <is>
          <t>Individual</t>
        </is>
      </c>
      <c r="D350" s="13" t="inlineStr">
        <is>
          <t>HOLD</t>
        </is>
      </c>
      <c r="E350" s="14" t="n">
        <v>0.58</v>
      </c>
      <c r="F350" s="13" t="inlineStr">
        <is>
          <t>HIGH</t>
        </is>
      </c>
      <c r="G350" s="15" t="n">
        <v>180.08</v>
      </c>
      <c r="H350" s="16" t="n">
        <v>183.64</v>
      </c>
      <c r="I350" s="16" t="n">
        <v>186.39</v>
      </c>
      <c r="K350" s="26">
        <f>IF(H350="","",(H350-G350)/G350)</f>
        <v/>
      </c>
      <c r="L350" s="26">
        <f>IF(I350="","",(I350-G350)/G350)</f>
        <v/>
      </c>
      <c r="M350" s="26">
        <f>IF(J350="","",(J350-G350)/G350)</f>
        <v/>
      </c>
      <c r="N350" s="27">
        <f>IF(H350="","",IF(D350="HOLD",IF(ABS(K350)&lt;0.03,"YES","NO"),IF(D350="BUY",IF(K350&gt;0,"YES","NO"),IF(D350="SELL",IF(K350&lt;0,"YES","NO"),""))))</f>
        <v/>
      </c>
    </row>
    <row r="351" ht="15" customHeight="1">
      <c r="A351" s="12" t="n">
        <v>46181</v>
      </c>
      <c r="B351" s="13" t="inlineStr">
        <is>
          <t>SCHD</t>
        </is>
      </c>
      <c r="C351" s="13" t="inlineStr">
        <is>
          <t>Roth IRA</t>
        </is>
      </c>
      <c r="D351" s="13" t="inlineStr">
        <is>
          <t>HOLD</t>
        </is>
      </c>
      <c r="E351" s="14" t="n">
        <v>0.62</v>
      </c>
      <c r="F351" s="13" t="inlineStr">
        <is>
          <t>HIGH</t>
        </is>
      </c>
      <c r="G351" s="15" t="n">
        <v>32.459</v>
      </c>
      <c r="H351" s="16" t="n">
        <v>32.63</v>
      </c>
      <c r="I351" s="16" t="n">
        <v>32.02</v>
      </c>
      <c r="K351" s="26">
        <f>IF(H351="","",(H351-G351)/G351)</f>
        <v/>
      </c>
      <c r="L351" s="26">
        <f>IF(I351="","",(I351-G351)/G351)</f>
        <v/>
      </c>
      <c r="M351" s="26">
        <f>IF(J351="","",(J351-G351)/G351)</f>
        <v/>
      </c>
      <c r="N351" s="27">
        <f>IF(H351="","",IF(D351="HOLD",IF(ABS(K351)&lt;0.03,"YES","NO"),IF(D351="BUY",IF(K351&gt;0,"YES","NO"),IF(D351="SELL",IF(K351&lt;0,"YES","NO"),""))))</f>
        <v/>
      </c>
    </row>
    <row r="352" ht="15" customHeight="1">
      <c r="A352" s="12" t="n">
        <v>46181</v>
      </c>
      <c r="B352" s="13" t="inlineStr">
        <is>
          <t>SND</t>
        </is>
      </c>
      <c r="C352" s="13" t="inlineStr">
        <is>
          <t>Individual</t>
        </is>
      </c>
      <c r="D352" s="13" t="inlineStr">
        <is>
          <t>HOLD</t>
        </is>
      </c>
      <c r="E352" s="14" t="n">
        <v>0.48</v>
      </c>
      <c r="F352" s="13" t="inlineStr">
        <is>
          <t>MEDIUM</t>
        </is>
      </c>
      <c r="G352" s="15" t="n">
        <v>5.76</v>
      </c>
      <c r="H352" s="16" t="n">
        <v>5.02</v>
      </c>
      <c r="I352" s="16" t="n">
        <v>4.74</v>
      </c>
      <c r="K352" s="26">
        <f>IF(H352="","",(H352-G352)/G352)</f>
        <v/>
      </c>
      <c r="L352" s="26">
        <f>IF(I352="","",(I352-G352)/G352)</f>
        <v/>
      </c>
      <c r="M352" s="26">
        <f>IF(J352="","",(J352-G352)/G352)</f>
        <v/>
      </c>
      <c r="N352" s="27">
        <f>IF(H352="","",IF(D352="HOLD",IF(ABS(K352)&lt;0.03,"YES","NO"),IF(D352="BUY",IF(K352&gt;0,"YES","NO"),IF(D352="SELL",IF(K352&lt;0,"YES","NO"),""))))</f>
        <v/>
      </c>
    </row>
    <row r="353" ht="15" customHeight="1">
      <c r="A353" s="12" t="n">
        <v>46181</v>
      </c>
      <c r="B353" s="13" t="inlineStr">
        <is>
          <t>WMT</t>
        </is>
      </c>
      <c r="C353" s="13" t="inlineStr">
        <is>
          <t>Roth IRA,Individual</t>
        </is>
      </c>
      <c r="D353" s="13" t="inlineStr">
        <is>
          <t>HOLD</t>
        </is>
      </c>
      <c r="E353" s="14" t="n">
        <v>0.52</v>
      </c>
      <c r="F353" s="13" t="inlineStr">
        <is>
          <t>MEDIUM</t>
        </is>
      </c>
      <c r="G353" s="15" t="n">
        <v>119.88</v>
      </c>
      <c r="H353" s="16" t="n">
        <v>120.82</v>
      </c>
      <c r="I353" s="16" t="n">
        <v>119.42</v>
      </c>
      <c r="K353" s="26">
        <f>IF(H353="","",(H353-G353)/G353)</f>
        <v/>
      </c>
      <c r="L353" s="26">
        <f>IF(I353="","",(I353-G353)/G353)</f>
        <v/>
      </c>
      <c r="M353" s="26">
        <f>IF(J353="","",(J353-G353)/G353)</f>
        <v/>
      </c>
      <c r="N353" s="27">
        <f>IF(H353="","",IF(D353="HOLD",IF(ABS(K353)&lt;0.03,"YES","NO"),IF(D353="BUY",IF(K353&gt;0,"YES","NO"),IF(D353="SELL",IF(K353&lt;0,"YES","NO"),""))))</f>
        <v/>
      </c>
    </row>
    <row r="354" ht="15" customHeight="1">
      <c r="A354" s="12" t="n">
        <v>46181</v>
      </c>
      <c r="B354" s="13" t="inlineStr">
        <is>
          <t>XLU</t>
        </is>
      </c>
      <c r="C354" s="13" t="inlineStr">
        <is>
          <t>Roth IRA</t>
        </is>
      </c>
      <c r="D354" s="13" t="inlineStr">
        <is>
          <t>HOLD</t>
        </is>
      </c>
      <c r="E354" s="14" t="n">
        <v>0.48</v>
      </c>
      <c r="F354" s="13" t="inlineStr">
        <is>
          <t>MEDIUM</t>
        </is>
      </c>
      <c r="G354" s="15" t="n">
        <v>43.945</v>
      </c>
      <c r="H354" s="16" t="n">
        <v>44.74</v>
      </c>
      <c r="I354" s="16" t="n">
        <v>45.07</v>
      </c>
      <c r="K354" s="26">
        <f>IF(H354="","",(H354-G354)/G354)</f>
        <v/>
      </c>
      <c r="L354" s="26">
        <f>IF(I354="","",(I354-G354)/G354)</f>
        <v/>
      </c>
      <c r="M354" s="26">
        <f>IF(J354="","",(J354-G354)/G354)</f>
        <v/>
      </c>
      <c r="N354" s="27">
        <f>IF(H354="","",IF(D354="HOLD",IF(ABS(K354)&lt;0.03,"YES","NO"),IF(D354="BUY",IF(K354&gt;0,"YES","NO"),IF(D354="SELL",IF(K354&lt;0,"YES","NO"),""))))</f>
        <v/>
      </c>
    </row>
    <row r="355" ht="15" customHeight="1">
      <c r="A355" s="12" t="n">
        <v>46181</v>
      </c>
      <c r="B355" s="13" t="inlineStr">
        <is>
          <t>SPY</t>
        </is>
      </c>
      <c r="C355" s="13" t="inlineStr">
        <is>
          <t>Scout</t>
        </is>
      </c>
      <c r="D355" s="13" t="inlineStr">
        <is>
          <t>HOLD</t>
        </is>
      </c>
      <c r="E355" s="14" t="n">
        <v>0.52</v>
      </c>
      <c r="F355" s="13" t="inlineStr">
        <is>
          <t>HIGH</t>
        </is>
      </c>
      <c r="G355" s="15" t="n">
        <v>743.17</v>
      </c>
      <c r="H355" s="16" t="n">
        <v>754.83</v>
      </c>
      <c r="I355" s="16" t="n">
        <v>733.58</v>
      </c>
      <c r="K355" s="26">
        <f>IF(H355="","",(H355-G355)/G355)</f>
        <v/>
      </c>
      <c r="L355" s="26">
        <f>IF(I355="","",(I355-G355)/G355)</f>
        <v/>
      </c>
      <c r="M355" s="26">
        <f>IF(J355="","",(J355-G355)/G355)</f>
        <v/>
      </c>
      <c r="N355" s="27">
        <f>IF(H355="","",IF(D355="HOLD",IF(ABS(K355)&lt;0.03,"YES","NO"),IF(D355="BUY",IF(K355&gt;0,"YES","NO"),IF(D355="SELL",IF(K355&lt;0,"YES","NO"),""))))</f>
        <v/>
      </c>
    </row>
    <row r="356" ht="15" customHeight="1">
      <c r="A356" s="12" t="n">
        <v>46181</v>
      </c>
      <c r="B356" s="13" t="inlineStr">
        <is>
          <t>QQQ</t>
        </is>
      </c>
      <c r="C356" s="13" t="inlineStr">
        <is>
          <t>Scout</t>
        </is>
      </c>
      <c r="D356" s="13" t="inlineStr">
        <is>
          <t>HOLD</t>
        </is>
      </c>
      <c r="E356" s="14" t="n">
        <v>0.42</v>
      </c>
      <c r="F356" s="13" t="inlineStr">
        <is>
          <t>MEDIUM</t>
        </is>
      </c>
      <c r="G356" s="15" t="n">
        <v>719.15</v>
      </c>
      <c r="H356" s="16" t="n">
        <v>744</v>
      </c>
      <c r="I356" s="16" t="n">
        <v>713.65</v>
      </c>
      <c r="K356" s="26">
        <f>IF(H356="","",(H356-G356)/G356)</f>
        <v/>
      </c>
      <c r="L356" s="26">
        <f>IF(I356="","",(I356-G356)/G356)</f>
        <v/>
      </c>
      <c r="M356" s="26">
        <f>IF(J356="","",(J356-G356)/G356)</f>
        <v/>
      </c>
      <c r="N356" s="27">
        <f>IF(H356="","",IF(D356="HOLD",IF(ABS(K356)&lt;0.03,"YES","NO"),IF(D356="BUY",IF(K356&gt;0,"YES","NO"),IF(D356="SELL",IF(K356&lt;0,"YES","NO"),""))))</f>
        <v/>
      </c>
    </row>
    <row r="357" ht="15" customHeight="1">
      <c r="A357" s="12" t="n">
        <v>46181</v>
      </c>
      <c r="B357" s="13" t="inlineStr">
        <is>
          <t>VTI</t>
        </is>
      </c>
      <c r="C357" s="13" t="inlineStr">
        <is>
          <t>Scout</t>
        </is>
      </c>
      <c r="D357" s="13" t="inlineStr">
        <is>
          <t>HOLD</t>
        </is>
      </c>
      <c r="E357" s="14" t="n">
        <v>0.52</v>
      </c>
      <c r="F357" s="13" t="inlineStr">
        <is>
          <t>MEDIUM</t>
        </is>
      </c>
      <c r="G357" s="15" t="n">
        <v>366.525</v>
      </c>
      <c r="H357" s="16" t="n">
        <v>372.53</v>
      </c>
      <c r="I357" s="16" t="n">
        <v>363.7</v>
      </c>
      <c r="K357" s="26">
        <f>IF(H357="","",(H357-G357)/G357)</f>
        <v/>
      </c>
      <c r="L357" s="26">
        <f>IF(I357="","",(I357-G357)/G357)</f>
        <v/>
      </c>
      <c r="M357" s="26">
        <f>IF(J357="","",(J357-G357)/G357)</f>
        <v/>
      </c>
      <c r="N357" s="27">
        <f>IF(H357="","",IF(D357="HOLD",IF(ABS(K357)&lt;0.03,"YES","NO"),IF(D357="BUY",IF(K357&gt;0,"YES","NO"),IF(D357="SELL",IF(K357&lt;0,"YES","NO"),""))))</f>
        <v/>
      </c>
    </row>
    <row r="358" ht="15" customHeight="1">
      <c r="A358" s="12" t="n">
        <v>46181</v>
      </c>
      <c r="B358" s="13" t="inlineStr">
        <is>
          <t>NVDA</t>
        </is>
      </c>
      <c r="C358" s="13" t="inlineStr">
        <is>
          <t>Scout</t>
        </is>
      </c>
      <c r="D358" s="13" t="inlineStr">
        <is>
          <t>BUY</t>
        </is>
      </c>
      <c r="E358" s="14" t="n">
        <v>0.68</v>
      </c>
      <c r="F358" s="13" t="inlineStr">
        <is>
          <t>MEDIUM</t>
        </is>
      </c>
      <c r="G358" s="15" t="n">
        <v>208.405</v>
      </c>
      <c r="H358" s="16" t="n">
        <v>212.45</v>
      </c>
      <c r="I358" s="16" t="n">
        <v>200.04</v>
      </c>
      <c r="K358" s="26">
        <f>IF(H358="","",(H358-G358)/G358)</f>
        <v/>
      </c>
      <c r="L358" s="26">
        <f>IF(I358="","",(I358-G358)/G358)</f>
        <v/>
      </c>
      <c r="M358" s="26">
        <f>IF(J358="","",(J358-G358)/G358)</f>
        <v/>
      </c>
      <c r="N358" s="27">
        <f>IF(H358="","",IF(D358="HOLD",IF(ABS(K358)&lt;0.03,"YES","NO"),IF(D358="BUY",IF(K358&gt;0,"YES","NO"),IF(D358="SELL",IF(K358&lt;0,"YES","NO"),""))))</f>
        <v/>
      </c>
    </row>
    <row r="359" ht="15" customHeight="1">
      <c r="A359" s="12" t="n">
        <v>46181</v>
      </c>
      <c r="B359" s="13" t="inlineStr">
        <is>
          <t>GLD</t>
        </is>
      </c>
      <c r="C359" s="13" t="inlineStr">
        <is>
          <t>Scout</t>
        </is>
      </c>
      <c r="D359" s="13" t="inlineStr">
        <is>
          <t>HOLD</t>
        </is>
      </c>
      <c r="E359" s="14" t="n">
        <v>0.52</v>
      </c>
      <c r="F359" s="13" t="inlineStr">
        <is>
          <t>MEDIUM</t>
        </is>
      </c>
      <c r="G359" s="15" t="n">
        <v>396.23</v>
      </c>
      <c r="H359" s="16" t="n">
        <v>396.55</v>
      </c>
      <c r="I359" s="16" t="n">
        <v>377.32</v>
      </c>
      <c r="K359" s="26">
        <f>IF(H359="","",(H359-G359)/G359)</f>
        <v/>
      </c>
      <c r="L359" s="26">
        <f>IF(I359="","",(I359-G359)/G359)</f>
        <v/>
      </c>
      <c r="M359" s="26">
        <f>IF(J359="","",(J359-G359)/G359)</f>
        <v/>
      </c>
      <c r="N359" s="27">
        <f>IF(H359="","",IF(D359="HOLD",IF(ABS(K359)&lt;0.03,"YES","NO"),IF(D359="BUY",IF(K359&gt;0,"YES","NO"),IF(D359="SELL",IF(K359&lt;0,"YES","NO"),""))))</f>
        <v/>
      </c>
    </row>
    <row r="360" ht="15" customHeight="1">
      <c r="A360" s="12" t="n">
        <v>46182</v>
      </c>
      <c r="B360" s="13" t="inlineStr">
        <is>
          <t>AAPL</t>
        </is>
      </c>
      <c r="C360" s="13" t="inlineStr">
        <is>
          <t>Roth IRA</t>
        </is>
      </c>
      <c r="D360" s="13" t="inlineStr">
        <is>
          <t>HOLD</t>
        </is>
      </c>
      <c r="E360" s="14" t="n">
        <v>0.52</v>
      </c>
      <c r="F360" s="13" t="inlineStr">
        <is>
          <t>MEDIUM</t>
        </is>
      </c>
      <c r="G360" s="15" t="n">
        <v>292.285</v>
      </c>
      <c r="H360" s="16" t="n">
        <v>299.24</v>
      </c>
      <c r="K360" s="26">
        <f>IF(H360="","",(H360-G360)/G360)</f>
        <v/>
      </c>
      <c r="L360" s="26">
        <f>IF(I360="","",(I360-G360)/G360)</f>
        <v/>
      </c>
      <c r="M360" s="26">
        <f>IF(J360="","",(J360-G360)/G360)</f>
        <v/>
      </c>
      <c r="N360" s="27">
        <f>IF(H360="","",IF(D360="HOLD",IF(ABS(K360)&lt;0.03,"YES","NO"),IF(D360="BUY",IF(K360&gt;0,"YES","NO"),IF(D360="SELL",IF(K360&lt;0,"YES","NO"),""))))</f>
        <v/>
      </c>
    </row>
    <row r="361" ht="15" customHeight="1">
      <c r="A361" s="12" t="n">
        <v>46182</v>
      </c>
      <c r="B361" s="13" t="inlineStr">
        <is>
          <t>AG</t>
        </is>
      </c>
      <c r="C361" s="13" t="inlineStr">
        <is>
          <t>Individual</t>
        </is>
      </c>
      <c r="D361" s="13" t="inlineStr">
        <is>
          <t>HOLD</t>
        </is>
      </c>
      <c r="E361" s="14" t="n">
        <v>0.42</v>
      </c>
      <c r="F361" s="13" t="inlineStr">
        <is>
          <t>MEDIUM</t>
        </is>
      </c>
      <c r="G361" s="15" t="n">
        <v>16.92</v>
      </c>
      <c r="H361" s="16" t="n">
        <v>19.42</v>
      </c>
      <c r="K361" s="26">
        <f>IF(H361="","",(H361-G361)/G361)</f>
        <v/>
      </c>
      <c r="L361" s="26">
        <f>IF(I361="","",(I361-G361)/G361)</f>
        <v/>
      </c>
      <c r="M361" s="26">
        <f>IF(J361="","",(J361-G361)/G361)</f>
        <v/>
      </c>
      <c r="N361" s="27">
        <f>IF(H361="","",IF(D361="HOLD",IF(ABS(K361)&lt;0.03,"YES","NO"),IF(D361="BUY",IF(K361&gt;0,"YES","NO"),IF(D361="SELL",IF(K361&lt;0,"YES","NO"),""))))</f>
        <v/>
      </c>
    </row>
    <row r="362" ht="15" customHeight="1">
      <c r="A362" s="12" t="n">
        <v>46182</v>
      </c>
      <c r="B362" s="13" t="inlineStr">
        <is>
          <t>AIQ</t>
        </is>
      </c>
      <c r="C362" s="13" t="inlineStr">
        <is>
          <t>Roth IRA,Individual</t>
        </is>
      </c>
      <c r="D362" s="13" t="inlineStr">
        <is>
          <t>HOLD</t>
        </is>
      </c>
      <c r="E362" s="14" t="n">
        <v>0.52</v>
      </c>
      <c r="F362" s="13" t="inlineStr">
        <is>
          <t>MEDIUM</t>
        </is>
      </c>
      <c r="G362" s="15" t="n">
        <v>64.14</v>
      </c>
      <c r="H362" s="16" t="n">
        <v>64.64</v>
      </c>
      <c r="K362" s="26">
        <f>IF(H362="","",(H362-G362)/G362)</f>
        <v/>
      </c>
      <c r="L362" s="26">
        <f>IF(I362="","",(I362-G362)/G362)</f>
        <v/>
      </c>
      <c r="M362" s="26">
        <f>IF(J362="","",(J362-G362)/G362)</f>
        <v/>
      </c>
      <c r="N362" s="27">
        <f>IF(H362="","",IF(D362="HOLD",IF(ABS(K362)&lt;0.03,"YES","NO"),IF(D362="BUY",IF(K362&gt;0,"YES","NO"),IF(D362="SELL",IF(K362&lt;0,"YES","NO"),""))))</f>
        <v/>
      </c>
    </row>
    <row r="363" ht="15" customHeight="1">
      <c r="A363" s="12" t="n">
        <v>46182</v>
      </c>
      <c r="B363" s="13" t="inlineStr">
        <is>
          <t>CBRS</t>
        </is>
      </c>
      <c r="C363" s="13" t="inlineStr">
        <is>
          <t>Individual</t>
        </is>
      </c>
      <c r="D363" s="13" t="inlineStr">
        <is>
          <t>HOLD</t>
        </is>
      </c>
      <c r="E363" s="14" t="n">
        <v>0.38</v>
      </c>
      <c r="F363" s="13" t="inlineStr">
        <is>
          <t>LOW</t>
        </is>
      </c>
      <c r="G363" s="15" t="n">
        <v>229.115</v>
      </c>
      <c r="H363" s="16" t="n">
        <v>212.45</v>
      </c>
      <c r="K363" s="26">
        <f>IF(H363="","",(H363-G363)/G363)</f>
        <v/>
      </c>
      <c r="L363" s="26">
        <f>IF(I363="","",(I363-G363)/G363)</f>
        <v/>
      </c>
      <c r="M363" s="26">
        <f>IF(J363="","",(J363-G363)/G363)</f>
        <v/>
      </c>
      <c r="N363" s="27">
        <f>IF(H363="","",IF(D363="HOLD",IF(ABS(K363)&lt;0.03,"YES","NO"),IF(D363="BUY",IF(K363&gt;0,"YES","NO"),IF(D363="SELL",IF(K363&lt;0,"YES","NO"),""))))</f>
        <v/>
      </c>
    </row>
    <row r="364" ht="15" customHeight="1">
      <c r="A364" s="12" t="n">
        <v>46182</v>
      </c>
      <c r="B364" s="13" t="inlineStr">
        <is>
          <t>CORN</t>
        </is>
      </c>
      <c r="C364" s="13" t="inlineStr">
        <is>
          <t>Individual</t>
        </is>
      </c>
      <c r="D364" s="13" t="inlineStr">
        <is>
          <t>HOLD</t>
        </is>
      </c>
      <c r="E364" s="14" t="n">
        <v>0.38</v>
      </c>
      <c r="F364" s="13" t="inlineStr">
        <is>
          <t>LOW</t>
        </is>
      </c>
      <c r="G364" s="15" t="n">
        <v>17.17</v>
      </c>
      <c r="H364" s="16" t="n">
        <v>16.93</v>
      </c>
      <c r="K364" s="26">
        <f>IF(H364="","",(H364-G364)/G364)</f>
        <v/>
      </c>
      <c r="L364" s="26">
        <f>IF(I364="","",(I364-G364)/G364)</f>
        <v/>
      </c>
      <c r="M364" s="26">
        <f>IF(J364="","",(J364-G364)/G364)</f>
        <v/>
      </c>
      <c r="N364" s="27">
        <f>IF(H364="","",IF(D364="HOLD",IF(ABS(K364)&lt;0.03,"YES","NO"),IF(D364="BUY",IF(K364&gt;0,"YES","NO"),IF(D364="SELL",IF(K364&lt;0,"YES","NO"),""))))</f>
        <v/>
      </c>
    </row>
    <row r="365" ht="15" customHeight="1">
      <c r="A365" s="12" t="n">
        <v>46182</v>
      </c>
      <c r="B365" s="13" t="inlineStr">
        <is>
          <t>DOW</t>
        </is>
      </c>
      <c r="C365" s="13" t="inlineStr">
        <is>
          <t>Roth IRA,Individual</t>
        </is>
      </c>
      <c r="D365" s="13" t="inlineStr">
        <is>
          <t>HOLD</t>
        </is>
      </c>
      <c r="E365" s="14" t="n">
        <v>0.38</v>
      </c>
      <c r="F365" s="13" t="inlineStr">
        <is>
          <t>MEDIUM</t>
        </is>
      </c>
      <c r="G365" s="15" t="n">
        <v>33.055</v>
      </c>
      <c r="H365" s="16" t="n">
        <v>32.96</v>
      </c>
      <c r="K365" s="26">
        <f>IF(H365="","",(H365-G365)/G365)</f>
        <v/>
      </c>
      <c r="L365" s="26">
        <f>IF(I365="","",(I365-G365)/G365)</f>
        <v/>
      </c>
      <c r="M365" s="26">
        <f>IF(J365="","",(J365-G365)/G365)</f>
        <v/>
      </c>
      <c r="N365" s="27">
        <f>IF(H365="","",IF(D365="HOLD",IF(ABS(K365)&lt;0.03,"YES","NO"),IF(D365="BUY",IF(K365&gt;0,"YES","NO"),IF(D365="SELL",IF(K365&lt;0,"YES","NO"),""))))</f>
        <v/>
      </c>
    </row>
    <row r="366" ht="15" customHeight="1">
      <c r="A366" s="12" t="n">
        <v>46182</v>
      </c>
      <c r="B366" s="13" t="inlineStr">
        <is>
          <t>FTI</t>
        </is>
      </c>
      <c r="C366" s="13" t="inlineStr">
        <is>
          <t>Individual</t>
        </is>
      </c>
      <c r="D366" s="13" t="inlineStr">
        <is>
          <t>HOLD</t>
        </is>
      </c>
      <c r="E366" s="14" t="n">
        <v>0.52</v>
      </c>
      <c r="F366" s="13" t="inlineStr">
        <is>
          <t>MEDIUM</t>
        </is>
      </c>
      <c r="G366" s="15" t="n">
        <v>67.83</v>
      </c>
      <c r="H366" s="16" t="n">
        <v>67</v>
      </c>
      <c r="K366" s="26">
        <f>IF(H366="","",(H366-G366)/G366)</f>
        <v/>
      </c>
      <c r="L366" s="26">
        <f>IF(I366="","",(I366-G366)/G366)</f>
        <v/>
      </c>
      <c r="M366" s="26">
        <f>IF(J366="","",(J366-G366)/G366)</f>
        <v/>
      </c>
      <c r="N366" s="27">
        <f>IF(H366="","",IF(D366="HOLD",IF(ABS(K366)&lt;0.03,"YES","NO"),IF(D366="BUY",IF(K366&gt;0,"YES","NO"),IF(D366="SELL",IF(K366&lt;0,"YES","NO"),""))))</f>
        <v/>
      </c>
    </row>
    <row r="367" ht="15" customHeight="1">
      <c r="A367" s="12" t="n">
        <v>46182</v>
      </c>
      <c r="B367" s="13" t="inlineStr">
        <is>
          <t>GM</t>
        </is>
      </c>
      <c r="C367" s="13" t="inlineStr">
        <is>
          <t>Roth IRA,Individual</t>
        </is>
      </c>
      <c r="D367" s="13" t="inlineStr">
        <is>
          <t>HOLD</t>
        </is>
      </c>
      <c r="E367" s="14" t="n">
        <v>0.52</v>
      </c>
      <c r="F367" s="13" t="inlineStr">
        <is>
          <t>MEDIUM</t>
        </is>
      </c>
      <c r="G367" s="15" t="n">
        <v>83.79000000000001</v>
      </c>
      <c r="H367" s="16" t="n">
        <v>82.51000000000001</v>
      </c>
      <c r="K367" s="26">
        <f>IF(H367="","",(H367-G367)/G367)</f>
        <v/>
      </c>
      <c r="L367" s="26">
        <f>IF(I367="","",(I367-G367)/G367)</f>
        <v/>
      </c>
      <c r="M367" s="26">
        <f>IF(J367="","",(J367-G367)/G367)</f>
        <v/>
      </c>
      <c r="N367" s="27">
        <f>IF(H367="","",IF(D367="HOLD",IF(ABS(K367)&lt;0.03,"YES","NO"),IF(D367="BUY",IF(K367&gt;0,"YES","NO"),IF(D367="SELL",IF(K367&lt;0,"YES","NO"),""))))</f>
        <v/>
      </c>
    </row>
    <row r="368" ht="15" customHeight="1">
      <c r="A368" s="12" t="n">
        <v>46182</v>
      </c>
      <c r="B368" s="13" t="inlineStr">
        <is>
          <t>JPM</t>
        </is>
      </c>
      <c r="C368" s="13" t="inlineStr">
        <is>
          <t>Roth IRA</t>
        </is>
      </c>
      <c r="D368" s="13" t="inlineStr">
        <is>
          <t>HOLD</t>
        </is>
      </c>
      <c r="E368" s="14" t="n">
        <v>0.58</v>
      </c>
      <c r="F368" s="13" t="inlineStr">
        <is>
          <t>MEDIUM</t>
        </is>
      </c>
      <c r="G368" s="15" t="n">
        <v>314.97</v>
      </c>
      <c r="H368" s="16" t="n">
        <v>331.14</v>
      </c>
      <c r="K368" s="26">
        <f>IF(H368="","",(H368-G368)/G368)</f>
        <v/>
      </c>
      <c r="L368" s="26">
        <f>IF(I368="","",(I368-G368)/G368)</f>
        <v/>
      </c>
      <c r="M368" s="26">
        <f>IF(J368="","",(J368-G368)/G368)</f>
        <v/>
      </c>
      <c r="N368" s="27">
        <f>IF(H368="","",IF(D368="HOLD",IF(ABS(K368)&lt;0.03,"YES","NO"),IF(D368="BUY",IF(K368&gt;0,"YES","NO"),IF(D368="SELL",IF(K368&lt;0,"YES","NO"),""))))</f>
        <v/>
      </c>
    </row>
    <row r="369" ht="15" customHeight="1">
      <c r="A369" s="12" t="n">
        <v>46182</v>
      </c>
      <c r="B369" s="13" t="inlineStr">
        <is>
          <t>MSFT</t>
        </is>
      </c>
      <c r="C369" s="13" t="inlineStr">
        <is>
          <t>Roth IRA,Individual</t>
        </is>
      </c>
      <c r="D369" s="13" t="inlineStr">
        <is>
          <t>HOLD</t>
        </is>
      </c>
      <c r="E369" s="14" t="n">
        <v>0.55</v>
      </c>
      <c r="F369" s="13" t="inlineStr">
        <is>
          <t>MEDIUM</t>
        </is>
      </c>
      <c r="G369" s="15" t="n">
        <v>409.61</v>
      </c>
      <c r="H369" s="16" t="n">
        <v>393.83</v>
      </c>
      <c r="K369" s="26">
        <f>IF(H369="","",(H369-G369)/G369)</f>
        <v/>
      </c>
      <c r="L369" s="26">
        <f>IF(I369="","",(I369-G369)/G369)</f>
        <v/>
      </c>
      <c r="M369" s="26">
        <f>IF(J369="","",(J369-G369)/G369)</f>
        <v/>
      </c>
      <c r="N369" s="27">
        <f>IF(H369="","",IF(D369="HOLD",IF(ABS(K369)&lt;0.03,"YES","NO"),IF(D369="BUY",IF(K369&gt;0,"YES","NO"),IF(D369="SELL",IF(K369&lt;0,"YES","NO"),""))))</f>
        <v/>
      </c>
    </row>
    <row r="370" ht="15" customHeight="1">
      <c r="A370" s="12" t="n">
        <v>46182</v>
      </c>
      <c r="B370" s="13" t="inlineStr">
        <is>
          <t>NKE</t>
        </is>
      </c>
      <c r="C370" s="13" t="inlineStr">
        <is>
          <t>Roth IRA</t>
        </is>
      </c>
      <c r="D370" s="13" t="inlineStr">
        <is>
          <t>HOLD</t>
        </is>
      </c>
      <c r="E370" s="14" t="n">
        <v>0.45</v>
      </c>
      <c r="F370" s="13" t="inlineStr">
        <is>
          <t>MEDIUM</t>
        </is>
      </c>
      <c r="G370" s="15" t="n">
        <v>45.165</v>
      </c>
      <c r="H370" s="16" t="n">
        <v>45.04</v>
      </c>
      <c r="K370" s="26">
        <f>IF(H370="","",(H370-G370)/G370)</f>
        <v/>
      </c>
      <c r="L370" s="26">
        <f>IF(I370="","",(I370-G370)/G370)</f>
        <v/>
      </c>
      <c r="M370" s="26">
        <f>IF(J370="","",(J370-G370)/G370)</f>
        <v/>
      </c>
      <c r="N370" s="27">
        <f>IF(H370="","",IF(D370="HOLD",IF(ABS(K370)&lt;0.03,"YES","NO"),IF(D370="BUY",IF(K370&gt;0,"YES","NO"),IF(D370="SELL",IF(K370&lt;0,"YES","NO"),""))))</f>
        <v/>
      </c>
    </row>
    <row r="371" ht="15" customHeight="1">
      <c r="A371" s="12" t="n">
        <v>46182</v>
      </c>
      <c r="B371" s="13" t="inlineStr">
        <is>
          <t>NTR</t>
        </is>
      </c>
      <c r="C371" s="13" t="inlineStr">
        <is>
          <t>Roth IRA,Individual</t>
        </is>
      </c>
      <c r="D371" s="13" t="inlineStr">
        <is>
          <t>HOLD</t>
        </is>
      </c>
      <c r="E371" s="14" t="n">
        <v>0.52</v>
      </c>
      <c r="F371" s="13" t="inlineStr">
        <is>
          <t>MEDIUM</t>
        </is>
      </c>
      <c r="G371" s="15" t="n">
        <v>66.67</v>
      </c>
      <c r="H371" s="16" t="n">
        <v>65.48</v>
      </c>
      <c r="K371" s="26">
        <f>IF(H371="","",(H371-G371)/G371)</f>
        <v/>
      </c>
      <c r="L371" s="26">
        <f>IF(I371="","",(I371-G371)/G371)</f>
        <v/>
      </c>
      <c r="M371" s="26">
        <f>IF(J371="","",(J371-G371)/G371)</f>
        <v/>
      </c>
      <c r="N371" s="27">
        <f>IF(H371="","",IF(D371="HOLD",IF(ABS(K371)&lt;0.03,"YES","NO"),IF(D371="BUY",IF(K371&gt;0,"YES","NO"),IF(D371="SELL",IF(K371&lt;0,"YES","NO"),""))))</f>
        <v/>
      </c>
    </row>
    <row r="372" ht="15" customHeight="1">
      <c r="A372" s="12" t="n">
        <v>46182</v>
      </c>
      <c r="B372" s="13" t="inlineStr">
        <is>
          <t>PM</t>
        </is>
      </c>
      <c r="C372" s="13" t="inlineStr">
        <is>
          <t>Roth IRA</t>
        </is>
      </c>
      <c r="D372" s="13" t="inlineStr">
        <is>
          <t>HOLD</t>
        </is>
      </c>
      <c r="E372" s="14" t="n">
        <v>0.62</v>
      </c>
      <c r="F372" s="13" t="inlineStr">
        <is>
          <t>HIGH</t>
        </is>
      </c>
      <c r="G372" s="15" t="n">
        <v>176.22</v>
      </c>
      <c r="H372" s="16" t="n">
        <v>184.06</v>
      </c>
      <c r="K372" s="26">
        <f>IF(H372="","",(H372-G372)/G372)</f>
        <v/>
      </c>
      <c r="L372" s="26">
        <f>IF(I372="","",(I372-G372)/G372)</f>
        <v/>
      </c>
      <c r="M372" s="26">
        <f>IF(J372="","",(J372-G372)/G372)</f>
        <v/>
      </c>
      <c r="N372" s="27">
        <f>IF(H372="","",IF(D372="HOLD",IF(ABS(K372)&lt;0.03,"YES","NO"),IF(D372="BUY",IF(K372&gt;0,"YES","NO"),IF(D372="SELL",IF(K372&lt;0,"YES","NO"),""))))</f>
        <v/>
      </c>
    </row>
    <row r="373" ht="15" customHeight="1">
      <c r="A373" s="12" t="n">
        <v>46182</v>
      </c>
      <c r="B373" s="13" t="inlineStr">
        <is>
          <t>PWR</t>
        </is>
      </c>
      <c r="C373" s="13" t="inlineStr">
        <is>
          <t>Roth IRA</t>
        </is>
      </c>
      <c r="D373" s="13" t="inlineStr">
        <is>
          <t>HOLD</t>
        </is>
      </c>
      <c r="E373" s="14" t="n">
        <v>0.62</v>
      </c>
      <c r="F373" s="13" t="inlineStr">
        <is>
          <t>HIGH</t>
        </is>
      </c>
      <c r="G373" s="15" t="n">
        <v>700.24</v>
      </c>
      <c r="H373" s="16" t="n">
        <v>719.29</v>
      </c>
      <c r="K373" s="26">
        <f>IF(H373="","",(H373-G373)/G373)</f>
        <v/>
      </c>
      <c r="L373" s="26">
        <f>IF(I373="","",(I373-G373)/G373)</f>
        <v/>
      </c>
      <c r="M373" s="26">
        <f>IF(J373="","",(J373-G373)/G373)</f>
        <v/>
      </c>
      <c r="N373" s="27">
        <f>IF(H373="","",IF(D373="HOLD",IF(ABS(K373)&lt;0.03,"YES","NO"),IF(D373="BUY",IF(K373&gt;0,"YES","NO"),IF(D373="SELL",IF(K373&lt;0,"YES","NO"),""))))</f>
        <v/>
      </c>
    </row>
    <row r="374" ht="15" customHeight="1">
      <c r="A374" s="12" t="n">
        <v>46182</v>
      </c>
      <c r="B374" s="13" t="inlineStr">
        <is>
          <t>RTX</t>
        </is>
      </c>
      <c r="C374" s="13" t="inlineStr">
        <is>
          <t>Individual</t>
        </is>
      </c>
      <c r="D374" s="13" t="inlineStr">
        <is>
          <t>HOLD</t>
        </is>
      </c>
      <c r="E374" s="14" t="n">
        <v>0.58</v>
      </c>
      <c r="F374" s="13" t="inlineStr">
        <is>
          <t>HIGH</t>
        </is>
      </c>
      <c r="G374" s="15" t="n">
        <v>180.74</v>
      </c>
      <c r="H374" s="16" t="n">
        <v>186.77</v>
      </c>
      <c r="K374" s="26">
        <f>IF(H374="","",(H374-G374)/G374)</f>
        <v/>
      </c>
      <c r="L374" s="26">
        <f>IF(I374="","",(I374-G374)/G374)</f>
        <v/>
      </c>
      <c r="M374" s="26">
        <f>IF(J374="","",(J374-G374)/G374)</f>
        <v/>
      </c>
      <c r="N374" s="27">
        <f>IF(H374="","",IF(D374="HOLD",IF(ABS(K374)&lt;0.03,"YES","NO"),IF(D374="BUY",IF(K374&gt;0,"YES","NO"),IF(D374="SELL",IF(K374&lt;0,"YES","NO"),""))))</f>
        <v/>
      </c>
    </row>
    <row r="375" ht="15" customHeight="1">
      <c r="A375" s="12" t="n">
        <v>46182</v>
      </c>
      <c r="B375" s="13" t="inlineStr">
        <is>
          <t>SCHD</t>
        </is>
      </c>
      <c r="C375" s="13" t="inlineStr">
        <is>
          <t>Roth IRA</t>
        </is>
      </c>
      <c r="D375" s="13" t="inlineStr">
        <is>
          <t>HOLD</t>
        </is>
      </c>
      <c r="E375" s="14" t="n">
        <v>0.65</v>
      </c>
      <c r="F375" s="13" t="inlineStr">
        <is>
          <t>HIGH</t>
        </is>
      </c>
      <c r="G375" s="15" t="n">
        <v>32.345</v>
      </c>
      <c r="H375" s="16" t="n">
        <v>32.53</v>
      </c>
      <c r="K375" s="26">
        <f>IF(H375="","",(H375-G375)/G375)</f>
        <v/>
      </c>
      <c r="L375" s="26">
        <f>IF(I375="","",(I375-G375)/G375)</f>
        <v/>
      </c>
      <c r="M375" s="26">
        <f>IF(J375="","",(J375-G375)/G375)</f>
        <v/>
      </c>
      <c r="N375" s="27">
        <f>IF(H375="","",IF(D375="HOLD",IF(ABS(K375)&lt;0.03,"YES","NO"),IF(D375="BUY",IF(K375&gt;0,"YES","NO"),IF(D375="SELL",IF(K375&lt;0,"YES","NO"),""))))</f>
        <v/>
      </c>
    </row>
    <row r="376" ht="15" customHeight="1">
      <c r="A376" s="12" t="n">
        <v>46182</v>
      </c>
      <c r="B376" s="13" t="inlineStr">
        <is>
          <t>SND</t>
        </is>
      </c>
      <c r="C376" s="13" t="inlineStr">
        <is>
          <t>Individual</t>
        </is>
      </c>
      <c r="D376" s="13" t="inlineStr">
        <is>
          <t>HOLD</t>
        </is>
      </c>
      <c r="E376" s="14" t="n">
        <v>0.42</v>
      </c>
      <c r="F376" s="13" t="inlineStr">
        <is>
          <t>LOW</t>
        </is>
      </c>
      <c r="G376" s="15" t="n">
        <v>5.43</v>
      </c>
      <c r="H376" s="16" t="n">
        <v>5.02</v>
      </c>
      <c r="K376" s="26">
        <f>IF(H376="","",(H376-G376)/G376)</f>
        <v/>
      </c>
      <c r="L376" s="26">
        <f>IF(I376="","",(I376-G376)/G376)</f>
        <v/>
      </c>
      <c r="M376" s="26">
        <f>IF(J376="","",(J376-G376)/G376)</f>
        <v/>
      </c>
      <c r="N376" s="27">
        <f>IF(H376="","",IF(D376="HOLD",IF(ABS(K376)&lt;0.03,"YES","NO"),IF(D376="BUY",IF(K376&gt;0,"YES","NO"),IF(D376="SELL",IF(K376&lt;0,"YES","NO"),""))))</f>
        <v/>
      </c>
    </row>
    <row r="377" ht="15" customHeight="1">
      <c r="A377" s="12" t="n">
        <v>46182</v>
      </c>
      <c r="B377" s="13" t="inlineStr">
        <is>
          <t>WMT</t>
        </is>
      </c>
      <c r="C377" s="13" t="inlineStr">
        <is>
          <t>Roth IRA,Individual</t>
        </is>
      </c>
      <c r="D377" s="13" t="inlineStr">
        <is>
          <t>HOLD</t>
        </is>
      </c>
      <c r="E377" s="14" t="n">
        <v>0.52</v>
      </c>
      <c r="F377" s="13" t="inlineStr">
        <is>
          <t>MEDIUM</t>
        </is>
      </c>
      <c r="G377" s="15" t="n">
        <v>119.38</v>
      </c>
      <c r="H377" s="16" t="n">
        <v>121.03</v>
      </c>
      <c r="K377" s="26">
        <f>IF(H377="","",(H377-G377)/G377)</f>
        <v/>
      </c>
      <c r="L377" s="26">
        <f>IF(I377="","",(I377-G377)/G377)</f>
        <v/>
      </c>
      <c r="M377" s="26">
        <f>IF(J377="","",(J377-G377)/G377)</f>
        <v/>
      </c>
      <c r="N377" s="27">
        <f>IF(H377="","",IF(D377="HOLD",IF(ABS(K377)&lt;0.03,"YES","NO"),IF(D377="BUY",IF(K377&gt;0,"YES","NO"),IF(D377="SELL",IF(K377&lt;0,"YES","NO"),""))))</f>
        <v/>
      </c>
    </row>
    <row r="378" ht="15" customHeight="1">
      <c r="A378" s="12" t="n">
        <v>46182</v>
      </c>
      <c r="B378" s="13" t="inlineStr">
        <is>
          <t>XLU</t>
        </is>
      </c>
      <c r="C378" s="13" t="inlineStr">
        <is>
          <t>Roth IRA</t>
        </is>
      </c>
      <c r="D378" s="13" t="inlineStr">
        <is>
          <t>HOLD</t>
        </is>
      </c>
      <c r="E378" s="14" t="n">
        <v>0.52</v>
      </c>
      <c r="F378" s="13" t="inlineStr">
        <is>
          <t>MEDIUM</t>
        </is>
      </c>
      <c r="G378" s="15" t="n">
        <v>43.665</v>
      </c>
      <c r="H378" s="16" t="n">
        <v>45.06</v>
      </c>
      <c r="K378" s="26">
        <f>IF(H378="","",(H378-G378)/G378)</f>
        <v/>
      </c>
      <c r="L378" s="26">
        <f>IF(I378="","",(I378-G378)/G378)</f>
        <v/>
      </c>
      <c r="M378" s="26">
        <f>IF(J378="","",(J378-G378)/G378)</f>
        <v/>
      </c>
      <c r="N378" s="27">
        <f>IF(H378="","",IF(D378="HOLD",IF(ABS(K378)&lt;0.03,"YES","NO"),IF(D378="BUY",IF(K378&gt;0,"YES","NO"),IF(D378="SELL",IF(K378&lt;0,"YES","NO"),""))))</f>
        <v/>
      </c>
    </row>
    <row r="379" ht="15" customHeight="1">
      <c r="A379" s="12" t="n">
        <v>46182</v>
      </c>
      <c r="B379" s="13" t="inlineStr">
        <is>
          <t>SPY</t>
        </is>
      </c>
      <c r="C379" s="13" t="inlineStr">
        <is>
          <t>Scout</t>
        </is>
      </c>
      <c r="D379" s="13" t="inlineStr">
        <is>
          <t>HOLD</t>
        </is>
      </c>
      <c r="E379" s="14" t="n">
        <v>0.52</v>
      </c>
      <c r="F379" s="13" t="inlineStr">
        <is>
          <t>MEDIUM</t>
        </is>
      </c>
      <c r="G379" s="15" t="n">
        <v>740.96</v>
      </c>
      <c r="H379" s="16" t="n">
        <v>750.33</v>
      </c>
      <c r="K379" s="26">
        <f>IF(H379="","",(H379-G379)/G379)</f>
        <v/>
      </c>
      <c r="L379" s="26">
        <f>IF(I379="","",(I379-G379)/G379)</f>
        <v/>
      </c>
      <c r="M379" s="26">
        <f>IF(J379="","",(J379-G379)/G379)</f>
        <v/>
      </c>
      <c r="N379" s="27">
        <f>IF(H379="","",IF(D379="HOLD",IF(ABS(K379)&lt;0.03,"YES","NO"),IF(D379="BUY",IF(K379&gt;0,"YES","NO"),IF(D379="SELL",IF(K379&lt;0,"YES","NO"),""))))</f>
        <v/>
      </c>
    </row>
    <row r="380" ht="15" customHeight="1">
      <c r="A380" s="12" t="n">
        <v>46182</v>
      </c>
      <c r="B380" s="13" t="inlineStr">
        <is>
          <t>QQQ</t>
        </is>
      </c>
      <c r="C380" s="13" t="inlineStr">
        <is>
          <t>Scout</t>
        </is>
      </c>
      <c r="D380" s="13" t="inlineStr">
        <is>
          <t>HOLD</t>
        </is>
      </c>
      <c r="E380" s="14" t="n">
        <v>0.45</v>
      </c>
      <c r="F380" s="13" t="inlineStr">
        <is>
          <t>MEDIUM</t>
        </is>
      </c>
      <c r="G380" s="15" t="n">
        <v>716.28</v>
      </c>
      <c r="H380" s="16" t="n">
        <v>729.86</v>
      </c>
      <c r="K380" s="26">
        <f>IF(H380="","",(H380-G380)/G380)</f>
        <v/>
      </c>
      <c r="L380" s="26">
        <f>IF(I380="","",(I380-G380)/G380)</f>
        <v/>
      </c>
      <c r="M380" s="26">
        <f>IF(J380="","",(J380-G380)/G380)</f>
        <v/>
      </c>
      <c r="N380" s="27">
        <f>IF(H380="","",IF(D380="HOLD",IF(ABS(K380)&lt;0.03,"YES","NO"),IF(D380="BUY",IF(K380&gt;0,"YES","NO"),IF(D380="SELL",IF(K380&lt;0,"YES","NO"),""))))</f>
        <v/>
      </c>
    </row>
    <row r="381" ht="15" customHeight="1">
      <c r="A381" s="12" t="n">
        <v>46182</v>
      </c>
      <c r="B381" s="13" t="inlineStr">
        <is>
          <t>VTI</t>
        </is>
      </c>
      <c r="C381" s="13" t="inlineStr">
        <is>
          <t>Scout</t>
        </is>
      </c>
      <c r="D381" s="13" t="inlineStr">
        <is>
          <t>HOLD</t>
        </is>
      </c>
      <c r="E381" s="14" t="n">
        <v>0.52</v>
      </c>
      <c r="F381" s="13" t="inlineStr">
        <is>
          <t>MEDIUM</t>
        </is>
      </c>
      <c r="G381" s="15" t="n">
        <v>365.96</v>
      </c>
      <c r="H381" s="16" t="n">
        <v>370.37</v>
      </c>
      <c r="K381" s="26">
        <f>IF(H381="","",(H381-G381)/G381)</f>
        <v/>
      </c>
      <c r="L381" s="26">
        <f>IF(I381="","",(I381-G381)/G381)</f>
        <v/>
      </c>
      <c r="M381" s="26">
        <f>IF(J381="","",(J381-G381)/G381)</f>
        <v/>
      </c>
      <c r="N381" s="27">
        <f>IF(H381="","",IF(D381="HOLD",IF(ABS(K381)&lt;0.03,"YES","NO"),IF(D381="BUY",IF(K381&gt;0,"YES","NO"),IF(D381="SELL",IF(K381&lt;0,"YES","NO"),""))))</f>
        <v/>
      </c>
    </row>
    <row r="382" ht="15" customHeight="1">
      <c r="A382" s="12" t="n">
        <v>46182</v>
      </c>
      <c r="B382" s="13" t="inlineStr">
        <is>
          <t>NVDA</t>
        </is>
      </c>
      <c r="C382" s="13" t="inlineStr">
        <is>
          <t>Scout</t>
        </is>
      </c>
      <c r="D382" s="13" t="inlineStr">
        <is>
          <t>BUY</t>
        </is>
      </c>
      <c r="E382" s="14" t="n">
        <v>0.68</v>
      </c>
      <c r="F382" s="13" t="inlineStr">
        <is>
          <t>MEDIUM</t>
        </is>
      </c>
      <c r="G382" s="15" t="n">
        <v>207.4001</v>
      </c>
      <c r="H382" s="16" t="n">
        <v>207.41</v>
      </c>
      <c r="K382" s="26">
        <f>IF(H382="","",(H382-G382)/G382)</f>
        <v/>
      </c>
      <c r="L382" s="26">
        <f>IF(I382="","",(I382-G382)/G382)</f>
        <v/>
      </c>
      <c r="M382" s="26">
        <f>IF(J382="","",(J382-G382)/G382)</f>
        <v/>
      </c>
      <c r="N382" s="27">
        <f>IF(H382="","",IF(D382="HOLD",IF(ABS(K382)&lt;0.03,"YES","NO"),IF(D382="BUY",IF(K382&gt;0,"YES","NO"),IF(D382="SELL",IF(K382&lt;0,"YES","NO"),""))))</f>
        <v/>
      </c>
    </row>
    <row r="383" ht="15" customHeight="1">
      <c r="A383" s="12" t="n">
        <v>46182</v>
      </c>
      <c r="B383" s="13" t="inlineStr">
        <is>
          <t>GLD</t>
        </is>
      </c>
      <c r="C383" s="13" t="inlineStr">
        <is>
          <t>Scout</t>
        </is>
      </c>
      <c r="D383" s="13" t="inlineStr">
        <is>
          <t>HOLD</t>
        </is>
      </c>
      <c r="E383" s="14" t="n">
        <v>0.48</v>
      </c>
      <c r="F383" s="13" t="inlineStr">
        <is>
          <t>MEDIUM</t>
        </is>
      </c>
      <c r="G383" s="15" t="n">
        <v>395.17</v>
      </c>
      <c r="H383" s="16" t="n">
        <v>397.64</v>
      </c>
      <c r="K383" s="26">
        <f>IF(H383="","",(H383-G383)/G383)</f>
        <v/>
      </c>
      <c r="L383" s="26">
        <f>IF(I383="","",(I383-G383)/G383)</f>
        <v/>
      </c>
      <c r="M383" s="26">
        <f>IF(J383="","",(J383-G383)/G383)</f>
        <v/>
      </c>
      <c r="N383" s="27">
        <f>IF(H383="","",IF(D383="HOLD",IF(ABS(K383)&lt;0.03,"YES","NO"),IF(D383="BUY",IF(K383&gt;0,"YES","NO"),IF(D383="SELL",IF(K383&lt;0,"YES","NO"),""))))</f>
        <v/>
      </c>
    </row>
    <row r="384" ht="15" customHeight="1">
      <c r="A384" s="12" t="n">
        <v>46183</v>
      </c>
      <c r="B384" s="13" t="inlineStr">
        <is>
          <t>AAPL</t>
        </is>
      </c>
      <c r="C384" s="13" t="inlineStr">
        <is>
          <t>Roth IRA</t>
        </is>
      </c>
      <c r="D384" s="13" t="inlineStr">
        <is>
          <t>HOLD</t>
        </is>
      </c>
      <c r="E384" s="14" t="n">
        <v>0.55</v>
      </c>
      <c r="F384" s="13" t="inlineStr">
        <is>
          <t>MEDIUM</t>
        </is>
      </c>
      <c r="G384" s="15" t="n">
        <v>289.235</v>
      </c>
      <c r="H384" s="16" t="n">
        <v>295.95</v>
      </c>
      <c r="K384" s="26">
        <f>IF(H384="","",(H384-G384)/G384)</f>
        <v/>
      </c>
      <c r="L384" s="26">
        <f>IF(I384="","",(I384-G384)/G384)</f>
        <v/>
      </c>
      <c r="M384" s="26">
        <f>IF(J384="","",(J384-G384)/G384)</f>
        <v/>
      </c>
      <c r="N384" s="27">
        <f>IF(H384="","",IF(D384="HOLD",IF(ABS(K384)&lt;0.03,"YES","NO"),IF(D384="BUY",IF(K384&gt;0,"YES","NO"),IF(D384="SELL",IF(K384&lt;0,"YES","NO"),""))))</f>
        <v/>
      </c>
    </row>
    <row r="385" ht="15" customHeight="1">
      <c r="A385" s="12" t="n">
        <v>46183</v>
      </c>
      <c r="B385" s="13" t="inlineStr">
        <is>
          <t>AG</t>
        </is>
      </c>
      <c r="C385" s="13" t="inlineStr">
        <is>
          <t>Individual</t>
        </is>
      </c>
      <c r="D385" s="13" t="inlineStr">
        <is>
          <t>HOLD</t>
        </is>
      </c>
      <c r="E385" s="14" t="n">
        <v>0.42</v>
      </c>
      <c r="F385" s="13" t="inlineStr">
        <is>
          <t>MEDIUM</t>
        </is>
      </c>
      <c r="G385" s="15" t="n">
        <v>16.3</v>
      </c>
      <c r="H385" s="16" t="n">
        <v>18.55</v>
      </c>
      <c r="K385" s="26">
        <f>IF(H385="","",(H385-G385)/G385)</f>
        <v/>
      </c>
      <c r="L385" s="26">
        <f>IF(I385="","",(I385-G385)/G385)</f>
        <v/>
      </c>
      <c r="M385" s="26">
        <f>IF(J385="","",(J385-G385)/G385)</f>
        <v/>
      </c>
      <c r="N385" s="27">
        <f>IF(H385="","",IF(D385="HOLD",IF(ABS(K385)&lt;0.03,"YES","NO"),IF(D385="BUY",IF(K385&gt;0,"YES","NO"),IF(D385="SELL",IF(K385&lt;0,"YES","NO"),""))))</f>
        <v/>
      </c>
    </row>
    <row r="386" ht="15" customHeight="1">
      <c r="A386" s="12" t="n">
        <v>46183</v>
      </c>
      <c r="B386" s="13" t="inlineStr">
        <is>
          <t>AIQ</t>
        </is>
      </c>
      <c r="C386" s="13" t="inlineStr">
        <is>
          <t>Roth IRA,Individual</t>
        </is>
      </c>
      <c r="D386" s="13" t="inlineStr">
        <is>
          <t>HOLD</t>
        </is>
      </c>
      <c r="E386" s="14" t="n">
        <v>0.52</v>
      </c>
      <c r="F386" s="13" t="inlineStr">
        <is>
          <t>MEDIUM</t>
        </is>
      </c>
      <c r="G386" s="15" t="n">
        <v>63.11</v>
      </c>
      <c r="H386" s="16" t="n">
        <v>64.33</v>
      </c>
      <c r="K386" s="26">
        <f>IF(H386="","",(H386-G386)/G386)</f>
        <v/>
      </c>
      <c r="L386" s="26">
        <f>IF(I386="","",(I386-G386)/G386)</f>
        <v/>
      </c>
      <c r="M386" s="26">
        <f>IF(J386="","",(J386-G386)/G386)</f>
        <v/>
      </c>
      <c r="N386" s="27">
        <f>IF(H386="","",IF(D386="HOLD",IF(ABS(K386)&lt;0.03,"YES","NO"),IF(D386="BUY",IF(K386&gt;0,"YES","NO"),IF(D386="SELL",IF(K386&lt;0,"YES","NO"),""))))</f>
        <v/>
      </c>
    </row>
    <row r="387" ht="15" customHeight="1">
      <c r="A387" s="12" t="n">
        <v>46183</v>
      </c>
      <c r="B387" s="13" t="inlineStr">
        <is>
          <t>CBRS</t>
        </is>
      </c>
      <c r="C387" s="13" t="inlineStr">
        <is>
          <t>Individual</t>
        </is>
      </c>
      <c r="D387" s="13" t="inlineStr">
        <is>
          <t>HOLD</t>
        </is>
      </c>
      <c r="E387" s="14" t="n">
        <v>0.52</v>
      </c>
      <c r="F387" s="13" t="inlineStr">
        <is>
          <t>MEDIUM</t>
        </is>
      </c>
      <c r="G387" s="15" t="n">
        <v>248.295</v>
      </c>
      <c r="H387" s="16" t="n">
        <v>213.67</v>
      </c>
      <c r="K387" s="26">
        <f>IF(H387="","",(H387-G387)/G387)</f>
        <v/>
      </c>
      <c r="L387" s="26">
        <f>IF(I387="","",(I387-G387)/G387)</f>
        <v/>
      </c>
      <c r="M387" s="26">
        <f>IF(J387="","",(J387-G387)/G387)</f>
        <v/>
      </c>
      <c r="N387" s="27">
        <f>IF(H387="","",IF(D387="HOLD",IF(ABS(K387)&lt;0.03,"YES","NO"),IF(D387="BUY",IF(K387&gt;0,"YES","NO"),IF(D387="SELL",IF(K387&lt;0,"YES","NO"),""))))</f>
        <v/>
      </c>
    </row>
    <row r="388" ht="15" customHeight="1">
      <c r="A388" s="12" t="n">
        <v>46183</v>
      </c>
      <c r="B388" s="13" t="inlineStr">
        <is>
          <t>CORN</t>
        </is>
      </c>
      <c r="C388" s="13" t="inlineStr">
        <is>
          <t>Individual</t>
        </is>
      </c>
      <c r="D388" s="13" t="inlineStr">
        <is>
          <t>HOLD</t>
        </is>
      </c>
      <c r="E388" s="14" t="n">
        <v>0.42</v>
      </c>
      <c r="F388" s="13" t="inlineStr">
        <is>
          <t>LOW</t>
        </is>
      </c>
      <c r="G388" s="15" t="n">
        <v>17.165</v>
      </c>
      <c r="H388" s="16" t="n">
        <v>17.15</v>
      </c>
      <c r="K388" s="26">
        <f>IF(H388="","",(H388-G388)/G388)</f>
        <v/>
      </c>
      <c r="L388" s="26">
        <f>IF(I388="","",(I388-G388)/G388)</f>
        <v/>
      </c>
      <c r="M388" s="26">
        <f>IF(J388="","",(J388-G388)/G388)</f>
        <v/>
      </c>
      <c r="N388" s="27">
        <f>IF(H388="","",IF(D388="HOLD",IF(ABS(K388)&lt;0.03,"YES","NO"),IF(D388="BUY",IF(K388&gt;0,"YES","NO"),IF(D388="SELL",IF(K388&lt;0,"YES","NO"),""))))</f>
        <v/>
      </c>
    </row>
    <row r="389" ht="15" customHeight="1">
      <c r="A389" s="12" t="n">
        <v>46183</v>
      </c>
      <c r="B389" s="13" t="inlineStr">
        <is>
          <t>DOW</t>
        </is>
      </c>
      <c r="C389" s="13" t="inlineStr">
        <is>
          <t>Roth IRA,Individual</t>
        </is>
      </c>
      <c r="D389" s="13" t="inlineStr">
        <is>
          <t>HOLD</t>
        </is>
      </c>
      <c r="E389" s="14" t="n">
        <v>0.42</v>
      </c>
      <c r="F389" s="13" t="inlineStr">
        <is>
          <t>HIGH</t>
        </is>
      </c>
      <c r="G389" s="15" t="n">
        <v>33.83</v>
      </c>
      <c r="H389" s="16" t="n">
        <v>32.5</v>
      </c>
      <c r="K389" s="26">
        <f>IF(H389="","",(H389-G389)/G389)</f>
        <v/>
      </c>
      <c r="L389" s="26">
        <f>IF(I389="","",(I389-G389)/G389)</f>
        <v/>
      </c>
      <c r="M389" s="26">
        <f>IF(J389="","",(J389-G389)/G389)</f>
        <v/>
      </c>
      <c r="N389" s="27">
        <f>IF(H389="","",IF(D389="HOLD",IF(ABS(K389)&lt;0.03,"YES","NO"),IF(D389="BUY",IF(K389&gt;0,"YES","NO"),IF(D389="SELL",IF(K389&lt;0,"YES","NO"),""))))</f>
        <v/>
      </c>
    </row>
    <row r="390" ht="15" customHeight="1">
      <c r="A390" s="12" t="n">
        <v>46183</v>
      </c>
      <c r="B390" s="13" t="inlineStr">
        <is>
          <t>FTI</t>
        </is>
      </c>
      <c r="C390" s="13" t="inlineStr">
        <is>
          <t>Individual</t>
        </is>
      </c>
      <c r="D390" s="13" t="inlineStr">
        <is>
          <t>HOLD</t>
        </is>
      </c>
      <c r="E390" s="14" t="n">
        <v>0.55</v>
      </c>
      <c r="F390" s="13" t="inlineStr">
        <is>
          <t>MEDIUM</t>
        </is>
      </c>
      <c r="G390" s="15" t="n">
        <v>69.66</v>
      </c>
      <c r="H390" s="16" t="n">
        <v>67.01000000000001</v>
      </c>
      <c r="K390" s="26">
        <f>IF(H390="","",(H390-G390)/G390)</f>
        <v/>
      </c>
      <c r="L390" s="26">
        <f>IF(I390="","",(I390-G390)/G390)</f>
        <v/>
      </c>
      <c r="M390" s="26">
        <f>IF(J390="","",(J390-G390)/G390)</f>
        <v/>
      </c>
      <c r="N390" s="27">
        <f>IF(H390="","",IF(D390="HOLD",IF(ABS(K390)&lt;0.03,"YES","NO"),IF(D390="BUY",IF(K390&gt;0,"YES","NO"),IF(D390="SELL",IF(K390&lt;0,"YES","NO"),""))))</f>
        <v/>
      </c>
    </row>
    <row r="391" ht="15" customHeight="1">
      <c r="A391" s="12" t="n">
        <v>46183</v>
      </c>
      <c r="B391" s="13" t="inlineStr">
        <is>
          <t>GM</t>
        </is>
      </c>
      <c r="C391" s="13" t="inlineStr">
        <is>
          <t>Roth IRA,Individual</t>
        </is>
      </c>
      <c r="D391" s="13" t="inlineStr">
        <is>
          <t>HOLD</t>
        </is>
      </c>
      <c r="E391" s="14" t="n">
        <v>0.58</v>
      </c>
      <c r="F391" s="13" t="inlineStr">
        <is>
          <t>HIGH</t>
        </is>
      </c>
      <c r="G391" s="15" t="n">
        <v>81.455</v>
      </c>
      <c r="H391" s="16" t="n">
        <v>79.58</v>
      </c>
      <c r="K391" s="26">
        <f>IF(H391="","",(H391-G391)/G391)</f>
        <v/>
      </c>
      <c r="L391" s="26">
        <f>IF(I391="","",(I391-G391)/G391)</f>
        <v/>
      </c>
      <c r="M391" s="26">
        <f>IF(J391="","",(J391-G391)/G391)</f>
        <v/>
      </c>
      <c r="N391" s="27">
        <f>IF(H391="","",IF(D391="HOLD",IF(ABS(K391)&lt;0.03,"YES","NO"),IF(D391="BUY",IF(K391&gt;0,"YES","NO"),IF(D391="SELL",IF(K391&lt;0,"YES","NO"),""))))</f>
        <v/>
      </c>
    </row>
    <row r="392" ht="15" customHeight="1">
      <c r="A392" s="12" t="n">
        <v>46183</v>
      </c>
      <c r="B392" s="13" t="inlineStr">
        <is>
          <t>JPM</t>
        </is>
      </c>
      <c r="C392" s="13" t="inlineStr">
        <is>
          <t>Roth IRA</t>
        </is>
      </c>
      <c r="D392" s="13" t="inlineStr">
        <is>
          <t>HOLD</t>
        </is>
      </c>
      <c r="E392" s="14" t="n">
        <v>0.55</v>
      </c>
      <c r="F392" s="13" t="inlineStr">
        <is>
          <t>MEDIUM</t>
        </is>
      </c>
      <c r="G392" s="15" t="n">
        <v>312.83</v>
      </c>
      <c r="H392" s="16" t="n">
        <v>333.46</v>
      </c>
      <c r="K392" s="26">
        <f>IF(H392="","",(H392-G392)/G392)</f>
        <v/>
      </c>
      <c r="L392" s="26">
        <f>IF(I392="","",(I392-G392)/G392)</f>
        <v/>
      </c>
      <c r="M392" s="26">
        <f>IF(J392="","",(J392-G392)/G392)</f>
        <v/>
      </c>
      <c r="N392" s="27">
        <f>IF(H392="","",IF(D392="HOLD",IF(ABS(K392)&lt;0.03,"YES","NO"),IF(D392="BUY",IF(K392&gt;0,"YES","NO"),IF(D392="SELL",IF(K392&lt;0,"YES","NO"),""))))</f>
        <v/>
      </c>
    </row>
    <row r="393" ht="15" customHeight="1">
      <c r="A393" s="12" t="n">
        <v>46183</v>
      </c>
      <c r="B393" s="13" t="inlineStr">
        <is>
          <t>MSFT</t>
        </is>
      </c>
      <c r="C393" s="13" t="inlineStr">
        <is>
          <t>Roth IRA,Individual</t>
        </is>
      </c>
      <c r="D393" s="13" t="inlineStr">
        <is>
          <t>HOLD</t>
        </is>
      </c>
      <c r="E393" s="14" t="n">
        <v>0.52</v>
      </c>
      <c r="F393" s="13" t="inlineStr">
        <is>
          <t>HIGH</t>
        </is>
      </c>
      <c r="G393" s="15" t="n">
        <v>403.36</v>
      </c>
      <c r="H393" s="16" t="n">
        <v>378.91</v>
      </c>
      <c r="K393" s="26">
        <f>IF(H393="","",(H393-G393)/G393)</f>
        <v/>
      </c>
      <c r="L393" s="26">
        <f>IF(I393="","",(I393-G393)/G393)</f>
        <v/>
      </c>
      <c r="M393" s="26">
        <f>IF(J393="","",(J393-G393)/G393)</f>
        <v/>
      </c>
      <c r="N393" s="27">
        <f>IF(H393="","",IF(D393="HOLD",IF(ABS(K393)&lt;0.03,"YES","NO"),IF(D393="BUY",IF(K393&gt;0,"YES","NO"),IF(D393="SELL",IF(K393&lt;0,"YES","NO"),""))))</f>
        <v/>
      </c>
    </row>
    <row r="394" ht="15" customHeight="1">
      <c r="A394" s="12" t="n">
        <v>46183</v>
      </c>
      <c r="B394" s="13" t="inlineStr">
        <is>
          <t>NKE</t>
        </is>
      </c>
      <c r="C394" s="13" t="inlineStr">
        <is>
          <t>Roth IRA</t>
        </is>
      </c>
      <c r="D394" s="13" t="inlineStr">
        <is>
          <t>HOLD</t>
        </is>
      </c>
      <c r="E394" s="14" t="n">
        <v>0.45</v>
      </c>
      <c r="F394" s="13" t="inlineStr">
        <is>
          <t>HIGH</t>
        </is>
      </c>
      <c r="G394" s="15" t="n">
        <v>44.38</v>
      </c>
      <c r="H394" s="16" t="n">
        <v>44.19</v>
      </c>
      <c r="K394" s="26">
        <f>IF(H394="","",(H394-G394)/G394)</f>
        <v/>
      </c>
      <c r="L394" s="26">
        <f>IF(I394="","",(I394-G394)/G394)</f>
        <v/>
      </c>
      <c r="M394" s="26">
        <f>IF(J394="","",(J394-G394)/G394)</f>
        <v/>
      </c>
      <c r="N394" s="27">
        <f>IF(H394="","",IF(D394="HOLD",IF(ABS(K394)&lt;0.03,"YES","NO"),IF(D394="BUY",IF(K394&gt;0,"YES","NO"),IF(D394="SELL",IF(K394&lt;0,"YES","NO"),""))))</f>
        <v/>
      </c>
    </row>
    <row r="395" ht="15" customHeight="1">
      <c r="A395" s="12" t="n">
        <v>46183</v>
      </c>
      <c r="B395" s="13" t="inlineStr">
        <is>
          <t>NTR</t>
        </is>
      </c>
      <c r="C395" s="13" t="inlineStr">
        <is>
          <t>Roth IRA,Individual</t>
        </is>
      </c>
      <c r="D395" s="13" t="inlineStr">
        <is>
          <t>HOLD</t>
        </is>
      </c>
      <c r="E395" s="14" t="n">
        <v>0.45</v>
      </c>
      <c r="F395" s="13" t="inlineStr">
        <is>
          <t>MEDIUM</t>
        </is>
      </c>
      <c r="G395" s="15" t="n">
        <v>65.145</v>
      </c>
      <c r="H395" s="16" t="n">
        <v>64.28</v>
      </c>
      <c r="K395" s="26">
        <f>IF(H395="","",(H395-G395)/G395)</f>
        <v/>
      </c>
      <c r="L395" s="26">
        <f>IF(I395="","",(I395-G395)/G395)</f>
        <v/>
      </c>
      <c r="M395" s="26">
        <f>IF(J395="","",(J395-G395)/G395)</f>
        <v/>
      </c>
      <c r="N395" s="27">
        <f>IF(H395="","",IF(D395="HOLD",IF(ABS(K395)&lt;0.03,"YES","NO"),IF(D395="BUY",IF(K395&gt;0,"YES","NO"),IF(D395="SELL",IF(K395&lt;0,"YES","NO"),""))))</f>
        <v/>
      </c>
    </row>
    <row r="396" ht="15" customHeight="1">
      <c r="A396" s="12" t="n">
        <v>46183</v>
      </c>
      <c r="B396" s="13" t="inlineStr">
        <is>
          <t>PM</t>
        </is>
      </c>
      <c r="C396" s="13" t="inlineStr">
        <is>
          <t>Roth IRA</t>
        </is>
      </c>
      <c r="D396" s="13" t="inlineStr">
        <is>
          <t>HOLD</t>
        </is>
      </c>
      <c r="E396" s="14" t="n">
        <v>0.65</v>
      </c>
      <c r="F396" s="13" t="inlineStr">
        <is>
          <t>HIGH</t>
        </is>
      </c>
      <c r="G396" s="15" t="n">
        <v>179.685</v>
      </c>
      <c r="H396" s="16" t="n">
        <v>179.44</v>
      </c>
      <c r="K396" s="26">
        <f>IF(H396="","",(H396-G396)/G396)</f>
        <v/>
      </c>
      <c r="L396" s="26">
        <f>IF(I396="","",(I396-G396)/G396)</f>
        <v/>
      </c>
      <c r="M396" s="26">
        <f>IF(J396="","",(J396-G396)/G396)</f>
        <v/>
      </c>
      <c r="N396" s="27">
        <f>IF(H396="","",IF(D396="HOLD",IF(ABS(K396)&lt;0.03,"YES","NO"),IF(D396="BUY",IF(K396&gt;0,"YES","NO"),IF(D396="SELL",IF(K396&lt;0,"YES","NO"),""))))</f>
        <v/>
      </c>
    </row>
    <row r="397" ht="15" customHeight="1">
      <c r="A397" s="12" t="n">
        <v>46183</v>
      </c>
      <c r="B397" s="13" t="inlineStr">
        <is>
          <t>PWR</t>
        </is>
      </c>
      <c r="C397" s="13" t="inlineStr">
        <is>
          <t>Roth IRA</t>
        </is>
      </c>
      <c r="D397" s="13" t="inlineStr">
        <is>
          <t>HOLD</t>
        </is>
      </c>
      <c r="E397" s="14" t="n">
        <v>0.62</v>
      </c>
      <c r="F397" s="13" t="inlineStr">
        <is>
          <t>HIGH</t>
        </is>
      </c>
      <c r="G397" s="15" t="n">
        <v>676.17</v>
      </c>
      <c r="H397" s="16" t="n">
        <v>714.85</v>
      </c>
      <c r="K397" s="26">
        <f>IF(H397="","",(H397-G397)/G397)</f>
        <v/>
      </c>
      <c r="L397" s="26">
        <f>IF(I397="","",(I397-G397)/G397)</f>
        <v/>
      </c>
      <c r="M397" s="26">
        <f>IF(J397="","",(J397-G397)/G397)</f>
        <v/>
      </c>
      <c r="N397" s="27">
        <f>IF(H397="","",IF(D397="HOLD",IF(ABS(K397)&lt;0.03,"YES","NO"),IF(D397="BUY",IF(K397&gt;0,"YES","NO"),IF(D397="SELL",IF(K397&lt;0,"YES","NO"),""))))</f>
        <v/>
      </c>
    </row>
    <row r="398" ht="15" customHeight="1">
      <c r="A398" s="12" t="n">
        <v>46183</v>
      </c>
      <c r="B398" s="13" t="inlineStr">
        <is>
          <t>RTX</t>
        </is>
      </c>
      <c r="C398" s="13" t="inlineStr">
        <is>
          <t>Individual</t>
        </is>
      </c>
      <c r="D398" s="13" t="inlineStr">
        <is>
          <t>HOLD</t>
        </is>
      </c>
      <c r="E398" s="14" t="n">
        <v>0.58</v>
      </c>
      <c r="F398" s="13" t="inlineStr">
        <is>
          <t>MEDIUM</t>
        </is>
      </c>
      <c r="G398" s="15" t="n">
        <v>179.22</v>
      </c>
      <c r="H398" s="16" t="n">
        <v>192.58</v>
      </c>
      <c r="K398" s="26">
        <f>IF(H398="","",(H398-G398)/G398)</f>
        <v/>
      </c>
      <c r="L398" s="26">
        <f>IF(I398="","",(I398-G398)/G398)</f>
        <v/>
      </c>
      <c r="M398" s="26">
        <f>IF(J398="","",(J398-G398)/G398)</f>
        <v/>
      </c>
      <c r="N398" s="27">
        <f>IF(H398="","",IF(D398="HOLD",IF(ABS(K398)&lt;0.03,"YES","NO"),IF(D398="BUY",IF(K398&gt;0,"YES","NO"),IF(D398="SELL",IF(K398&lt;0,"YES","NO"),""))))</f>
        <v/>
      </c>
    </row>
    <row r="399" ht="15" customHeight="1">
      <c r="A399" s="12" t="n">
        <v>46183</v>
      </c>
      <c r="B399" s="13" t="inlineStr">
        <is>
          <t>SCHD</t>
        </is>
      </c>
      <c r="C399" s="13" t="inlineStr">
        <is>
          <t>Roth IRA</t>
        </is>
      </c>
      <c r="D399" s="13" t="inlineStr">
        <is>
          <t>HOLD</t>
        </is>
      </c>
      <c r="E399" s="14" t="n">
        <v>0.62</v>
      </c>
      <c r="F399" s="13" t="inlineStr">
        <is>
          <t>HIGH</t>
        </is>
      </c>
      <c r="G399" s="15" t="n">
        <v>32.49</v>
      </c>
      <c r="H399" s="16" t="n">
        <v>31.93</v>
      </c>
      <c r="K399" s="26">
        <f>IF(H399="","",(H399-G399)/G399)</f>
        <v/>
      </c>
      <c r="L399" s="26">
        <f>IF(I399="","",(I399-G399)/G399)</f>
        <v/>
      </c>
      <c r="M399" s="26">
        <f>IF(J399="","",(J399-G399)/G399)</f>
        <v/>
      </c>
      <c r="N399" s="27">
        <f>IF(H399="","",IF(D399="HOLD",IF(ABS(K399)&lt;0.03,"YES","NO"),IF(D399="BUY",IF(K399&gt;0,"YES","NO"),IF(D399="SELL",IF(K399&lt;0,"YES","NO"),""))))</f>
        <v/>
      </c>
    </row>
    <row r="400" ht="15" customHeight="1">
      <c r="A400" s="12" t="n">
        <v>46183</v>
      </c>
      <c r="B400" s="13" t="inlineStr">
        <is>
          <t>SND</t>
        </is>
      </c>
      <c r="C400" s="13" t="inlineStr">
        <is>
          <t>Individual</t>
        </is>
      </c>
      <c r="D400" s="13" t="inlineStr">
        <is>
          <t>HOLD</t>
        </is>
      </c>
      <c r="E400" s="14" t="n">
        <v>0.42</v>
      </c>
      <c r="F400" s="13" t="inlineStr">
        <is>
          <t>MEDIUM</t>
        </is>
      </c>
      <c r="G400" s="15" t="n">
        <v>5.35</v>
      </c>
      <c r="H400" s="16" t="n">
        <v>5.03</v>
      </c>
      <c r="K400" s="26">
        <f>IF(H400="","",(H400-G400)/G400)</f>
        <v/>
      </c>
      <c r="L400" s="26">
        <f>IF(I400="","",(I400-G400)/G400)</f>
        <v/>
      </c>
      <c r="M400" s="26">
        <f>IF(J400="","",(J400-G400)/G400)</f>
        <v/>
      </c>
      <c r="N400" s="27">
        <f>IF(H400="","",IF(D400="HOLD",IF(ABS(K400)&lt;0.03,"YES","NO"),IF(D400="BUY",IF(K400&gt;0,"YES","NO"),IF(D400="SELL",IF(K400&lt;0,"YES","NO"),""))))</f>
        <v/>
      </c>
    </row>
    <row r="401" ht="15" customHeight="1">
      <c r="A401" s="12" t="n">
        <v>46183</v>
      </c>
      <c r="B401" s="13" t="inlineStr">
        <is>
          <t>WMT</t>
        </is>
      </c>
      <c r="C401" s="13" t="inlineStr">
        <is>
          <t>Roth IRA,Individual</t>
        </is>
      </c>
      <c r="D401" s="13" t="inlineStr">
        <is>
          <t>HOLD</t>
        </is>
      </c>
      <c r="E401" s="14" t="n">
        <v>0.52</v>
      </c>
      <c r="F401" s="13" t="inlineStr">
        <is>
          <t>MEDIUM</t>
        </is>
      </c>
      <c r="G401" s="15" t="n">
        <v>118.62</v>
      </c>
      <c r="H401" s="16" t="n">
        <v>118.13</v>
      </c>
      <c r="K401" s="26">
        <f>IF(H401="","",(H401-G401)/G401)</f>
        <v/>
      </c>
      <c r="L401" s="26">
        <f>IF(I401="","",(I401-G401)/G401)</f>
        <v/>
      </c>
      <c r="M401" s="26">
        <f>IF(J401="","",(J401-G401)/G401)</f>
        <v/>
      </c>
      <c r="N401" s="27">
        <f>IF(H401="","",IF(D401="HOLD",IF(ABS(K401)&lt;0.03,"YES","NO"),IF(D401="BUY",IF(K401&gt;0,"YES","NO"),IF(D401="SELL",IF(K401&lt;0,"YES","NO"),""))))</f>
        <v/>
      </c>
    </row>
    <row r="402" ht="15" customHeight="1">
      <c r="A402" s="12" t="n">
        <v>46183</v>
      </c>
      <c r="B402" s="13" t="inlineStr">
        <is>
          <t>XLU</t>
        </is>
      </c>
      <c r="C402" s="13" t="inlineStr">
        <is>
          <t>Roth IRA</t>
        </is>
      </c>
      <c r="D402" s="13" t="inlineStr">
        <is>
          <t>HOLD</t>
        </is>
      </c>
      <c r="E402" s="14" t="n">
        <v>0.52</v>
      </c>
      <c r="F402" s="13" t="inlineStr">
        <is>
          <t>MEDIUM</t>
        </is>
      </c>
      <c r="G402" s="15" t="n">
        <v>43.945</v>
      </c>
      <c r="H402" s="16" t="n">
        <v>44.46</v>
      </c>
      <c r="K402" s="26">
        <f>IF(H402="","",(H402-G402)/G402)</f>
        <v/>
      </c>
      <c r="L402" s="26">
        <f>IF(I402="","",(I402-G402)/G402)</f>
        <v/>
      </c>
      <c r="M402" s="26">
        <f>IF(J402="","",(J402-G402)/G402)</f>
        <v/>
      </c>
      <c r="N402" s="27">
        <f>IF(H402="","",IF(D402="HOLD",IF(ABS(K402)&lt;0.03,"YES","NO"),IF(D402="BUY",IF(K402&gt;0,"YES","NO"),IF(D402="SELL",IF(K402&lt;0,"YES","NO"),""))))</f>
        <v/>
      </c>
    </row>
    <row r="403" ht="15" customHeight="1">
      <c r="A403" s="12" t="n">
        <v>46183</v>
      </c>
      <c r="B403" s="13" t="inlineStr">
        <is>
          <t>SPY</t>
        </is>
      </c>
      <c r="C403" s="13" t="inlineStr">
        <is>
          <t>Scout</t>
        </is>
      </c>
      <c r="D403" s="13" t="inlineStr">
        <is>
          <t>HOLD</t>
        </is>
      </c>
      <c r="E403" s="14" t="n">
        <v>0.45</v>
      </c>
      <c r="F403" s="13" t="inlineStr">
        <is>
          <t>MEDIUM</t>
        </is>
      </c>
      <c r="G403" s="15" t="n">
        <v>736.96</v>
      </c>
      <c r="H403" s="16" t="n">
        <v>740.96</v>
      </c>
      <c r="K403" s="26">
        <f>IF(H403="","",(H403-G403)/G403)</f>
        <v/>
      </c>
      <c r="L403" s="26">
        <f>IF(I403="","",(I403-G403)/G403)</f>
        <v/>
      </c>
      <c r="M403" s="26">
        <f>IF(J403="","",(J403-G403)/G403)</f>
        <v/>
      </c>
      <c r="N403" s="27">
        <f>IF(H403="","",IF(D403="HOLD",IF(ABS(K403)&lt;0.03,"YES","NO"),IF(D403="BUY",IF(K403&gt;0,"YES","NO"),IF(D403="SELL",IF(K403&lt;0,"YES","NO"),""))))</f>
        <v/>
      </c>
    </row>
    <row r="404" ht="15" customHeight="1">
      <c r="A404" s="12" t="n">
        <v>46183</v>
      </c>
      <c r="B404" s="13" t="inlineStr">
        <is>
          <t>QQQ</t>
        </is>
      </c>
      <c r="C404" s="13" t="inlineStr">
        <is>
          <t>Scout</t>
        </is>
      </c>
      <c r="D404" s="13" t="inlineStr">
        <is>
          <t>HOLD</t>
        </is>
      </c>
      <c r="E404" s="14" t="n">
        <v>0.45</v>
      </c>
      <c r="F404" s="13" t="inlineStr">
        <is>
          <t>MEDIUM</t>
        </is>
      </c>
      <c r="G404" s="15" t="n">
        <v>709.35</v>
      </c>
      <c r="H404" s="16" t="n">
        <v>722.51</v>
      </c>
      <c r="K404" s="26">
        <f>IF(H404="","",(H404-G404)/G404)</f>
        <v/>
      </c>
      <c r="L404" s="26">
        <f>IF(I404="","",(I404-G404)/G404)</f>
        <v/>
      </c>
      <c r="M404" s="26">
        <f>IF(J404="","",(J404-G404)/G404)</f>
        <v/>
      </c>
      <c r="N404" s="27">
        <f>IF(H404="","",IF(D404="HOLD",IF(ABS(K404)&lt;0.03,"YES","NO"),IF(D404="BUY",IF(K404&gt;0,"YES","NO"),IF(D404="SELL",IF(K404&lt;0,"YES","NO"),""))))</f>
        <v/>
      </c>
    </row>
    <row r="405" ht="15" customHeight="1">
      <c r="A405" s="12" t="n">
        <v>46183</v>
      </c>
      <c r="B405" s="13" t="inlineStr">
        <is>
          <t>VTI</t>
        </is>
      </c>
      <c r="C405" s="13" t="inlineStr">
        <is>
          <t>Scout</t>
        </is>
      </c>
      <c r="D405" s="13" t="inlineStr">
        <is>
          <t>HOLD</t>
        </is>
      </c>
      <c r="E405" s="14" t="n">
        <v>0.52</v>
      </c>
      <c r="F405" s="13" t="inlineStr">
        <is>
          <t>MEDIUM</t>
        </is>
      </c>
      <c r="G405" s="15" t="n">
        <v>363.7</v>
      </c>
      <c r="H405" s="16" t="n">
        <v>365.76</v>
      </c>
      <c r="K405" s="26">
        <f>IF(H405="","",(H405-G405)/G405)</f>
        <v/>
      </c>
      <c r="L405" s="26">
        <f>IF(I405="","",(I405-G405)/G405)</f>
        <v/>
      </c>
      <c r="M405" s="26">
        <f>IF(J405="","",(J405-G405)/G405)</f>
        <v/>
      </c>
      <c r="N405" s="27">
        <f>IF(H405="","",IF(D405="HOLD",IF(ABS(K405)&lt;0.03,"YES","NO"),IF(D405="BUY",IF(K405&gt;0,"YES","NO"),IF(D405="SELL",IF(K405&lt;0,"YES","NO"),""))))</f>
        <v/>
      </c>
    </row>
    <row r="406" ht="15" customHeight="1">
      <c r="A406" s="12" t="n">
        <v>46183</v>
      </c>
      <c r="B406" s="13" t="inlineStr">
        <is>
          <t>NVDA</t>
        </is>
      </c>
      <c r="C406" s="13" t="inlineStr">
        <is>
          <t>Scout</t>
        </is>
      </c>
      <c r="D406" s="13" t="inlineStr">
        <is>
          <t>HOLD</t>
        </is>
      </c>
      <c r="E406" s="14" t="n">
        <v>0.52</v>
      </c>
      <c r="F406" s="13" t="inlineStr">
        <is>
          <t>MEDIUM</t>
        </is>
      </c>
      <c r="G406" s="15" t="n">
        <v>205.635</v>
      </c>
      <c r="H406" s="16" t="n">
        <v>204.65</v>
      </c>
      <c r="K406" s="26">
        <f>IF(H406="","",(H406-G406)/G406)</f>
        <v/>
      </c>
      <c r="L406" s="26">
        <f>IF(I406="","",(I406-G406)/G406)</f>
        <v/>
      </c>
      <c r="M406" s="26">
        <f>IF(J406="","",(J406-G406)/G406)</f>
        <v/>
      </c>
      <c r="N406" s="27">
        <f>IF(H406="","",IF(D406="HOLD",IF(ABS(K406)&lt;0.03,"YES","NO"),IF(D406="BUY",IF(K406&gt;0,"YES","NO"),IF(D406="SELL",IF(K406&lt;0,"YES","NO"),""))))</f>
        <v/>
      </c>
    </row>
    <row r="407" ht="15" customHeight="1">
      <c r="A407" s="12" t="n">
        <v>46183</v>
      </c>
      <c r="B407" s="13" t="inlineStr">
        <is>
          <t>GLD</t>
        </is>
      </c>
      <c r="C407" s="13" t="inlineStr">
        <is>
          <t>Scout</t>
        </is>
      </c>
      <c r="D407" s="13" t="inlineStr">
        <is>
          <t>HOLD</t>
        </is>
      </c>
      <c r="E407" s="14" t="n">
        <v>0.48</v>
      </c>
      <c r="F407" s="13" t="inlineStr">
        <is>
          <t>MEDIUM</t>
        </is>
      </c>
      <c r="G407" s="15" t="n">
        <v>381.24</v>
      </c>
      <c r="H407" s="16" t="n">
        <v>388.6</v>
      </c>
      <c r="K407" s="26">
        <f>IF(H407="","",(H407-G407)/G407)</f>
        <v/>
      </c>
      <c r="L407" s="26">
        <f>IF(I407="","",(I407-G407)/G407)</f>
        <v/>
      </c>
      <c r="M407" s="26">
        <f>IF(J407="","",(J407-G407)/G407)</f>
        <v/>
      </c>
      <c r="N407" s="27">
        <f>IF(H407="","",IF(D407="HOLD",IF(ABS(K407)&lt;0.03,"YES","NO"),IF(D407="BUY",IF(K407&gt;0,"YES","NO"),IF(D407="SELL",IF(K407&lt;0,"YES","NO"),""))))</f>
        <v/>
      </c>
    </row>
    <row r="408" ht="15" customHeight="1">
      <c r="A408" s="12" t="n">
        <v>46184</v>
      </c>
      <c r="B408" s="13" t="inlineStr">
        <is>
          <t>AAPL</t>
        </is>
      </c>
      <c r="C408" s="13" t="inlineStr">
        <is>
          <t>Roth IRA</t>
        </is>
      </c>
      <c r="D408" s="13" t="inlineStr">
        <is>
          <t>HOLD</t>
        </is>
      </c>
      <c r="E408" s="14" t="n">
        <v>0.55</v>
      </c>
      <c r="F408" s="13" t="inlineStr">
        <is>
          <t>MEDIUM</t>
        </is>
      </c>
      <c r="G408" s="15" t="n">
        <v>290.33</v>
      </c>
      <c r="H408" s="16" t="n">
        <v>298.01</v>
      </c>
      <c r="K408" s="26">
        <f>IF(H408="","",(H408-G408)/G408)</f>
        <v/>
      </c>
      <c r="L408" s="26">
        <f>IF(I408="","",(I408-G408)/G408)</f>
        <v/>
      </c>
      <c r="M408" s="26">
        <f>IF(J408="","",(J408-G408)/G408)</f>
        <v/>
      </c>
      <c r="N408" s="27">
        <f>IF(H408="","",IF(D408="HOLD",IF(ABS(K408)&lt;0.03,"YES","NO"),IF(D408="BUY",IF(K408&gt;0,"YES","NO"),IF(D408="SELL",IF(K408&lt;0,"YES","NO"),""))))</f>
        <v/>
      </c>
    </row>
    <row r="409" ht="15" customHeight="1">
      <c r="A409" s="12" t="n">
        <v>46184</v>
      </c>
      <c r="B409" s="13" t="inlineStr">
        <is>
          <t>AG</t>
        </is>
      </c>
      <c r="C409" s="13" t="inlineStr">
        <is>
          <t>Individual</t>
        </is>
      </c>
      <c r="D409" s="13" t="inlineStr">
        <is>
          <t>HOLD</t>
        </is>
      </c>
      <c r="E409" s="14" t="n">
        <v>0.42</v>
      </c>
      <c r="F409" s="13" t="inlineStr">
        <is>
          <t>MEDIUM</t>
        </is>
      </c>
      <c r="G409" s="15" t="n">
        <v>15.77</v>
      </c>
      <c r="H409" s="16" t="n">
        <v>18</v>
      </c>
      <c r="K409" s="26">
        <f>IF(H409="","",(H409-G409)/G409)</f>
        <v/>
      </c>
      <c r="L409" s="26">
        <f>IF(I409="","",(I409-G409)/G409)</f>
        <v/>
      </c>
      <c r="M409" s="26">
        <f>IF(J409="","",(J409-G409)/G409)</f>
        <v/>
      </c>
      <c r="N409" s="27">
        <f>IF(H409="","",IF(D409="HOLD",IF(ABS(K409)&lt;0.03,"YES","NO"),IF(D409="BUY",IF(K409&gt;0,"YES","NO"),IF(D409="SELL",IF(K409&lt;0,"YES","NO"),""))))</f>
        <v/>
      </c>
    </row>
    <row r="410" ht="15" customHeight="1">
      <c r="A410" s="12" t="n">
        <v>46184</v>
      </c>
      <c r="B410" s="13" t="inlineStr">
        <is>
          <t>AIQ</t>
        </is>
      </c>
      <c r="C410" s="13" t="inlineStr">
        <is>
          <t>Roth IRA,Individual</t>
        </is>
      </c>
      <c r="D410" s="13" t="inlineStr">
        <is>
          <t>HOLD</t>
        </is>
      </c>
      <c r="E410" s="14" t="n">
        <v>0.52</v>
      </c>
      <c r="F410" s="13" t="inlineStr">
        <is>
          <t>MEDIUM</t>
        </is>
      </c>
      <c r="G410" s="15" t="n">
        <v>61.43</v>
      </c>
      <c r="H410" s="16" t="n">
        <v>66.8</v>
      </c>
      <c r="K410" s="26">
        <f>IF(H410="","",(H410-G410)/G410)</f>
        <v/>
      </c>
      <c r="L410" s="26">
        <f>IF(I410="","",(I410-G410)/G410)</f>
        <v/>
      </c>
      <c r="M410" s="26">
        <f>IF(J410="","",(J410-G410)/G410)</f>
        <v/>
      </c>
      <c r="N410" s="27">
        <f>IF(H410="","",IF(D410="HOLD",IF(ABS(K410)&lt;0.03,"YES","NO"),IF(D410="BUY",IF(K410&gt;0,"YES","NO"),IF(D410="SELL",IF(K410&lt;0,"YES","NO"),""))))</f>
        <v/>
      </c>
    </row>
    <row r="411" ht="15" customHeight="1">
      <c r="A411" s="12" t="n">
        <v>46184</v>
      </c>
      <c r="B411" s="13" t="inlineStr">
        <is>
          <t>CBRS</t>
        </is>
      </c>
      <c r="C411" s="13" t="inlineStr">
        <is>
          <t>Individual</t>
        </is>
      </c>
      <c r="D411" s="13" t="inlineStr">
        <is>
          <t>HOLD</t>
        </is>
      </c>
      <c r="E411" s="14" t="n">
        <v>0.42</v>
      </c>
      <c r="F411" s="13" t="inlineStr">
        <is>
          <t>MEDIUM</t>
        </is>
      </c>
      <c r="G411" s="15" t="n">
        <v>228.9</v>
      </c>
      <c r="H411" s="16" t="n">
        <v>234.71</v>
      </c>
      <c r="K411" s="26">
        <f>IF(H411="","",(H411-G411)/G411)</f>
        <v/>
      </c>
      <c r="L411" s="26">
        <f>IF(I411="","",(I411-G411)/G411)</f>
        <v/>
      </c>
      <c r="M411" s="26">
        <f>IF(J411="","",(J411-G411)/G411)</f>
        <v/>
      </c>
      <c r="N411" s="27">
        <f>IF(H411="","",IF(D411="HOLD",IF(ABS(K411)&lt;0.03,"YES","NO"),IF(D411="BUY",IF(K411&gt;0,"YES","NO"),IF(D411="SELL",IF(K411&lt;0,"YES","NO"),""))))</f>
        <v/>
      </c>
    </row>
    <row r="412" ht="15" customHeight="1">
      <c r="A412" s="12" t="n">
        <v>46184</v>
      </c>
      <c r="B412" s="13" t="inlineStr">
        <is>
          <t>CORN</t>
        </is>
      </c>
      <c r="C412" s="13" t="inlineStr">
        <is>
          <t>Individual</t>
        </is>
      </c>
      <c r="D412" s="13" t="inlineStr">
        <is>
          <t>HOLD</t>
        </is>
      </c>
      <c r="E412" s="14" t="n">
        <v>0.38</v>
      </c>
      <c r="F412" s="13" t="inlineStr">
        <is>
          <t>MEDIUM</t>
        </is>
      </c>
      <c r="G412" s="15" t="n">
        <v>16.945</v>
      </c>
      <c r="H412" s="16" t="n">
        <v>16.95</v>
      </c>
      <c r="K412" s="26">
        <f>IF(H412="","",(H412-G412)/G412)</f>
        <v/>
      </c>
      <c r="L412" s="26">
        <f>IF(I412="","",(I412-G412)/G412)</f>
        <v/>
      </c>
      <c r="M412" s="26">
        <f>IF(J412="","",(J412-G412)/G412)</f>
        <v/>
      </c>
      <c r="N412" s="27">
        <f>IF(H412="","",IF(D412="HOLD",IF(ABS(K412)&lt;0.03,"YES","NO"),IF(D412="BUY",IF(K412&gt;0,"YES","NO"),IF(D412="SELL",IF(K412&lt;0,"YES","NO"),""))))</f>
        <v/>
      </c>
    </row>
    <row r="413" ht="15" customHeight="1">
      <c r="A413" s="12" t="n">
        <v>46184</v>
      </c>
      <c r="B413" s="13" t="inlineStr">
        <is>
          <t>DOW</t>
        </is>
      </c>
      <c r="C413" s="13" t="inlineStr">
        <is>
          <t>Roth IRA,Individual</t>
        </is>
      </c>
      <c r="D413" s="13" t="inlineStr">
        <is>
          <t>HOLD</t>
        </is>
      </c>
      <c r="E413" s="14" t="n">
        <v>0.42</v>
      </c>
      <c r="F413" s="13" t="inlineStr">
        <is>
          <t>MEDIUM</t>
        </is>
      </c>
      <c r="G413" s="15" t="n">
        <v>34.7235</v>
      </c>
      <c r="H413" s="16" t="n">
        <v>31.73</v>
      </c>
      <c r="K413" s="26">
        <f>IF(H413="","",(H413-G413)/G413)</f>
        <v/>
      </c>
      <c r="L413" s="26">
        <f>IF(I413="","",(I413-G413)/G413)</f>
        <v/>
      </c>
      <c r="M413" s="26">
        <f>IF(J413="","",(J413-G413)/G413)</f>
        <v/>
      </c>
      <c r="N413" s="27">
        <f>IF(H413="","",IF(D413="HOLD",IF(ABS(K413)&lt;0.03,"YES","NO"),IF(D413="BUY",IF(K413&gt;0,"YES","NO"),IF(D413="SELL",IF(K413&lt;0,"YES","NO"),""))))</f>
        <v/>
      </c>
    </row>
    <row r="414" ht="15" customHeight="1">
      <c r="A414" s="12" t="n">
        <v>46184</v>
      </c>
      <c r="B414" s="13" t="inlineStr">
        <is>
          <t>FTI</t>
        </is>
      </c>
      <c r="C414" s="13" t="inlineStr">
        <is>
          <t>Individual</t>
        </is>
      </c>
      <c r="D414" s="13" t="inlineStr">
        <is>
          <t>HOLD</t>
        </is>
      </c>
      <c r="E414" s="14" t="n">
        <v>0.58</v>
      </c>
      <c r="F414" s="13" t="inlineStr">
        <is>
          <t>MEDIUM</t>
        </is>
      </c>
      <c r="G414" s="15" t="n">
        <v>71.05</v>
      </c>
      <c r="H414" s="16" t="n">
        <v>65.17</v>
      </c>
      <c r="K414" s="26">
        <f>IF(H414="","",(H414-G414)/G414)</f>
        <v/>
      </c>
      <c r="L414" s="26">
        <f>IF(I414="","",(I414-G414)/G414)</f>
        <v/>
      </c>
      <c r="M414" s="26">
        <f>IF(J414="","",(J414-G414)/G414)</f>
        <v/>
      </c>
      <c r="N414" s="27">
        <f>IF(H414="","",IF(D414="HOLD",IF(ABS(K414)&lt;0.03,"YES","NO"),IF(D414="BUY",IF(K414&gt;0,"YES","NO"),IF(D414="SELL",IF(K414&lt;0,"YES","NO"),""))))</f>
        <v/>
      </c>
    </row>
    <row r="415" ht="15" customHeight="1">
      <c r="A415" s="12" t="n">
        <v>46184</v>
      </c>
      <c r="B415" s="13" t="inlineStr">
        <is>
          <t>GM</t>
        </is>
      </c>
      <c r="C415" s="13" t="inlineStr">
        <is>
          <t>Roth IRA,Individual</t>
        </is>
      </c>
      <c r="D415" s="13" t="inlineStr">
        <is>
          <t>HOLD</t>
        </is>
      </c>
      <c r="E415" s="14" t="n">
        <v>0.52</v>
      </c>
      <c r="F415" s="13" t="inlineStr">
        <is>
          <t>MEDIUM</t>
        </is>
      </c>
      <c r="G415" s="15" t="n">
        <v>79.48999999999999</v>
      </c>
      <c r="H415" s="16" t="n">
        <v>79.29000000000001</v>
      </c>
      <c r="K415" s="26">
        <f>IF(H415="","",(H415-G415)/G415)</f>
        <v/>
      </c>
      <c r="L415" s="26">
        <f>IF(I415="","",(I415-G415)/G415)</f>
        <v/>
      </c>
      <c r="M415" s="26">
        <f>IF(J415="","",(J415-G415)/G415)</f>
        <v/>
      </c>
      <c r="N415" s="27">
        <f>IF(H415="","",IF(D415="HOLD",IF(ABS(K415)&lt;0.03,"YES","NO"),IF(D415="BUY",IF(K415&gt;0,"YES","NO"),IF(D415="SELL",IF(K415&lt;0,"YES","NO"),""))))</f>
        <v/>
      </c>
    </row>
    <row r="416" ht="15" customHeight="1">
      <c r="A416" s="12" t="n">
        <v>46184</v>
      </c>
      <c r="B416" s="13" t="inlineStr">
        <is>
          <t>JPM</t>
        </is>
      </c>
      <c r="C416" s="13" t="inlineStr">
        <is>
          <t>Roth IRA</t>
        </is>
      </c>
      <c r="D416" s="13" t="inlineStr">
        <is>
          <t>HOLD</t>
        </is>
      </c>
      <c r="E416" s="14" t="n">
        <v>0.58</v>
      </c>
      <c r="F416" s="13" t="inlineStr">
        <is>
          <t>MEDIUM</t>
        </is>
      </c>
      <c r="G416" s="15" t="n">
        <v>310.7045</v>
      </c>
      <c r="H416" s="16" t="n">
        <v>325.22</v>
      </c>
      <c r="K416" s="26">
        <f>IF(H416="","",(H416-G416)/G416)</f>
        <v/>
      </c>
      <c r="L416" s="26">
        <f>IF(I416="","",(I416-G416)/G416)</f>
        <v/>
      </c>
      <c r="M416" s="26">
        <f>IF(J416="","",(J416-G416)/G416)</f>
        <v/>
      </c>
      <c r="N416" s="27">
        <f>IF(H416="","",IF(D416="HOLD",IF(ABS(K416)&lt;0.03,"YES","NO"),IF(D416="BUY",IF(K416&gt;0,"YES","NO"),IF(D416="SELL",IF(K416&lt;0,"YES","NO"),""))))</f>
        <v/>
      </c>
    </row>
    <row r="417" ht="15" customHeight="1">
      <c r="A417" s="12" t="n">
        <v>46184</v>
      </c>
      <c r="B417" s="13" t="inlineStr">
        <is>
          <t>MSFT</t>
        </is>
      </c>
      <c r="C417" s="13" t="inlineStr">
        <is>
          <t>Roth IRA,Individual</t>
        </is>
      </c>
      <c r="D417" s="13" t="inlineStr">
        <is>
          <t>HOLD</t>
        </is>
      </c>
      <c r="E417" s="14" t="n">
        <v>0.52</v>
      </c>
      <c r="F417" s="13" t="inlineStr">
        <is>
          <t>MEDIUM</t>
        </is>
      </c>
      <c r="G417" s="15" t="n">
        <v>387.26</v>
      </c>
      <c r="H417" s="16" t="n">
        <v>379.4</v>
      </c>
      <c r="K417" s="26">
        <f>IF(H417="","",(H417-G417)/G417)</f>
        <v/>
      </c>
      <c r="L417" s="26">
        <f>IF(I417="","",(I417-G417)/G417)</f>
        <v/>
      </c>
      <c r="M417" s="26">
        <f>IF(J417="","",(J417-G417)/G417)</f>
        <v/>
      </c>
      <c r="N417" s="27">
        <f>IF(H417="","",IF(D417="HOLD",IF(ABS(K417)&lt;0.03,"YES","NO"),IF(D417="BUY",IF(K417&gt;0,"YES","NO"),IF(D417="SELL",IF(K417&lt;0,"YES","NO"),""))))</f>
        <v/>
      </c>
    </row>
    <row r="418" ht="15" customHeight="1">
      <c r="A418" s="12" t="n">
        <v>46184</v>
      </c>
      <c r="B418" s="13" t="inlineStr">
        <is>
          <t>NKE</t>
        </is>
      </c>
      <c r="C418" s="13" t="inlineStr">
        <is>
          <t>Roth IRA</t>
        </is>
      </c>
      <c r="D418" s="13" t="inlineStr">
        <is>
          <t>HOLD</t>
        </is>
      </c>
      <c r="E418" s="14" t="n">
        <v>0.42</v>
      </c>
      <c r="F418" s="13" t="inlineStr">
        <is>
          <t>HIGH</t>
        </is>
      </c>
      <c r="G418" s="15" t="n">
        <v>44.555</v>
      </c>
      <c r="H418" s="16" t="n">
        <v>45.2</v>
      </c>
      <c r="K418" s="26">
        <f>IF(H418="","",(H418-G418)/G418)</f>
        <v/>
      </c>
      <c r="L418" s="26">
        <f>IF(I418="","",(I418-G418)/G418)</f>
        <v/>
      </c>
      <c r="M418" s="26">
        <f>IF(J418="","",(J418-G418)/G418)</f>
        <v/>
      </c>
      <c r="N418" s="27">
        <f>IF(H418="","",IF(D418="HOLD",IF(ABS(K418)&lt;0.03,"YES","NO"),IF(D418="BUY",IF(K418&gt;0,"YES","NO"),IF(D418="SELL",IF(K418&lt;0,"YES","NO"),""))))</f>
        <v/>
      </c>
    </row>
    <row r="419" ht="15" customHeight="1">
      <c r="A419" s="12" t="n">
        <v>46184</v>
      </c>
      <c r="B419" s="13" t="inlineStr">
        <is>
          <t>NTR</t>
        </is>
      </c>
      <c r="C419" s="13" t="inlineStr">
        <is>
          <t>Roth IRA,Individual</t>
        </is>
      </c>
      <c r="D419" s="13" t="inlineStr">
        <is>
          <t>HOLD</t>
        </is>
      </c>
      <c r="E419" s="14" t="n">
        <v>0.48</v>
      </c>
      <c r="F419" s="13" t="inlineStr">
        <is>
          <t>MEDIUM</t>
        </is>
      </c>
      <c r="G419" s="15" t="n">
        <v>66.23999999999999</v>
      </c>
      <c r="H419" s="16" t="n">
        <v>62.86</v>
      </c>
      <c r="K419" s="26">
        <f>IF(H419="","",(H419-G419)/G419)</f>
        <v/>
      </c>
      <c r="L419" s="26">
        <f>IF(I419="","",(I419-G419)/G419)</f>
        <v/>
      </c>
      <c r="M419" s="26">
        <f>IF(J419="","",(J419-G419)/G419)</f>
        <v/>
      </c>
      <c r="N419" s="27">
        <f>IF(H419="","",IF(D419="HOLD",IF(ABS(K419)&lt;0.03,"YES","NO"),IF(D419="BUY",IF(K419&gt;0,"YES","NO"),IF(D419="SELL",IF(K419&lt;0,"YES","NO"),""))))</f>
        <v/>
      </c>
    </row>
    <row r="420" ht="15" customHeight="1">
      <c r="A420" s="12" t="n">
        <v>46184</v>
      </c>
      <c r="B420" s="13" t="inlineStr">
        <is>
          <t>PM</t>
        </is>
      </c>
      <c r="C420" s="13" t="inlineStr">
        <is>
          <t>Roth IRA</t>
        </is>
      </c>
      <c r="D420" s="13" t="inlineStr">
        <is>
          <t>HOLD</t>
        </is>
      </c>
      <c r="E420" s="14" t="n">
        <v>0.65</v>
      </c>
      <c r="F420" s="13" t="inlineStr">
        <is>
          <t>HIGH</t>
        </is>
      </c>
      <c r="G420" s="15" t="n">
        <v>184.54</v>
      </c>
      <c r="H420" s="16" t="n">
        <v>178.4</v>
      </c>
      <c r="K420" s="26">
        <f>IF(H420="","",(H420-G420)/G420)</f>
        <v/>
      </c>
      <c r="L420" s="26">
        <f>IF(I420="","",(I420-G420)/G420)</f>
        <v/>
      </c>
      <c r="M420" s="26">
        <f>IF(J420="","",(J420-G420)/G420)</f>
        <v/>
      </c>
      <c r="N420" s="27">
        <f>IF(H420="","",IF(D420="HOLD",IF(ABS(K420)&lt;0.03,"YES","NO"),IF(D420="BUY",IF(K420&gt;0,"YES","NO"),IF(D420="SELL",IF(K420&lt;0,"YES","NO"),""))))</f>
        <v/>
      </c>
    </row>
    <row r="421" ht="15" customHeight="1">
      <c r="A421" s="12" t="n">
        <v>46184</v>
      </c>
      <c r="B421" s="13" t="inlineStr">
        <is>
          <t>PWR</t>
        </is>
      </c>
      <c r="C421" s="13" t="inlineStr">
        <is>
          <t>Roth IRA</t>
        </is>
      </c>
      <c r="D421" s="13" t="inlineStr">
        <is>
          <t>HOLD</t>
        </is>
      </c>
      <c r="E421" s="14" t="n">
        <v>0.52</v>
      </c>
      <c r="F421" s="13" t="inlineStr">
        <is>
          <t>MEDIUM</t>
        </is>
      </c>
      <c r="G421" s="15" t="n">
        <v>666.15</v>
      </c>
      <c r="H421" s="16" t="n">
        <v>702.25</v>
      </c>
      <c r="K421" s="26">
        <f>IF(H421="","",(H421-G421)/G421)</f>
        <v/>
      </c>
      <c r="L421" s="26">
        <f>IF(I421="","",(I421-G421)/G421)</f>
        <v/>
      </c>
      <c r="M421" s="26">
        <f>IF(J421="","",(J421-G421)/G421)</f>
        <v/>
      </c>
      <c r="N421" s="27">
        <f>IF(H421="","",IF(D421="HOLD",IF(ABS(K421)&lt;0.03,"YES","NO"),IF(D421="BUY",IF(K421&gt;0,"YES","NO"),IF(D421="SELL",IF(K421&lt;0,"YES","NO"),""))))</f>
        <v/>
      </c>
    </row>
    <row r="422" ht="15" customHeight="1">
      <c r="A422" s="12" t="n">
        <v>46184</v>
      </c>
      <c r="B422" s="13" t="inlineStr">
        <is>
          <t>RTX</t>
        </is>
      </c>
      <c r="C422" s="13" t="inlineStr">
        <is>
          <t>Individual</t>
        </is>
      </c>
      <c r="D422" s="13" t="inlineStr">
        <is>
          <t>HOLD</t>
        </is>
      </c>
      <c r="E422" s="14" t="n">
        <v>0.58</v>
      </c>
      <c r="F422" s="13" t="inlineStr">
        <is>
          <t>HIGH</t>
        </is>
      </c>
      <c r="G422" s="15" t="n">
        <v>181.295</v>
      </c>
      <c r="H422" s="16" t="n">
        <v>185.6</v>
      </c>
      <c r="K422" s="26">
        <f>IF(H422="","",(H422-G422)/G422)</f>
        <v/>
      </c>
      <c r="L422" s="26">
        <f>IF(I422="","",(I422-G422)/G422)</f>
        <v/>
      </c>
      <c r="M422" s="26">
        <f>IF(J422="","",(J422-G422)/G422)</f>
        <v/>
      </c>
      <c r="N422" s="27">
        <f>IF(H422="","",IF(D422="HOLD",IF(ABS(K422)&lt;0.03,"YES","NO"),IF(D422="BUY",IF(K422&gt;0,"YES","NO"),IF(D422="SELL",IF(K422&lt;0,"YES","NO"),""))))</f>
        <v/>
      </c>
    </row>
    <row r="423" ht="15" customHeight="1">
      <c r="A423" s="12" t="n">
        <v>46184</v>
      </c>
      <c r="B423" s="13" t="inlineStr">
        <is>
          <t>SCHD</t>
        </is>
      </c>
      <c r="C423" s="13" t="inlineStr">
        <is>
          <t>Roth IRA</t>
        </is>
      </c>
      <c r="D423" s="13" t="inlineStr">
        <is>
          <t>HOLD</t>
        </is>
      </c>
      <c r="E423" s="14" t="n">
        <v>0.68</v>
      </c>
      <c r="F423" s="13" t="inlineStr">
        <is>
          <t>HIGH</t>
        </is>
      </c>
      <c r="G423" s="15" t="n">
        <v>32.45</v>
      </c>
      <c r="H423" s="16" t="n">
        <v>31.86</v>
      </c>
      <c r="K423" s="26">
        <f>IF(H423="","",(H423-G423)/G423)</f>
        <v/>
      </c>
      <c r="L423" s="26">
        <f>IF(I423="","",(I423-G423)/G423)</f>
        <v/>
      </c>
      <c r="M423" s="26">
        <f>IF(J423="","",(J423-G423)/G423)</f>
        <v/>
      </c>
      <c r="N423" s="27">
        <f>IF(H423="","",IF(D423="HOLD",IF(ABS(K423)&lt;0.03,"YES","NO"),IF(D423="BUY",IF(K423&gt;0,"YES","NO"),IF(D423="SELL",IF(K423&lt;0,"YES","NO"),""))))</f>
        <v/>
      </c>
    </row>
    <row r="424" ht="15" customHeight="1">
      <c r="A424" s="12" t="n">
        <v>46184</v>
      </c>
      <c r="B424" s="13" t="inlineStr">
        <is>
          <t>SND</t>
        </is>
      </c>
      <c r="C424" s="13" t="inlineStr">
        <is>
          <t>Individual</t>
        </is>
      </c>
      <c r="D424" s="13" t="inlineStr">
        <is>
          <t>HOLD</t>
        </is>
      </c>
      <c r="E424" s="14" t="n">
        <v>0.42</v>
      </c>
      <c r="F424" s="13" t="inlineStr">
        <is>
          <t>MEDIUM</t>
        </is>
      </c>
      <c r="G424" s="15" t="n">
        <v>5.265</v>
      </c>
      <c r="H424" s="16" t="n">
        <v>4.79</v>
      </c>
      <c r="K424" s="26">
        <f>IF(H424="","",(H424-G424)/G424)</f>
        <v/>
      </c>
      <c r="L424" s="26">
        <f>IF(I424="","",(I424-G424)/G424)</f>
        <v/>
      </c>
      <c r="M424" s="26">
        <f>IF(J424="","",(J424-G424)/G424)</f>
        <v/>
      </c>
      <c r="N424" s="27">
        <f>IF(H424="","",IF(D424="HOLD",IF(ABS(K424)&lt;0.03,"YES","NO"),IF(D424="BUY",IF(K424&gt;0,"YES","NO"),IF(D424="SELL",IF(K424&lt;0,"YES","NO"),""))))</f>
        <v/>
      </c>
    </row>
    <row r="425" ht="15" customHeight="1">
      <c r="A425" s="12" t="n">
        <v>46184</v>
      </c>
      <c r="B425" s="13" t="inlineStr">
        <is>
          <t>WMT</t>
        </is>
      </c>
      <c r="C425" s="13" t="inlineStr">
        <is>
          <t>Roth IRA,Individual</t>
        </is>
      </c>
      <c r="D425" s="13" t="inlineStr">
        <is>
          <t>HOLD</t>
        </is>
      </c>
      <c r="E425" s="14" t="n">
        <v>0.55</v>
      </c>
      <c r="F425" s="13" t="inlineStr">
        <is>
          <t>HIGH</t>
        </is>
      </c>
      <c r="G425" s="15" t="n">
        <v>120.885</v>
      </c>
      <c r="H425" s="16" t="n">
        <v>117.18</v>
      </c>
      <c r="K425" s="26">
        <f>IF(H425="","",(H425-G425)/G425)</f>
        <v/>
      </c>
      <c r="L425" s="26">
        <f>IF(I425="","",(I425-G425)/G425)</f>
        <v/>
      </c>
      <c r="M425" s="26">
        <f>IF(J425="","",(J425-G425)/G425)</f>
        <v/>
      </c>
      <c r="N425" s="27">
        <f>IF(H425="","",IF(D425="HOLD",IF(ABS(K425)&lt;0.03,"YES","NO"),IF(D425="BUY",IF(K425&gt;0,"YES","NO"),IF(D425="SELL",IF(K425&lt;0,"YES","NO"),""))))</f>
        <v/>
      </c>
    </row>
    <row r="426" ht="15" customHeight="1">
      <c r="A426" s="12" t="n">
        <v>46184</v>
      </c>
      <c r="B426" s="13" t="inlineStr">
        <is>
          <t>XLU</t>
        </is>
      </c>
      <c r="C426" s="13" t="inlineStr">
        <is>
          <t>Roth IRA</t>
        </is>
      </c>
      <c r="D426" s="13" t="inlineStr">
        <is>
          <t>HOLD</t>
        </is>
      </c>
      <c r="E426" s="14" t="n">
        <v>0.55</v>
      </c>
      <c r="F426" s="13" t="inlineStr">
        <is>
          <t>MEDIUM</t>
        </is>
      </c>
      <c r="G426" s="15" t="n">
        <v>44.465</v>
      </c>
      <c r="H426" s="16" t="n">
        <v>44.76</v>
      </c>
      <c r="K426" s="26">
        <f>IF(H426="","",(H426-G426)/G426)</f>
        <v/>
      </c>
      <c r="L426" s="26">
        <f>IF(I426="","",(I426-G426)/G426)</f>
        <v/>
      </c>
      <c r="M426" s="26">
        <f>IF(J426="","",(J426-G426)/G426)</f>
        <v/>
      </c>
      <c r="N426" s="27">
        <f>IF(H426="","",IF(D426="HOLD",IF(ABS(K426)&lt;0.03,"YES","NO"),IF(D426="BUY",IF(K426&gt;0,"YES","NO"),IF(D426="SELL",IF(K426&lt;0,"YES","NO"),""))))</f>
        <v/>
      </c>
    </row>
    <row r="427" ht="15" customHeight="1">
      <c r="A427" s="12" t="n">
        <v>46184</v>
      </c>
      <c r="B427" s="13" t="inlineStr">
        <is>
          <t>SPY</t>
        </is>
      </c>
      <c r="C427" s="13" t="inlineStr">
        <is>
          <t>Scout</t>
        </is>
      </c>
      <c r="D427" s="13" t="inlineStr">
        <is>
          <t>HOLD</t>
        </is>
      </c>
      <c r="E427" s="14" t="n">
        <v>0.52</v>
      </c>
      <c r="F427" s="13" t="inlineStr">
        <is>
          <t>MEDIUM</t>
        </is>
      </c>
      <c r="G427" s="15" t="n">
        <v>725.09</v>
      </c>
      <c r="H427" s="16" t="n">
        <v>746.74</v>
      </c>
      <c r="K427" s="26">
        <f>IF(H427="","",(H427-G427)/G427)</f>
        <v/>
      </c>
      <c r="L427" s="26">
        <f>IF(I427="","",(I427-G427)/G427)</f>
        <v/>
      </c>
      <c r="M427" s="26">
        <f>IF(J427="","",(J427-G427)/G427)</f>
        <v/>
      </c>
      <c r="N427" s="27">
        <f>IF(H427="","",IF(D427="HOLD",IF(ABS(K427)&lt;0.03,"YES","NO"),IF(D427="BUY",IF(K427&gt;0,"YES","NO"),IF(D427="SELL",IF(K427&lt;0,"YES","NO"),""))))</f>
        <v/>
      </c>
    </row>
    <row r="428" ht="15" customHeight="1">
      <c r="A428" s="12" t="n">
        <v>46184</v>
      </c>
      <c r="B428" s="13" t="inlineStr">
        <is>
          <t>QQQ</t>
        </is>
      </c>
      <c r="C428" s="13" t="inlineStr">
        <is>
          <t>Scout</t>
        </is>
      </c>
      <c r="D428" s="13" t="inlineStr">
        <is>
          <t>HOLD</t>
        </is>
      </c>
      <c r="E428" s="14" t="n">
        <v>0.47</v>
      </c>
      <c r="F428" s="13" t="inlineStr">
        <is>
          <t>MEDIUM</t>
        </is>
      </c>
      <c r="G428" s="15" t="n">
        <v>695.83</v>
      </c>
      <c r="H428" s="16" t="n">
        <v>740.62</v>
      </c>
      <c r="K428" s="26">
        <f>IF(H428="","",(H428-G428)/G428)</f>
        <v/>
      </c>
      <c r="L428" s="26">
        <f>IF(I428="","",(I428-G428)/G428)</f>
        <v/>
      </c>
      <c r="M428" s="26">
        <f>IF(J428="","",(J428-G428)/G428)</f>
        <v/>
      </c>
      <c r="N428" s="27">
        <f>IF(H428="","",IF(D428="HOLD",IF(ABS(K428)&lt;0.03,"YES","NO"),IF(D428="BUY",IF(K428&gt;0,"YES","NO"),IF(D428="SELL",IF(K428&lt;0,"YES","NO"),""))))</f>
        <v/>
      </c>
    </row>
    <row r="429" ht="15" customHeight="1">
      <c r="A429" s="12" t="n">
        <v>46184</v>
      </c>
      <c r="B429" s="13" t="inlineStr">
        <is>
          <t>VTI</t>
        </is>
      </c>
      <c r="C429" s="13" t="inlineStr">
        <is>
          <t>Scout</t>
        </is>
      </c>
      <c r="D429" s="13" t="inlineStr">
        <is>
          <t>HOLD</t>
        </is>
      </c>
      <c r="E429" s="14" t="n">
        <v>0.52</v>
      </c>
      <c r="F429" s="13" t="inlineStr">
        <is>
          <t>MEDIUM</t>
        </is>
      </c>
      <c r="G429" s="15" t="n">
        <v>358.2501</v>
      </c>
      <c r="H429" s="16" t="n">
        <v>369.99</v>
      </c>
      <c r="K429" s="26">
        <f>IF(H429="","",(H429-G429)/G429)</f>
        <v/>
      </c>
      <c r="L429" s="26">
        <f>IF(I429="","",(I429-G429)/G429)</f>
        <v/>
      </c>
      <c r="M429" s="26">
        <f>IF(J429="","",(J429-G429)/G429)</f>
        <v/>
      </c>
      <c r="N429" s="27">
        <f>IF(H429="","",IF(D429="HOLD",IF(ABS(K429)&lt;0.03,"YES","NO"),IF(D429="BUY",IF(K429&gt;0,"YES","NO"),IF(D429="SELL",IF(K429&lt;0,"YES","NO"),""))))</f>
        <v/>
      </c>
    </row>
    <row r="430" ht="15" customHeight="1">
      <c r="A430" s="12" t="n">
        <v>46184</v>
      </c>
      <c r="B430" s="13" t="inlineStr">
        <is>
          <t>NVDA</t>
        </is>
      </c>
      <c r="C430" s="13" t="inlineStr">
        <is>
          <t>Scout</t>
        </is>
      </c>
      <c r="D430" s="13" t="inlineStr">
        <is>
          <t>BUY</t>
        </is>
      </c>
      <c r="E430" s="14" t="n">
        <v>0.65</v>
      </c>
      <c r="F430" s="13" t="inlineStr">
        <is>
          <t>MEDIUM</t>
        </is>
      </c>
      <c r="G430" s="15" t="n">
        <v>199.94</v>
      </c>
      <c r="H430" s="16" t="n">
        <v>210.15</v>
      </c>
      <c r="K430" s="26">
        <f>IF(H430="","",(H430-G430)/G430)</f>
        <v/>
      </c>
      <c r="L430" s="26">
        <f>IF(I430="","",(I430-G430)/G430)</f>
        <v/>
      </c>
      <c r="M430" s="26">
        <f>IF(J430="","",(J430-G430)/G430)</f>
        <v/>
      </c>
      <c r="N430" s="27">
        <f>IF(H430="","",IF(D430="HOLD",IF(ABS(K430)&lt;0.03,"YES","NO"),IF(D430="BUY",IF(K430&gt;0,"YES","NO"),IF(D430="SELL",IF(K430&lt;0,"YES","NO"),""))))</f>
        <v/>
      </c>
    </row>
    <row r="431" ht="15" customHeight="1">
      <c r="A431" s="12" t="n">
        <v>46184</v>
      </c>
      <c r="B431" s="13" t="inlineStr">
        <is>
          <t>GLD</t>
        </is>
      </c>
      <c r="C431" s="13" t="inlineStr">
        <is>
          <t>Scout</t>
        </is>
      </c>
      <c r="D431" s="13" t="inlineStr">
        <is>
          <t>HOLD</t>
        </is>
      </c>
      <c r="E431" s="14" t="n">
        <v>0.45</v>
      </c>
      <c r="F431" s="13" t="inlineStr">
        <is>
          <t>MEDIUM</t>
        </is>
      </c>
      <c r="G431" s="15" t="n">
        <v>373.7568</v>
      </c>
      <c r="H431" s="16" t="n">
        <v>387.12</v>
      </c>
      <c r="K431" s="26">
        <f>IF(H431="","",(H431-G431)/G431)</f>
        <v/>
      </c>
      <c r="L431" s="26">
        <f>IF(I431="","",(I431-G431)/G431)</f>
        <v/>
      </c>
      <c r="M431" s="26">
        <f>IF(J431="","",(J431-G431)/G431)</f>
        <v/>
      </c>
      <c r="N431" s="27">
        <f>IF(H431="","",IF(D431="HOLD",IF(ABS(K431)&lt;0.03,"YES","NO"),IF(D431="BUY",IF(K431&gt;0,"YES","NO"),IF(D431="SELL",IF(K431&lt;0,"YES","NO"),""))))</f>
        <v/>
      </c>
    </row>
    <row r="432" ht="15" customHeight="1">
      <c r="A432" s="12" t="n">
        <v>46185</v>
      </c>
      <c r="B432" s="13" t="inlineStr">
        <is>
          <t>AAPL</t>
        </is>
      </c>
      <c r="C432" s="13" t="inlineStr">
        <is>
          <t>Roth IRA</t>
        </is>
      </c>
      <c r="D432" s="13" t="inlineStr">
        <is>
          <t>HOLD</t>
        </is>
      </c>
      <c r="E432" s="14" t="n">
        <v>0.52</v>
      </c>
      <c r="F432" s="13" t="inlineStr">
        <is>
          <t>MEDIUM</t>
        </is>
      </c>
      <c r="G432" s="15" t="n">
        <v>292.07</v>
      </c>
      <c r="H432" s="16" t="n">
        <v>297.01</v>
      </c>
      <c r="K432" s="26">
        <f>IF(H432="","",(H432-G432)/G432)</f>
        <v/>
      </c>
      <c r="L432" s="26">
        <f>IF(I432="","",(I432-G432)/G432)</f>
        <v/>
      </c>
      <c r="M432" s="26">
        <f>IF(J432="","",(J432-G432)/G432)</f>
        <v/>
      </c>
      <c r="N432" s="27">
        <f>IF(H432="","",IF(D432="HOLD",IF(ABS(K432)&lt;0.03,"YES","NO"),IF(D432="BUY",IF(K432&gt;0,"YES","NO"),IF(D432="SELL",IF(K432&lt;0,"YES","NO"),""))))</f>
        <v/>
      </c>
    </row>
    <row r="433" ht="15" customHeight="1">
      <c r="A433" s="12" t="n">
        <v>46185</v>
      </c>
      <c r="B433" s="13" t="inlineStr">
        <is>
          <t>AG</t>
        </is>
      </c>
      <c r="C433" s="13" t="inlineStr">
        <is>
          <t>Individual</t>
        </is>
      </c>
      <c r="D433" s="13" t="inlineStr">
        <is>
          <t>HOLD</t>
        </is>
      </c>
      <c r="E433" s="14" t="n">
        <v>0.42</v>
      </c>
      <c r="F433" s="13" t="inlineStr">
        <is>
          <t>LOW</t>
        </is>
      </c>
      <c r="G433" s="15" t="n">
        <v>17.2</v>
      </c>
      <c r="H433" s="16" t="n">
        <v>17.72</v>
      </c>
      <c r="K433" s="26">
        <f>IF(H433="","",(H433-G433)/G433)</f>
        <v/>
      </c>
      <c r="L433" s="26">
        <f>IF(I433="","",(I433-G433)/G433)</f>
        <v/>
      </c>
      <c r="M433" s="26">
        <f>IF(J433="","",(J433-G433)/G433)</f>
        <v/>
      </c>
      <c r="N433" s="27">
        <f>IF(H433="","",IF(D433="HOLD",IF(ABS(K433)&lt;0.03,"YES","NO"),IF(D433="BUY",IF(K433&gt;0,"YES","NO"),IF(D433="SELL",IF(K433&lt;0,"YES","NO"),""))))</f>
        <v/>
      </c>
    </row>
    <row r="434" ht="15" customHeight="1">
      <c r="A434" s="12" t="n">
        <v>46185</v>
      </c>
      <c r="B434" s="13" t="inlineStr">
        <is>
          <t>AIQ</t>
        </is>
      </c>
      <c r="C434" s="13" t="inlineStr">
        <is>
          <t>Roth IRA,Individual</t>
        </is>
      </c>
      <c r="D434" s="13" t="inlineStr">
        <is>
          <t>HOLD</t>
        </is>
      </c>
      <c r="E434" s="14" t="n">
        <v>0.55</v>
      </c>
      <c r="F434" s="13" t="inlineStr">
        <is>
          <t>MEDIUM</t>
        </is>
      </c>
      <c r="G434" s="15" t="n">
        <v>63.8</v>
      </c>
      <c r="H434" s="16" t="n">
        <v>67.09</v>
      </c>
      <c r="K434" s="26">
        <f>IF(H434="","",(H434-G434)/G434)</f>
        <v/>
      </c>
      <c r="L434" s="26">
        <f>IF(I434="","",(I434-G434)/G434)</f>
        <v/>
      </c>
      <c r="M434" s="26">
        <f>IF(J434="","",(J434-G434)/G434)</f>
        <v/>
      </c>
      <c r="N434" s="27">
        <f>IF(H434="","",IF(D434="HOLD",IF(ABS(K434)&lt;0.03,"YES","NO"),IF(D434="BUY",IF(K434&gt;0,"YES","NO"),IF(D434="SELL",IF(K434&lt;0,"YES","NO"),""))))</f>
        <v/>
      </c>
    </row>
    <row r="435" ht="15" customHeight="1">
      <c r="A435" s="12" t="n">
        <v>46185</v>
      </c>
      <c r="B435" s="13" t="inlineStr">
        <is>
          <t>CBRS</t>
        </is>
      </c>
      <c r="C435" s="13" t="inlineStr">
        <is>
          <t>Individual</t>
        </is>
      </c>
      <c r="D435" s="13" t="inlineStr">
        <is>
          <t>HOLD</t>
        </is>
      </c>
      <c r="E435" s="14" t="n">
        <v>0.38</v>
      </c>
      <c r="F435" s="13" t="inlineStr">
        <is>
          <t>MEDIUM</t>
        </is>
      </c>
      <c r="G435" s="15" t="n">
        <v>213.9599</v>
      </c>
      <c r="H435" s="16" t="n">
        <v>224.43</v>
      </c>
      <c r="K435" s="26">
        <f>IF(H435="","",(H435-G435)/G435)</f>
        <v/>
      </c>
      <c r="L435" s="26">
        <f>IF(I435="","",(I435-G435)/G435)</f>
        <v/>
      </c>
      <c r="M435" s="26">
        <f>IF(J435="","",(J435-G435)/G435)</f>
        <v/>
      </c>
      <c r="N435" s="27">
        <f>IF(H435="","",IF(D435="HOLD",IF(ABS(K435)&lt;0.03,"YES","NO"),IF(D435="BUY",IF(K435&gt;0,"YES","NO"),IF(D435="SELL",IF(K435&lt;0,"YES","NO"),""))))</f>
        <v/>
      </c>
    </row>
    <row r="436" ht="15" customHeight="1">
      <c r="A436" s="12" t="n">
        <v>46185</v>
      </c>
      <c r="B436" s="13" t="inlineStr">
        <is>
          <t>CORN</t>
        </is>
      </c>
      <c r="C436" s="13" t="inlineStr">
        <is>
          <t>Individual</t>
        </is>
      </c>
      <c r="D436" s="13" t="inlineStr">
        <is>
          <t>HOLD</t>
        </is>
      </c>
      <c r="E436" s="14" t="n">
        <v>0.42</v>
      </c>
      <c r="F436" s="13" t="inlineStr">
        <is>
          <t>MEDIUM</t>
        </is>
      </c>
      <c r="G436" s="15" t="n">
        <v>16.8875</v>
      </c>
      <c r="H436" s="16" t="n">
        <v>16.77</v>
      </c>
      <c r="K436" s="26">
        <f>IF(H436="","",(H436-G436)/G436)</f>
        <v/>
      </c>
      <c r="L436" s="26">
        <f>IF(I436="","",(I436-G436)/G436)</f>
        <v/>
      </c>
      <c r="M436" s="26">
        <f>IF(J436="","",(J436-G436)/G436)</f>
        <v/>
      </c>
      <c r="N436" s="27">
        <f>IF(H436="","",IF(D436="HOLD",IF(ABS(K436)&lt;0.03,"YES","NO"),IF(D436="BUY",IF(K436&gt;0,"YES","NO"),IF(D436="SELL",IF(K436&lt;0,"YES","NO"),""))))</f>
        <v/>
      </c>
    </row>
    <row r="437" ht="15" customHeight="1">
      <c r="A437" s="12" t="n">
        <v>46185</v>
      </c>
      <c r="B437" s="13" t="inlineStr">
        <is>
          <t>DOW</t>
        </is>
      </c>
      <c r="C437" s="13" t="inlineStr">
        <is>
          <t>Roth IRA,Individual</t>
        </is>
      </c>
      <c r="D437" s="13" t="inlineStr">
        <is>
          <t>HOLD</t>
        </is>
      </c>
      <c r="E437" s="14" t="n">
        <v>0.38</v>
      </c>
      <c r="F437" s="13" t="inlineStr">
        <is>
          <t>HIGH</t>
        </is>
      </c>
      <c r="G437" s="15" t="n">
        <v>34.115</v>
      </c>
      <c r="H437" s="16" t="n">
        <v>30.79</v>
      </c>
      <c r="K437" s="26">
        <f>IF(H437="","",(H437-G437)/G437)</f>
        <v/>
      </c>
      <c r="L437" s="26">
        <f>IF(I437="","",(I437-G437)/G437)</f>
        <v/>
      </c>
      <c r="M437" s="26">
        <f>IF(J437="","",(J437-G437)/G437)</f>
        <v/>
      </c>
      <c r="N437" s="27">
        <f>IF(H437="","",IF(D437="HOLD",IF(ABS(K437)&lt;0.03,"YES","NO"),IF(D437="BUY",IF(K437&gt;0,"YES","NO"),IF(D437="SELL",IF(K437&lt;0,"YES","NO"),""))))</f>
        <v/>
      </c>
    </row>
    <row r="438" ht="15" customHeight="1">
      <c r="A438" s="12" t="n">
        <v>46185</v>
      </c>
      <c r="B438" s="13" t="inlineStr">
        <is>
          <t>FTI</t>
        </is>
      </c>
      <c r="C438" s="13" t="inlineStr">
        <is>
          <t>Individual</t>
        </is>
      </c>
      <c r="D438" s="13" t="inlineStr">
        <is>
          <t>HOLD</t>
        </is>
      </c>
      <c r="E438" s="14" t="n">
        <v>0.58</v>
      </c>
      <c r="F438" s="13" t="inlineStr">
        <is>
          <t>MEDIUM</t>
        </is>
      </c>
      <c r="G438" s="15" t="n">
        <v>70.25</v>
      </c>
      <c r="H438" s="16" t="n">
        <v>67.39</v>
      </c>
      <c r="K438" s="26">
        <f>IF(H438="","",(H438-G438)/G438)</f>
        <v/>
      </c>
      <c r="L438" s="26">
        <f>IF(I438="","",(I438-G438)/G438)</f>
        <v/>
      </c>
      <c r="M438" s="26">
        <f>IF(J438="","",(J438-G438)/G438)</f>
        <v/>
      </c>
      <c r="N438" s="27">
        <f>IF(H438="","",IF(D438="HOLD",IF(ABS(K438)&lt;0.03,"YES","NO"),IF(D438="BUY",IF(K438&gt;0,"YES","NO"),IF(D438="SELL",IF(K438&lt;0,"YES","NO"),""))))</f>
        <v/>
      </c>
    </row>
    <row r="439" ht="15" customHeight="1">
      <c r="A439" s="12" t="n">
        <v>46185</v>
      </c>
      <c r="B439" s="13" t="inlineStr">
        <is>
          <t>GM</t>
        </is>
      </c>
      <c r="C439" s="13" t="inlineStr">
        <is>
          <t>Roth IRA,Individual</t>
        </is>
      </c>
      <c r="D439" s="13" t="inlineStr">
        <is>
          <t>HOLD</t>
        </is>
      </c>
      <c r="E439" s="14" t="n">
        <v>0.55</v>
      </c>
      <c r="F439" s="13" t="inlineStr">
        <is>
          <t>MEDIUM</t>
        </is>
      </c>
      <c r="G439" s="15" t="n">
        <v>81.045</v>
      </c>
      <c r="H439" s="16" t="n">
        <v>80.43000000000001</v>
      </c>
      <c r="K439" s="26">
        <f>IF(H439="","",(H439-G439)/G439)</f>
        <v/>
      </c>
      <c r="L439" s="26">
        <f>IF(I439="","",(I439-G439)/G439)</f>
        <v/>
      </c>
      <c r="M439" s="26">
        <f>IF(J439="","",(J439-G439)/G439)</f>
        <v/>
      </c>
      <c r="N439" s="27">
        <f>IF(H439="","",IF(D439="HOLD",IF(ABS(K439)&lt;0.03,"YES","NO"),IF(D439="BUY",IF(K439&gt;0,"YES","NO"),IF(D439="SELL",IF(K439&lt;0,"YES","NO"),""))))</f>
        <v/>
      </c>
    </row>
    <row r="440" ht="15" customHeight="1">
      <c r="A440" s="12" t="n">
        <v>46185</v>
      </c>
      <c r="B440" s="13" t="inlineStr">
        <is>
          <t>JPM</t>
        </is>
      </c>
      <c r="C440" s="13" t="inlineStr">
        <is>
          <t>Roth IRA</t>
        </is>
      </c>
      <c r="D440" s="13" t="inlineStr">
        <is>
          <t>HOLD</t>
        </is>
      </c>
      <c r="E440" s="14" t="n">
        <v>0.62</v>
      </c>
      <c r="F440" s="13" t="inlineStr">
        <is>
          <t>MEDIUM</t>
        </is>
      </c>
      <c r="G440" s="15" t="n">
        <v>318.5</v>
      </c>
      <c r="H440" s="16" t="n">
        <v>331.48</v>
      </c>
      <c r="K440" s="26">
        <f>IF(H440="","",(H440-G440)/G440)</f>
        <v/>
      </c>
      <c r="L440" s="26">
        <f>IF(I440="","",(I440-G440)/G440)</f>
        <v/>
      </c>
      <c r="M440" s="26">
        <f>IF(J440="","",(J440-G440)/G440)</f>
        <v/>
      </c>
      <c r="N440" s="27">
        <f>IF(H440="","",IF(D440="HOLD",IF(ABS(K440)&lt;0.03,"YES","NO"),IF(D440="BUY",IF(K440&gt;0,"YES","NO"),IF(D440="SELL",IF(K440&lt;0,"YES","NO"),""))))</f>
        <v/>
      </c>
    </row>
    <row r="441" ht="15" customHeight="1">
      <c r="A441" s="12" t="n">
        <v>46185</v>
      </c>
      <c r="B441" s="13" t="inlineStr">
        <is>
          <t>MSFT</t>
        </is>
      </c>
      <c r="C441" s="13" t="inlineStr">
        <is>
          <t>Roth IRA,Individual</t>
        </is>
      </c>
      <c r="D441" s="13" t="inlineStr">
        <is>
          <t>HOLD</t>
        </is>
      </c>
      <c r="E441" s="14" t="n">
        <v>0.52</v>
      </c>
      <c r="F441" s="13" t="inlineStr">
        <is>
          <t>MEDIUM</t>
        </is>
      </c>
      <c r="G441" s="15" t="n">
        <v>384.57</v>
      </c>
      <c r="H441" s="16" t="n">
        <v>367.34</v>
      </c>
      <c r="K441" s="26">
        <f>IF(H441="","",(H441-G441)/G441)</f>
        <v/>
      </c>
      <c r="L441" s="26">
        <f>IF(I441="","",(I441-G441)/G441)</f>
        <v/>
      </c>
      <c r="M441" s="26">
        <f>IF(J441="","",(J441-G441)/G441)</f>
        <v/>
      </c>
      <c r="N441" s="27">
        <f>IF(H441="","",IF(D441="HOLD",IF(ABS(K441)&lt;0.03,"YES","NO"),IF(D441="BUY",IF(K441&gt;0,"YES","NO"),IF(D441="SELL",IF(K441&lt;0,"YES","NO"),""))))</f>
        <v/>
      </c>
    </row>
    <row r="442" ht="15" customHeight="1">
      <c r="A442" s="12" t="n">
        <v>46185</v>
      </c>
      <c r="B442" s="13" t="inlineStr">
        <is>
          <t>NKE</t>
        </is>
      </c>
      <c r="C442" s="13" t="inlineStr">
        <is>
          <t>Roth IRA</t>
        </is>
      </c>
      <c r="D442" s="13" t="inlineStr">
        <is>
          <t>HOLD</t>
        </is>
      </c>
      <c r="E442" s="14" t="n">
        <v>0.42</v>
      </c>
      <c r="F442" s="13" t="inlineStr">
        <is>
          <t>HIGH</t>
        </is>
      </c>
      <c r="G442" s="15" t="n">
        <v>45.325</v>
      </c>
      <c r="H442" s="16" t="n">
        <v>43.19</v>
      </c>
      <c r="K442" s="26">
        <f>IF(H442="","",(H442-G442)/G442)</f>
        <v/>
      </c>
      <c r="L442" s="26">
        <f>IF(I442="","",(I442-G442)/G442)</f>
        <v/>
      </c>
      <c r="M442" s="26">
        <f>IF(J442="","",(J442-G442)/G442)</f>
        <v/>
      </c>
      <c r="N442" s="27">
        <f>IF(H442="","",IF(D442="HOLD",IF(ABS(K442)&lt;0.03,"YES","NO"),IF(D442="BUY",IF(K442&gt;0,"YES","NO"),IF(D442="SELL",IF(K442&lt;0,"YES","NO"),""))))</f>
        <v/>
      </c>
    </row>
    <row r="443" ht="15" customHeight="1">
      <c r="A443" s="12" t="n">
        <v>46185</v>
      </c>
      <c r="B443" s="13" t="inlineStr">
        <is>
          <t>NTR</t>
        </is>
      </c>
      <c r="C443" s="13" t="inlineStr">
        <is>
          <t>Roth IRA,Individual</t>
        </is>
      </c>
      <c r="D443" s="13" t="inlineStr">
        <is>
          <t>HOLD</t>
        </is>
      </c>
      <c r="E443" s="14" t="n">
        <v>0.52</v>
      </c>
      <c r="F443" s="13" t="inlineStr">
        <is>
          <t>MEDIUM</t>
        </is>
      </c>
      <c r="G443" s="15" t="n">
        <v>67.3</v>
      </c>
      <c r="H443" s="16" t="n">
        <v>62.25</v>
      </c>
      <c r="K443" s="26">
        <f>IF(H443="","",(H443-G443)/G443)</f>
        <v/>
      </c>
      <c r="L443" s="26">
        <f>IF(I443="","",(I443-G443)/G443)</f>
        <v/>
      </c>
      <c r="M443" s="26">
        <f>IF(J443="","",(J443-G443)/G443)</f>
        <v/>
      </c>
      <c r="N443" s="27">
        <f>IF(H443="","",IF(D443="HOLD",IF(ABS(K443)&lt;0.03,"YES","NO"),IF(D443="BUY",IF(K443&gt;0,"YES","NO"),IF(D443="SELL",IF(K443&lt;0,"YES","NO"),""))))</f>
        <v/>
      </c>
    </row>
    <row r="444" ht="15" customHeight="1">
      <c r="A444" s="12" t="n">
        <v>46185</v>
      </c>
      <c r="B444" s="13" t="inlineStr">
        <is>
          <t>PM</t>
        </is>
      </c>
      <c r="C444" s="13" t="inlineStr">
        <is>
          <t>Roth IRA</t>
        </is>
      </c>
      <c r="D444" s="13" t="inlineStr">
        <is>
          <t>HOLD</t>
        </is>
      </c>
      <c r="E444" s="14" t="n">
        <v>0.65</v>
      </c>
      <c r="F444" s="13" t="inlineStr">
        <is>
          <t>HIGH</t>
        </is>
      </c>
      <c r="G444" s="15" t="n">
        <v>184.01</v>
      </c>
      <c r="H444" s="16" t="n">
        <v>173.17</v>
      </c>
      <c r="K444" s="26">
        <f>IF(H444="","",(H444-G444)/G444)</f>
        <v/>
      </c>
      <c r="L444" s="26">
        <f>IF(I444="","",(I444-G444)/G444)</f>
        <v/>
      </c>
      <c r="M444" s="26">
        <f>IF(J444="","",(J444-G444)/G444)</f>
        <v/>
      </c>
      <c r="N444" s="27">
        <f>IF(H444="","",IF(D444="HOLD",IF(ABS(K444)&lt;0.03,"YES","NO"),IF(D444="BUY",IF(K444&gt;0,"YES","NO"),IF(D444="SELL",IF(K444&lt;0,"YES","NO"),""))))</f>
        <v/>
      </c>
    </row>
    <row r="445" ht="15" customHeight="1">
      <c r="A445" s="12" t="n">
        <v>46185</v>
      </c>
      <c r="B445" s="13" t="inlineStr">
        <is>
          <t>PWR</t>
        </is>
      </c>
      <c r="C445" s="13" t="inlineStr">
        <is>
          <t>Roth IRA</t>
        </is>
      </c>
      <c r="D445" s="13" t="inlineStr">
        <is>
          <t>HOLD</t>
        </is>
      </c>
      <c r="E445" s="14" t="n">
        <v>0.62</v>
      </c>
      <c r="F445" s="13" t="inlineStr">
        <is>
          <t>HIGH</t>
        </is>
      </c>
      <c r="G445" s="15" t="n">
        <v>705.27</v>
      </c>
      <c r="H445" s="16" t="n">
        <v>740.14</v>
      </c>
      <c r="K445" s="26">
        <f>IF(H445="","",(H445-G445)/G445)</f>
        <v/>
      </c>
      <c r="L445" s="26">
        <f>IF(I445="","",(I445-G445)/G445)</f>
        <v/>
      </c>
      <c r="M445" s="26">
        <f>IF(J445="","",(J445-G445)/G445)</f>
        <v/>
      </c>
      <c r="N445" s="27">
        <f>IF(H445="","",IF(D445="HOLD",IF(ABS(K445)&lt;0.03,"YES","NO"),IF(D445="BUY",IF(K445&gt;0,"YES","NO"),IF(D445="SELL",IF(K445&lt;0,"YES","NO"),""))))</f>
        <v/>
      </c>
    </row>
    <row r="446" ht="15" customHeight="1">
      <c r="A446" s="12" t="n">
        <v>46185</v>
      </c>
      <c r="B446" s="13" t="inlineStr">
        <is>
          <t>RTX</t>
        </is>
      </c>
      <c r="C446" s="13" t="inlineStr">
        <is>
          <t>Individual</t>
        </is>
      </c>
      <c r="D446" s="13" t="inlineStr">
        <is>
          <t>HOLD</t>
        </is>
      </c>
      <c r="E446" s="14" t="n">
        <v>0.58</v>
      </c>
      <c r="F446" s="13" t="inlineStr">
        <is>
          <t>MEDIUM</t>
        </is>
      </c>
      <c r="G446" s="15" t="n">
        <v>183.7</v>
      </c>
      <c r="H446" s="16" t="n">
        <v>181.83</v>
      </c>
      <c r="K446" s="26">
        <f>IF(H446="","",(H446-G446)/G446)</f>
        <v/>
      </c>
      <c r="L446" s="26">
        <f>IF(I446="","",(I446-G446)/G446)</f>
        <v/>
      </c>
      <c r="M446" s="26">
        <f>IF(J446="","",(J446-G446)/G446)</f>
        <v/>
      </c>
      <c r="N446" s="27">
        <f>IF(H446="","",IF(D446="HOLD",IF(ABS(K446)&lt;0.03,"YES","NO"),IF(D446="BUY",IF(K446&gt;0,"YES","NO"),IF(D446="SELL",IF(K446&lt;0,"YES","NO"),""))))</f>
        <v/>
      </c>
    </row>
    <row r="447" ht="15" customHeight="1">
      <c r="A447" s="12" t="n">
        <v>46185</v>
      </c>
      <c r="B447" s="13" t="inlineStr">
        <is>
          <t>SCHD</t>
        </is>
      </c>
      <c r="C447" s="13" t="inlineStr">
        <is>
          <t>Roth IRA</t>
        </is>
      </c>
      <c r="D447" s="13" t="inlineStr">
        <is>
          <t>HOLD</t>
        </is>
      </c>
      <c r="E447" s="14" t="n">
        <v>0.72</v>
      </c>
      <c r="F447" s="13" t="inlineStr">
        <is>
          <t>HIGH</t>
        </is>
      </c>
      <c r="G447" s="15" t="n">
        <v>32.765</v>
      </c>
      <c r="H447" s="16" t="n">
        <v>31.89</v>
      </c>
      <c r="K447" s="26">
        <f>IF(H447="","",(H447-G447)/G447)</f>
        <v/>
      </c>
      <c r="L447" s="26">
        <f>IF(I447="","",(I447-G447)/G447)</f>
        <v/>
      </c>
      <c r="M447" s="26">
        <f>IF(J447="","",(J447-G447)/G447)</f>
        <v/>
      </c>
      <c r="N447" s="27">
        <f>IF(H447="","",IF(D447="HOLD",IF(ABS(K447)&lt;0.03,"YES","NO"),IF(D447="BUY",IF(K447&gt;0,"YES","NO"),IF(D447="SELL",IF(K447&lt;0,"YES","NO"),""))))</f>
        <v/>
      </c>
    </row>
    <row r="448" ht="15" customHeight="1">
      <c r="A448" s="12" t="n">
        <v>46185</v>
      </c>
      <c r="B448" s="13" t="inlineStr">
        <is>
          <t>SND</t>
        </is>
      </c>
      <c r="C448" s="13" t="inlineStr">
        <is>
          <t>Individual</t>
        </is>
      </c>
      <c r="D448" s="13" t="inlineStr">
        <is>
          <t>HOLD</t>
        </is>
      </c>
      <c r="E448" s="14" t="n">
        <v>0.45</v>
      </c>
      <c r="F448" s="13" t="inlineStr">
        <is>
          <t>LOW</t>
        </is>
      </c>
      <c r="G448" s="15" t="n">
        <v>5.31</v>
      </c>
      <c r="H448" s="16" t="n">
        <v>4.65</v>
      </c>
      <c r="K448" s="26">
        <f>IF(H448="","",(H448-G448)/G448)</f>
        <v/>
      </c>
      <c r="L448" s="26">
        <f>IF(I448="","",(I448-G448)/G448)</f>
        <v/>
      </c>
      <c r="M448" s="26">
        <f>IF(J448="","",(J448-G448)/G448)</f>
        <v/>
      </c>
      <c r="N448" s="27">
        <f>IF(H448="","",IF(D448="HOLD",IF(ABS(K448)&lt;0.03,"YES","NO"),IF(D448="BUY",IF(K448&gt;0,"YES","NO"),IF(D448="SELL",IF(K448&lt;0,"YES","NO"),""))))</f>
        <v/>
      </c>
    </row>
    <row r="449" ht="15" customHeight="1">
      <c r="A449" s="12" t="n">
        <v>46185</v>
      </c>
      <c r="B449" s="13" t="inlineStr">
        <is>
          <t>WMT</t>
        </is>
      </c>
      <c r="C449" s="13" t="inlineStr">
        <is>
          <t>Roth IRA,Individual</t>
        </is>
      </c>
      <c r="D449" s="13" t="inlineStr">
        <is>
          <t>HOLD</t>
        </is>
      </c>
      <c r="E449" s="14" t="n">
        <v>0.52</v>
      </c>
      <c r="F449" s="13" t="inlineStr">
        <is>
          <t>MEDIUM</t>
        </is>
      </c>
      <c r="G449" s="15" t="n">
        <v>120.155</v>
      </c>
      <c r="H449" s="16" t="n">
        <v>117.18</v>
      </c>
      <c r="K449" s="26">
        <f>IF(H449="","",(H449-G449)/G449)</f>
        <v/>
      </c>
      <c r="L449" s="26">
        <f>IF(I449="","",(I449-G449)/G449)</f>
        <v/>
      </c>
      <c r="M449" s="26">
        <f>IF(J449="","",(J449-G449)/G449)</f>
        <v/>
      </c>
      <c r="N449" s="27">
        <f>IF(H449="","",IF(D449="HOLD",IF(ABS(K449)&lt;0.03,"YES","NO"),IF(D449="BUY",IF(K449&gt;0,"YES","NO"),IF(D449="SELL",IF(K449&lt;0,"YES","NO"),""))))</f>
        <v/>
      </c>
    </row>
    <row r="450" ht="15" customHeight="1">
      <c r="A450" s="12" t="n">
        <v>46185</v>
      </c>
      <c r="B450" s="13" t="inlineStr">
        <is>
          <t>XLU</t>
        </is>
      </c>
      <c r="C450" s="13" t="inlineStr">
        <is>
          <t>Roth IRA</t>
        </is>
      </c>
      <c r="D450" s="13" t="inlineStr">
        <is>
          <t>HOLD</t>
        </is>
      </c>
      <c r="E450" s="14" t="n">
        <v>0.55</v>
      </c>
      <c r="F450" s="13" t="inlineStr">
        <is>
          <t>MEDIUM</t>
        </is>
      </c>
      <c r="G450" s="15" t="n">
        <v>44.5</v>
      </c>
      <c r="H450" s="16" t="n">
        <v>44.72</v>
      </c>
      <c r="K450" s="26">
        <f>IF(H450="","",(H450-G450)/G450)</f>
        <v/>
      </c>
      <c r="L450" s="26">
        <f>IF(I450="","",(I450-G450)/G450)</f>
        <v/>
      </c>
      <c r="M450" s="26">
        <f>IF(J450="","",(J450-G450)/G450)</f>
        <v/>
      </c>
      <c r="N450" s="27">
        <f>IF(H450="","",IF(D450="HOLD",IF(ABS(K450)&lt;0.03,"YES","NO"),IF(D450="BUY",IF(K450&gt;0,"YES","NO"),IF(D450="SELL",IF(K450&lt;0,"YES","NO"),""))))</f>
        <v/>
      </c>
    </row>
    <row r="451" ht="15" customHeight="1">
      <c r="A451" s="12" t="n">
        <v>46185</v>
      </c>
      <c r="B451" s="13" t="inlineStr">
        <is>
          <t>SPY</t>
        </is>
      </c>
      <c r="C451" s="13" t="inlineStr">
        <is>
          <t>Scout</t>
        </is>
      </c>
      <c r="D451" s="13" t="inlineStr">
        <is>
          <t>HOLD</t>
        </is>
      </c>
      <c r="E451" s="14" t="n">
        <v>0.52</v>
      </c>
      <c r="F451" s="13" t="inlineStr">
        <is>
          <t>HIGH</t>
        </is>
      </c>
      <c r="G451" s="15" t="n">
        <v>739.74</v>
      </c>
      <c r="H451" s="16" t="n">
        <v>744.39</v>
      </c>
      <c r="K451" s="26">
        <f>IF(H451="","",(H451-G451)/G451)</f>
        <v/>
      </c>
      <c r="L451" s="26">
        <f>IF(I451="","",(I451-G451)/G451)</f>
        <v/>
      </c>
      <c r="M451" s="26">
        <f>IF(J451="","",(J451-G451)/G451)</f>
        <v/>
      </c>
      <c r="N451" s="27">
        <f>IF(H451="","",IF(D451="HOLD",IF(ABS(K451)&lt;0.03,"YES","NO"),IF(D451="BUY",IF(K451&gt;0,"YES","NO"),IF(D451="SELL",IF(K451&lt;0,"YES","NO"),""))))</f>
        <v/>
      </c>
    </row>
    <row r="452" ht="15" customHeight="1">
      <c r="A452" s="12" t="n">
        <v>46185</v>
      </c>
      <c r="B452" s="13" t="inlineStr">
        <is>
          <t>QQQ</t>
        </is>
      </c>
      <c r="C452" s="13" t="inlineStr">
        <is>
          <t>Scout</t>
        </is>
      </c>
      <c r="D452" s="13" t="inlineStr">
        <is>
          <t>HOLD</t>
        </is>
      </c>
      <c r="E452" s="14" t="n">
        <v>0.45</v>
      </c>
      <c r="F452" s="13" t="inlineStr">
        <is>
          <t>MEDIUM</t>
        </is>
      </c>
      <c r="G452" s="15" t="n">
        <v>718.54</v>
      </c>
      <c r="H452" s="16" t="n">
        <v>737.95</v>
      </c>
      <c r="K452" s="26">
        <f>IF(H452="","",(H452-G452)/G452)</f>
        <v/>
      </c>
      <c r="L452" s="26">
        <f>IF(I452="","",(I452-G452)/G452)</f>
        <v/>
      </c>
      <c r="M452" s="26">
        <f>IF(J452="","",(J452-G452)/G452)</f>
        <v/>
      </c>
      <c r="N452" s="27">
        <f>IF(H452="","",IF(D452="HOLD",IF(ABS(K452)&lt;0.03,"YES","NO"),IF(D452="BUY",IF(K452&gt;0,"YES","NO"),IF(D452="SELL",IF(K452&lt;0,"YES","NO"),""))))</f>
        <v/>
      </c>
    </row>
    <row r="453" ht="15" customHeight="1">
      <c r="A453" s="12" t="n">
        <v>46185</v>
      </c>
      <c r="B453" s="13" t="inlineStr">
        <is>
          <t>VTI</t>
        </is>
      </c>
      <c r="C453" s="13" t="inlineStr">
        <is>
          <t>Scout</t>
        </is>
      </c>
      <c r="D453" s="13" t="inlineStr">
        <is>
          <t>BUY</t>
        </is>
      </c>
      <c r="E453" s="14" t="n">
        <v>0.68</v>
      </c>
      <c r="F453" s="13" t="inlineStr">
        <is>
          <t>HIGH</t>
        </is>
      </c>
      <c r="G453" s="15" t="n">
        <v>365.62</v>
      </c>
      <c r="H453" s="16" t="n">
        <v>368.81</v>
      </c>
      <c r="K453" s="26">
        <f>IF(H453="","",(H453-G453)/G453)</f>
        <v/>
      </c>
      <c r="L453" s="26">
        <f>IF(I453="","",(I453-G453)/G453)</f>
        <v/>
      </c>
      <c r="M453" s="26">
        <f>IF(J453="","",(J453-G453)/G453)</f>
        <v/>
      </c>
      <c r="N453" s="27">
        <f>IF(H453="","",IF(D453="HOLD",IF(ABS(K453)&lt;0.03,"YES","NO"),IF(D453="BUY",IF(K453&gt;0,"YES","NO"),IF(D453="SELL",IF(K453&lt;0,"YES","NO"),""))))</f>
        <v/>
      </c>
    </row>
    <row r="454" ht="15" customHeight="1">
      <c r="A454" s="12" t="n">
        <v>46185</v>
      </c>
      <c r="B454" s="13" t="inlineStr">
        <is>
          <t>NVDA</t>
        </is>
      </c>
      <c r="C454" s="13" t="inlineStr">
        <is>
          <t>Scout</t>
        </is>
      </c>
      <c r="D454" s="13" t="inlineStr">
        <is>
          <t>BUY</t>
        </is>
      </c>
      <c r="E454" s="14" t="n">
        <v>0.62</v>
      </c>
      <c r="F454" s="13" t="inlineStr">
        <is>
          <t>MEDIUM</t>
        </is>
      </c>
      <c r="G454" s="15" t="n">
        <v>205.597</v>
      </c>
      <c r="H454" s="16" t="n">
        <v>208.65</v>
      </c>
      <c r="K454" s="26">
        <f>IF(H454="","",(H454-G454)/G454)</f>
        <v/>
      </c>
      <c r="L454" s="26">
        <f>IF(I454="","",(I454-G454)/G454)</f>
        <v/>
      </c>
      <c r="M454" s="26">
        <f>IF(J454="","",(J454-G454)/G454)</f>
        <v/>
      </c>
      <c r="N454" s="27">
        <f>IF(H454="","",IF(D454="HOLD",IF(ABS(K454)&lt;0.03,"YES","NO"),IF(D454="BUY",IF(K454&gt;0,"YES","NO"),IF(D454="SELL",IF(K454&lt;0,"YES","NO"),""))))</f>
        <v/>
      </c>
    </row>
    <row r="455" ht="15" customHeight="1">
      <c r="A455" s="12" t="n">
        <v>46185</v>
      </c>
      <c r="B455" s="13" t="inlineStr">
        <is>
          <t>GLD</t>
        </is>
      </c>
      <c r="C455" s="13" t="inlineStr">
        <is>
          <t>Scout</t>
        </is>
      </c>
      <c r="D455" s="13" t="inlineStr">
        <is>
          <t>HOLD</t>
        </is>
      </c>
      <c r="E455" s="14" t="n">
        <v>0.48</v>
      </c>
      <c r="F455" s="13" t="inlineStr">
        <is>
          <t>MEDIUM</t>
        </is>
      </c>
      <c r="G455" s="15" t="n">
        <v>384.33</v>
      </c>
      <c r="H455" s="16" t="n">
        <v>384.59</v>
      </c>
      <c r="K455" s="26">
        <f>IF(H455="","",(H455-G455)/G455)</f>
        <v/>
      </c>
      <c r="L455" s="26">
        <f>IF(I455="","",(I455-G455)/G455)</f>
        <v/>
      </c>
      <c r="M455" s="26">
        <f>IF(J455="","",(J455-G455)/G455)</f>
        <v/>
      </c>
      <c r="N455" s="27">
        <f>IF(H455="","",IF(D455="HOLD",IF(ABS(K455)&lt;0.03,"YES","NO"),IF(D455="BUY",IF(K455&gt;0,"YES","NO"),IF(D455="SELL",IF(K455&lt;0,"YES","NO"),""))))</f>
        <v/>
      </c>
    </row>
    <row r="456" ht="15" customHeight="1">
      <c r="A456" s="12" t="n">
        <v>46188</v>
      </c>
      <c r="B456" s="13" t="inlineStr">
        <is>
          <t>AAPL</t>
        </is>
      </c>
      <c r="C456" s="13" t="inlineStr">
        <is>
          <t>Roth IRA</t>
        </is>
      </c>
      <c r="D456" s="13" t="inlineStr">
        <is>
          <t>HOLD</t>
        </is>
      </c>
      <c r="E456" s="14" t="n">
        <v>0.58</v>
      </c>
      <c r="F456" s="13" t="inlineStr">
        <is>
          <t>HIGH</t>
        </is>
      </c>
      <c r="G456" s="15" t="n">
        <v>295.46</v>
      </c>
      <c r="H456" s="16" t="n">
        <v>294.3</v>
      </c>
      <c r="K456" s="26">
        <f>IF(H456="","",(H456-G456)/G456)</f>
        <v/>
      </c>
      <c r="L456" s="26">
        <f>IF(I456="","",(I456-G456)/G456)</f>
        <v/>
      </c>
      <c r="M456" s="26">
        <f>IF(J456="","",(J456-G456)/G456)</f>
        <v/>
      </c>
      <c r="N456" s="27">
        <f>IF(H456="","",IF(D456="HOLD",IF(ABS(K456)&lt;0.03,"YES","NO"),IF(D456="BUY",IF(K456&gt;0,"YES","NO"),IF(D456="SELL",IF(K456&lt;0,"YES","NO"),""))))</f>
        <v/>
      </c>
    </row>
    <row r="457" ht="15" customHeight="1">
      <c r="A457" s="12" t="n">
        <v>46188</v>
      </c>
      <c r="B457" s="13" t="inlineStr">
        <is>
          <t>AG</t>
        </is>
      </c>
      <c r="C457" s="13" t="inlineStr">
        <is>
          <t>Individual</t>
        </is>
      </c>
      <c r="D457" s="13" t="inlineStr">
        <is>
          <t>HOLD</t>
        </is>
      </c>
      <c r="E457" s="14" t="n">
        <v>0.52</v>
      </c>
      <c r="F457" s="13" t="inlineStr">
        <is>
          <t>MEDIUM</t>
        </is>
      </c>
      <c r="G457" s="15" t="n">
        <v>19.24</v>
      </c>
      <c r="H457" s="16" t="n">
        <v>16.5</v>
      </c>
      <c r="K457" s="26">
        <f>IF(H457="","",(H457-G457)/G457)</f>
        <v/>
      </c>
      <c r="L457" s="26">
        <f>IF(I457="","",(I457-G457)/G457)</f>
        <v/>
      </c>
      <c r="M457" s="26">
        <f>IF(J457="","",(J457-G457)/G457)</f>
        <v/>
      </c>
      <c r="N457" s="27">
        <f>IF(H457="","",IF(D457="HOLD",IF(ABS(K457)&lt;0.03,"YES","NO"),IF(D457="BUY",IF(K457&gt;0,"YES","NO"),IF(D457="SELL",IF(K457&lt;0,"YES","NO"),""))))</f>
        <v/>
      </c>
    </row>
    <row r="458" ht="15" customHeight="1">
      <c r="A458" s="12" t="n">
        <v>46188</v>
      </c>
      <c r="B458" s="13" t="inlineStr">
        <is>
          <t>AIQ</t>
        </is>
      </c>
      <c r="C458" s="13" t="inlineStr">
        <is>
          <t>Roth IRA,Individual</t>
        </is>
      </c>
      <c r="D458" s="13" t="inlineStr">
        <is>
          <t>HOLD</t>
        </is>
      </c>
      <c r="E458" s="14" t="n">
        <v>0.62</v>
      </c>
      <c r="F458" s="13" t="inlineStr">
        <is>
          <t>HIGH</t>
        </is>
      </c>
      <c r="G458" s="15" t="n">
        <v>66.20999999999999</v>
      </c>
      <c r="H458" s="16" t="n">
        <v>63.35</v>
      </c>
      <c r="K458" s="26">
        <f>IF(H458="","",(H458-G458)/G458)</f>
        <v/>
      </c>
      <c r="L458" s="26">
        <f>IF(I458="","",(I458-G458)/G458)</f>
        <v/>
      </c>
      <c r="M458" s="26">
        <f>IF(J458="","",(J458-G458)/G458)</f>
        <v/>
      </c>
      <c r="N458" s="27">
        <f>IF(H458="","",IF(D458="HOLD",IF(ABS(K458)&lt;0.03,"YES","NO"),IF(D458="BUY",IF(K458&gt;0,"YES","NO"),IF(D458="SELL",IF(K458&lt;0,"YES","NO"),""))))</f>
        <v/>
      </c>
    </row>
    <row r="459" ht="15" customHeight="1">
      <c r="A459" s="12" t="n">
        <v>46188</v>
      </c>
      <c r="B459" s="13" t="inlineStr">
        <is>
          <t>CBRS</t>
        </is>
      </c>
      <c r="C459" s="13" t="inlineStr">
        <is>
          <t>Individual</t>
        </is>
      </c>
      <c r="D459" s="13" t="inlineStr">
        <is>
          <t>HOLD</t>
        </is>
      </c>
      <c r="E459" s="14" t="n">
        <v>0.42</v>
      </c>
      <c r="F459" s="13" t="inlineStr">
        <is>
          <t>MEDIUM</t>
        </is>
      </c>
      <c r="G459" s="15" t="n">
        <v>214.0599</v>
      </c>
      <c r="H459" s="16" t="n">
        <v>226.72</v>
      </c>
      <c r="K459" s="26">
        <f>IF(H459="","",(H459-G459)/G459)</f>
        <v/>
      </c>
      <c r="L459" s="26">
        <f>IF(I459="","",(I459-G459)/G459)</f>
        <v/>
      </c>
      <c r="M459" s="26">
        <f>IF(J459="","",(J459-G459)/G459)</f>
        <v/>
      </c>
      <c r="N459" s="27">
        <f>IF(H459="","",IF(D459="HOLD",IF(ABS(K459)&lt;0.03,"YES","NO"),IF(D459="BUY",IF(K459&gt;0,"YES","NO"),IF(D459="SELL",IF(K459&lt;0,"YES","NO"),""))))</f>
        <v/>
      </c>
    </row>
    <row r="460" ht="15" customHeight="1">
      <c r="A460" s="12" t="n">
        <v>46188</v>
      </c>
      <c r="B460" s="13" t="inlineStr">
        <is>
          <t>CORN</t>
        </is>
      </c>
      <c r="C460" s="13" t="inlineStr">
        <is>
          <t>Individual</t>
        </is>
      </c>
      <c r="D460" s="13" t="inlineStr">
        <is>
          <t>HOLD</t>
        </is>
      </c>
      <c r="E460" s="14" t="n">
        <v>0.42</v>
      </c>
      <c r="F460" s="13" t="inlineStr">
        <is>
          <t>MEDIUM</t>
        </is>
      </c>
      <c r="G460" s="15" t="n">
        <v>16.88</v>
      </c>
      <c r="H460" s="16" t="n">
        <v>16.74</v>
      </c>
      <c r="K460" s="26">
        <f>IF(H460="","",(H460-G460)/G460)</f>
        <v/>
      </c>
      <c r="L460" s="26">
        <f>IF(I460="","",(I460-G460)/G460)</f>
        <v/>
      </c>
      <c r="M460" s="26">
        <f>IF(J460="","",(J460-G460)/G460)</f>
        <v/>
      </c>
      <c r="N460" s="27">
        <f>IF(H460="","",IF(D460="HOLD",IF(ABS(K460)&lt;0.03,"YES","NO"),IF(D460="BUY",IF(K460&gt;0,"YES","NO"),IF(D460="SELL",IF(K460&lt;0,"YES","NO"),""))))</f>
        <v/>
      </c>
    </row>
    <row r="461" ht="15" customHeight="1">
      <c r="A461" s="12" t="n">
        <v>46188</v>
      </c>
      <c r="B461" s="13" t="inlineStr">
        <is>
          <t>DOW</t>
        </is>
      </c>
      <c r="C461" s="13" t="inlineStr">
        <is>
          <t>Roth IRA,Individual</t>
        </is>
      </c>
      <c r="D461" s="13" t="inlineStr">
        <is>
          <t>HOLD</t>
        </is>
      </c>
      <c r="E461" s="14" t="n">
        <v>0.38</v>
      </c>
      <c r="F461" s="13" t="inlineStr">
        <is>
          <t>MEDIUM</t>
        </is>
      </c>
      <c r="G461" s="15" t="n">
        <v>32.575</v>
      </c>
      <c r="H461" s="16" t="n">
        <v>30.33</v>
      </c>
      <c r="K461" s="26">
        <f>IF(H461="","",(H461-G461)/G461)</f>
        <v/>
      </c>
      <c r="L461" s="26">
        <f>IF(I461="","",(I461-G461)/G461)</f>
        <v/>
      </c>
      <c r="M461" s="26">
        <f>IF(J461="","",(J461-G461)/G461)</f>
        <v/>
      </c>
      <c r="N461" s="27">
        <f>IF(H461="","",IF(D461="HOLD",IF(ABS(K461)&lt;0.03,"YES","NO"),IF(D461="BUY",IF(K461&gt;0,"YES","NO"),IF(D461="SELL",IF(K461&lt;0,"YES","NO"),""))))</f>
        <v/>
      </c>
    </row>
    <row r="462" ht="15" customHeight="1">
      <c r="A462" s="12" t="n">
        <v>46188</v>
      </c>
      <c r="B462" s="13" t="inlineStr">
        <is>
          <t>FTI</t>
        </is>
      </c>
      <c r="C462" s="13" t="inlineStr">
        <is>
          <t>Individual</t>
        </is>
      </c>
      <c r="D462" s="13" t="inlineStr">
        <is>
          <t>HOLD</t>
        </is>
      </c>
      <c r="E462" s="14" t="n">
        <v>0.62</v>
      </c>
      <c r="F462" s="13" t="inlineStr">
        <is>
          <t>HIGH</t>
        </is>
      </c>
      <c r="G462" s="15" t="n">
        <v>69.45999999999999</v>
      </c>
      <c r="H462" s="16" t="n">
        <v>66.14</v>
      </c>
      <c r="K462" s="26">
        <f>IF(H462="","",(H462-G462)/G462)</f>
        <v/>
      </c>
      <c r="L462" s="26">
        <f>IF(I462="","",(I462-G462)/G462)</f>
        <v/>
      </c>
      <c r="M462" s="26">
        <f>IF(J462="","",(J462-G462)/G462)</f>
        <v/>
      </c>
      <c r="N462" s="27">
        <f>IF(H462="","",IF(D462="HOLD",IF(ABS(K462)&lt;0.03,"YES","NO"),IF(D462="BUY",IF(K462&gt;0,"YES","NO"),IF(D462="SELL",IF(K462&lt;0,"YES","NO"),""))))</f>
        <v/>
      </c>
    </row>
    <row r="463" ht="15" customHeight="1">
      <c r="A463" s="12" t="n">
        <v>46188</v>
      </c>
      <c r="B463" s="13" t="inlineStr">
        <is>
          <t>GM</t>
        </is>
      </c>
      <c r="C463" s="13" t="inlineStr">
        <is>
          <t>Roth IRA,Individual</t>
        </is>
      </c>
      <c r="D463" s="13" t="inlineStr">
        <is>
          <t>HOLD</t>
        </is>
      </c>
      <c r="E463" s="14" t="n">
        <v>0.58</v>
      </c>
      <c r="F463" s="13" t="inlineStr">
        <is>
          <t>MEDIUM</t>
        </is>
      </c>
      <c r="G463" s="15" t="n">
        <v>83.47499999999999</v>
      </c>
      <c r="H463" s="16" t="n">
        <v>78.95</v>
      </c>
      <c r="K463" s="26">
        <f>IF(H463="","",(H463-G463)/G463)</f>
        <v/>
      </c>
      <c r="L463" s="26">
        <f>IF(I463="","",(I463-G463)/G463)</f>
        <v/>
      </c>
      <c r="M463" s="26">
        <f>IF(J463="","",(J463-G463)/G463)</f>
        <v/>
      </c>
      <c r="N463" s="27">
        <f>IF(H463="","",IF(D463="HOLD",IF(ABS(K463)&lt;0.03,"YES","NO"),IF(D463="BUY",IF(K463&gt;0,"YES","NO"),IF(D463="SELL",IF(K463&lt;0,"YES","NO"),""))))</f>
        <v/>
      </c>
    </row>
    <row r="464" ht="15" customHeight="1">
      <c r="A464" s="12" t="n">
        <v>46188</v>
      </c>
      <c r="B464" s="13" t="inlineStr">
        <is>
          <t>JPM</t>
        </is>
      </c>
      <c r="C464" s="13" t="inlineStr">
        <is>
          <t>Roth IRA</t>
        </is>
      </c>
      <c r="D464" s="13" t="inlineStr">
        <is>
          <t>HOLD</t>
        </is>
      </c>
      <c r="E464" s="14" t="n">
        <v>0.63</v>
      </c>
      <c r="F464" s="13" t="inlineStr">
        <is>
          <t>HIGH</t>
        </is>
      </c>
      <c r="G464" s="15" t="n">
        <v>321.52</v>
      </c>
      <c r="H464" s="16" t="n">
        <v>334.14</v>
      </c>
      <c r="K464" s="26">
        <f>IF(H464="","",(H464-G464)/G464)</f>
        <v/>
      </c>
      <c r="L464" s="26">
        <f>IF(I464="","",(I464-G464)/G464)</f>
        <v/>
      </c>
      <c r="M464" s="26">
        <f>IF(J464="","",(J464-G464)/G464)</f>
        <v/>
      </c>
      <c r="N464" s="27">
        <f>IF(H464="","",IF(D464="HOLD",IF(ABS(K464)&lt;0.03,"YES","NO"),IF(D464="BUY",IF(K464&gt;0,"YES","NO"),IF(D464="SELL",IF(K464&lt;0,"YES","NO"),""))))</f>
        <v/>
      </c>
    </row>
    <row r="465" ht="15" customHeight="1">
      <c r="A465" s="12" t="n">
        <v>46188</v>
      </c>
      <c r="B465" s="13" t="inlineStr">
        <is>
          <t>MSFT</t>
        </is>
      </c>
      <c r="C465" s="13" t="inlineStr">
        <is>
          <t>Roth IRA,Individual</t>
        </is>
      </c>
      <c r="D465" s="13" t="inlineStr">
        <is>
          <t>HOLD</t>
        </is>
      </c>
      <c r="E465" s="14" t="n">
        <v>0.55</v>
      </c>
      <c r="F465" s="13" t="inlineStr">
        <is>
          <t>HIGH</t>
        </is>
      </c>
      <c r="G465" s="15" t="n">
        <v>397.87</v>
      </c>
      <c r="H465" s="16" t="n">
        <v>373.94</v>
      </c>
      <c r="K465" s="26">
        <f>IF(H465="","",(H465-G465)/G465)</f>
        <v/>
      </c>
      <c r="L465" s="26">
        <f>IF(I465="","",(I465-G465)/G465)</f>
        <v/>
      </c>
      <c r="M465" s="26">
        <f>IF(J465="","",(J465-G465)/G465)</f>
        <v/>
      </c>
      <c r="N465" s="27">
        <f>IF(H465="","",IF(D465="HOLD",IF(ABS(K465)&lt;0.03,"YES","NO"),IF(D465="BUY",IF(K465&gt;0,"YES","NO"),IF(D465="SELL",IF(K465&lt;0,"YES","NO"),""))))</f>
        <v/>
      </c>
    </row>
    <row r="466" ht="15" customHeight="1">
      <c r="A466" s="12" t="n">
        <v>46188</v>
      </c>
      <c r="B466" s="13" t="inlineStr">
        <is>
          <t>NKE</t>
        </is>
      </c>
      <c r="C466" s="13" t="inlineStr">
        <is>
          <t>Roth IRA</t>
        </is>
      </c>
      <c r="D466" s="13" t="inlineStr">
        <is>
          <t>HOLD</t>
        </is>
      </c>
      <c r="E466" s="14" t="n">
        <v>0.52</v>
      </c>
      <c r="F466" s="13" t="inlineStr">
        <is>
          <t>HIGH</t>
        </is>
      </c>
      <c r="G466" s="15" t="n">
        <v>45.56</v>
      </c>
      <c r="H466" s="16" t="n">
        <v>42.38</v>
      </c>
      <c r="K466" s="26">
        <f>IF(H466="","",(H466-G466)/G466)</f>
        <v/>
      </c>
      <c r="L466" s="26">
        <f>IF(I466="","",(I466-G466)/G466)</f>
        <v/>
      </c>
      <c r="M466" s="26">
        <f>IF(J466="","",(J466-G466)/G466)</f>
        <v/>
      </c>
      <c r="N466" s="27">
        <f>IF(H466="","",IF(D466="HOLD",IF(ABS(K466)&lt;0.03,"YES","NO"),IF(D466="BUY",IF(K466&gt;0,"YES","NO"),IF(D466="SELL",IF(K466&lt;0,"YES","NO"),""))))</f>
        <v/>
      </c>
    </row>
    <row r="467" ht="15" customHeight="1">
      <c r="A467" s="12" t="n">
        <v>46188</v>
      </c>
      <c r="B467" s="13" t="inlineStr">
        <is>
          <t>NTR</t>
        </is>
      </c>
      <c r="C467" s="13" t="inlineStr">
        <is>
          <t>Roth IRA,Individual</t>
        </is>
      </c>
      <c r="D467" s="13" t="inlineStr">
        <is>
          <t>HOLD</t>
        </is>
      </c>
      <c r="E467" s="14" t="n">
        <v>0.52</v>
      </c>
      <c r="F467" s="13" t="inlineStr">
        <is>
          <t>HIGH</t>
        </is>
      </c>
      <c r="G467" s="15" t="n">
        <v>66.43000000000001</v>
      </c>
      <c r="H467" s="16" t="n">
        <v>61.54</v>
      </c>
      <c r="K467" s="26">
        <f>IF(H467="","",(H467-G467)/G467)</f>
        <v/>
      </c>
      <c r="L467" s="26">
        <f>IF(I467="","",(I467-G467)/G467)</f>
        <v/>
      </c>
      <c r="M467" s="26">
        <f>IF(J467="","",(J467-G467)/G467)</f>
        <v/>
      </c>
      <c r="N467" s="27">
        <f>IF(H467="","",IF(D467="HOLD",IF(ABS(K467)&lt;0.03,"YES","NO"),IF(D467="BUY",IF(K467&gt;0,"YES","NO"),IF(D467="SELL",IF(K467&lt;0,"YES","NO"),""))))</f>
        <v/>
      </c>
    </row>
    <row r="468" ht="15" customHeight="1">
      <c r="A468" s="12" t="n">
        <v>46188</v>
      </c>
      <c r="B468" s="13" t="inlineStr">
        <is>
          <t>PM</t>
        </is>
      </c>
      <c r="C468" s="13" t="inlineStr">
        <is>
          <t>Roth IRA</t>
        </is>
      </c>
      <c r="D468" s="13" t="inlineStr">
        <is>
          <t>HOLD</t>
        </is>
      </c>
      <c r="E468" s="14" t="n">
        <v>0.65</v>
      </c>
      <c r="F468" s="13" t="inlineStr">
        <is>
          <t>HIGH</t>
        </is>
      </c>
      <c r="G468" s="15" t="n">
        <v>182.8</v>
      </c>
      <c r="H468" s="16" t="n">
        <v>178.69</v>
      </c>
      <c r="K468" s="26">
        <f>IF(H468="","",(H468-G468)/G468)</f>
        <v/>
      </c>
      <c r="L468" s="26">
        <f>IF(I468="","",(I468-G468)/G468)</f>
        <v/>
      </c>
      <c r="M468" s="26">
        <f>IF(J468="","",(J468-G468)/G468)</f>
        <v/>
      </c>
      <c r="N468" s="27">
        <f>IF(H468="","",IF(D468="HOLD",IF(ABS(K468)&lt;0.03,"YES","NO"),IF(D468="BUY",IF(K468&gt;0,"YES","NO"),IF(D468="SELL",IF(K468&lt;0,"YES","NO"),""))))</f>
        <v/>
      </c>
    </row>
    <row r="469" ht="15" customHeight="1">
      <c r="A469" s="12" t="n">
        <v>46188</v>
      </c>
      <c r="B469" s="13" t="inlineStr">
        <is>
          <t>PWR</t>
        </is>
      </c>
      <c r="C469" s="13" t="inlineStr">
        <is>
          <t>Roth IRA</t>
        </is>
      </c>
      <c r="D469" s="13" t="inlineStr">
        <is>
          <t>HOLD</t>
        </is>
      </c>
      <c r="E469" s="14" t="n">
        <v>0.62</v>
      </c>
      <c r="F469" s="13" t="inlineStr">
        <is>
          <t>HIGH</t>
        </is>
      </c>
      <c r="G469" s="15" t="n">
        <v>721.55</v>
      </c>
      <c r="H469" s="16" t="n">
        <v>702.29</v>
      </c>
      <c r="K469" s="26">
        <f>IF(H469="","",(H469-G469)/G469)</f>
        <v/>
      </c>
      <c r="L469" s="26">
        <f>IF(I469="","",(I469-G469)/G469)</f>
        <v/>
      </c>
      <c r="M469" s="26">
        <f>IF(J469="","",(J469-G469)/G469)</f>
        <v/>
      </c>
      <c r="N469" s="27">
        <f>IF(H469="","",IF(D469="HOLD",IF(ABS(K469)&lt;0.03,"YES","NO"),IF(D469="BUY",IF(K469&gt;0,"YES","NO"),IF(D469="SELL",IF(K469&lt;0,"YES","NO"),""))))</f>
        <v/>
      </c>
    </row>
    <row r="470" ht="15" customHeight="1">
      <c r="A470" s="12" t="n">
        <v>46188</v>
      </c>
      <c r="B470" s="13" t="inlineStr">
        <is>
          <t>RTX</t>
        </is>
      </c>
      <c r="C470" s="13" t="inlineStr">
        <is>
          <t>Individual</t>
        </is>
      </c>
      <c r="D470" s="13" t="inlineStr">
        <is>
          <t>HOLD</t>
        </is>
      </c>
      <c r="E470" s="14" t="n">
        <v>0.58</v>
      </c>
      <c r="F470" s="13" t="inlineStr">
        <is>
          <t>HIGH</t>
        </is>
      </c>
      <c r="G470" s="15" t="n">
        <v>184.745</v>
      </c>
      <c r="H470" s="16" t="n">
        <v>186.39</v>
      </c>
      <c r="K470" s="26">
        <f>IF(H470="","",(H470-G470)/G470)</f>
        <v/>
      </c>
      <c r="L470" s="26">
        <f>IF(I470="","",(I470-G470)/G470)</f>
        <v/>
      </c>
      <c r="M470" s="26">
        <f>IF(J470="","",(J470-G470)/G470)</f>
        <v/>
      </c>
      <c r="N470" s="27">
        <f>IF(H470="","",IF(D470="HOLD",IF(ABS(K470)&lt;0.03,"YES","NO"),IF(D470="BUY",IF(K470&gt;0,"YES","NO"),IF(D470="SELL",IF(K470&lt;0,"YES","NO"),""))))</f>
        <v/>
      </c>
    </row>
    <row r="471" ht="15" customHeight="1">
      <c r="A471" s="12" t="n">
        <v>46188</v>
      </c>
      <c r="B471" s="13" t="inlineStr">
        <is>
          <t>SCHD</t>
        </is>
      </c>
      <c r="C471" s="13" t="inlineStr">
        <is>
          <t>Roth IRA</t>
        </is>
      </c>
      <c r="D471" s="13" t="inlineStr">
        <is>
          <t>HOLD</t>
        </is>
      </c>
      <c r="E471" s="14" t="n">
        <v>0.68</v>
      </c>
      <c r="F471" s="13" t="inlineStr">
        <is>
          <t>HIGH</t>
        </is>
      </c>
      <c r="G471" s="15" t="n">
        <v>32.74</v>
      </c>
      <c r="H471" s="16" t="n">
        <v>32.02</v>
      </c>
      <c r="K471" s="26">
        <f>IF(H471="","",(H471-G471)/G471)</f>
        <v/>
      </c>
      <c r="L471" s="26">
        <f>IF(I471="","",(I471-G471)/G471)</f>
        <v/>
      </c>
      <c r="M471" s="26">
        <f>IF(J471="","",(J471-G471)/G471)</f>
        <v/>
      </c>
      <c r="N471" s="27">
        <f>IF(H471="","",IF(D471="HOLD",IF(ABS(K471)&lt;0.03,"YES","NO"),IF(D471="BUY",IF(K471&gt;0,"YES","NO"),IF(D471="SELL",IF(K471&lt;0,"YES","NO"),""))))</f>
        <v/>
      </c>
    </row>
    <row r="472" ht="15" customHeight="1">
      <c r="A472" s="12" t="n">
        <v>46188</v>
      </c>
      <c r="B472" s="13" t="inlineStr">
        <is>
          <t>SND</t>
        </is>
      </c>
      <c r="C472" s="13" t="inlineStr">
        <is>
          <t>Individual</t>
        </is>
      </c>
      <c r="D472" s="13" t="inlineStr">
        <is>
          <t>HOLD</t>
        </is>
      </c>
      <c r="E472" s="14" t="n">
        <v>0.52</v>
      </c>
      <c r="F472" s="13" t="inlineStr">
        <is>
          <t>MEDIUM</t>
        </is>
      </c>
      <c r="G472" s="15" t="n">
        <v>5.07</v>
      </c>
      <c r="H472" s="16" t="n">
        <v>4.74</v>
      </c>
      <c r="K472" s="26">
        <f>IF(H472="","",(H472-G472)/G472)</f>
        <v/>
      </c>
      <c r="L472" s="26">
        <f>IF(I472="","",(I472-G472)/G472)</f>
        <v/>
      </c>
      <c r="M472" s="26">
        <f>IF(J472="","",(J472-G472)/G472)</f>
        <v/>
      </c>
      <c r="N472" s="27">
        <f>IF(H472="","",IF(D472="HOLD",IF(ABS(K472)&lt;0.03,"YES","NO"),IF(D472="BUY",IF(K472&gt;0,"YES","NO"),IF(D472="SELL",IF(K472&lt;0,"YES","NO"),""))))</f>
        <v/>
      </c>
    </row>
    <row r="473" ht="15" customHeight="1">
      <c r="A473" s="12" t="n">
        <v>46188</v>
      </c>
      <c r="B473" s="13" t="inlineStr">
        <is>
          <t>WMT</t>
        </is>
      </c>
      <c r="C473" s="13" t="inlineStr">
        <is>
          <t>Roth IRA,Individual</t>
        </is>
      </c>
      <c r="D473" s="13" t="inlineStr">
        <is>
          <t>HOLD</t>
        </is>
      </c>
      <c r="E473" s="14" t="n">
        <v>0.55</v>
      </c>
      <c r="F473" s="13" t="inlineStr">
        <is>
          <t>HIGH</t>
        </is>
      </c>
      <c r="G473" s="15" t="n">
        <v>120.3</v>
      </c>
      <c r="H473" s="16" t="n">
        <v>119.42</v>
      </c>
      <c r="K473" s="26">
        <f>IF(H473="","",(H473-G473)/G473)</f>
        <v/>
      </c>
      <c r="L473" s="26">
        <f>IF(I473="","",(I473-G473)/G473)</f>
        <v/>
      </c>
      <c r="M473" s="26">
        <f>IF(J473="","",(J473-G473)/G473)</f>
        <v/>
      </c>
      <c r="N473" s="27">
        <f>IF(H473="","",IF(D473="HOLD",IF(ABS(K473)&lt;0.03,"YES","NO"),IF(D473="BUY",IF(K473&gt;0,"YES","NO"),IF(D473="SELL",IF(K473&lt;0,"YES","NO"),""))))</f>
        <v/>
      </c>
    </row>
    <row r="474" ht="15" customHeight="1">
      <c r="A474" s="12" t="n">
        <v>46188</v>
      </c>
      <c r="B474" s="13" t="inlineStr">
        <is>
          <t>XLU</t>
        </is>
      </c>
      <c r="C474" s="13" t="inlineStr">
        <is>
          <t>Roth IRA</t>
        </is>
      </c>
      <c r="D474" s="13" t="inlineStr">
        <is>
          <t>HOLD</t>
        </is>
      </c>
      <c r="E474" s="14" t="n">
        <v>0.58</v>
      </c>
      <c r="F474" s="13" t="inlineStr">
        <is>
          <t>HIGH</t>
        </is>
      </c>
      <c r="G474" s="15" t="n">
        <v>44.795</v>
      </c>
      <c r="H474" s="16" t="n">
        <v>45.07</v>
      </c>
      <c r="K474" s="26">
        <f>IF(H474="","",(H474-G474)/G474)</f>
        <v/>
      </c>
      <c r="L474" s="26">
        <f>IF(I474="","",(I474-G474)/G474)</f>
        <v/>
      </c>
      <c r="M474" s="26">
        <f>IF(J474="","",(J474-G474)/G474)</f>
        <v/>
      </c>
      <c r="N474" s="27">
        <f>IF(H474="","",IF(D474="HOLD",IF(ABS(K474)&lt;0.03,"YES","NO"),IF(D474="BUY",IF(K474&gt;0,"YES","NO"),IF(D474="SELL",IF(K474&lt;0,"YES","NO"),""))))</f>
        <v/>
      </c>
    </row>
    <row r="475" ht="15" customHeight="1">
      <c r="A475" s="12" t="n">
        <v>46188</v>
      </c>
      <c r="B475" s="13" t="inlineStr">
        <is>
          <t>SPY</t>
        </is>
      </c>
      <c r="C475" s="13" t="inlineStr">
        <is>
          <t>Scout</t>
        </is>
      </c>
      <c r="D475" s="13" t="inlineStr">
        <is>
          <t>HOLD</t>
        </is>
      </c>
      <c r="E475" s="14" t="n">
        <v>0.52</v>
      </c>
      <c r="F475" s="13" t="inlineStr">
        <is>
          <t>HIGH</t>
        </is>
      </c>
      <c r="G475" s="15" t="n">
        <v>753.25</v>
      </c>
      <c r="H475" s="16" t="n">
        <v>733.58</v>
      </c>
      <c r="K475" s="26">
        <f>IF(H475="","",(H475-G475)/G475)</f>
        <v/>
      </c>
      <c r="L475" s="26">
        <f>IF(I475="","",(I475-G475)/G475)</f>
        <v/>
      </c>
      <c r="M475" s="26">
        <f>IF(J475="","",(J475-G475)/G475)</f>
        <v/>
      </c>
      <c r="N475" s="27">
        <f>IF(H475="","",IF(D475="HOLD",IF(ABS(K475)&lt;0.03,"YES","NO"),IF(D475="BUY",IF(K475&gt;0,"YES","NO"),IF(D475="SELL",IF(K475&lt;0,"YES","NO"),""))))</f>
        <v/>
      </c>
    </row>
    <row r="476" ht="15" customHeight="1">
      <c r="A476" s="12" t="n">
        <v>46188</v>
      </c>
      <c r="B476" s="13" t="inlineStr">
        <is>
          <t>QQQ</t>
        </is>
      </c>
      <c r="C476" s="13" t="inlineStr">
        <is>
          <t>Scout</t>
        </is>
      </c>
      <c r="D476" s="13" t="inlineStr">
        <is>
          <t>HOLD</t>
        </is>
      </c>
      <c r="E476" s="14" t="n">
        <v>0.52</v>
      </c>
      <c r="F476" s="13" t="inlineStr">
        <is>
          <t>HIGH</t>
        </is>
      </c>
      <c r="G476" s="15" t="n">
        <v>740.45</v>
      </c>
      <c r="H476" s="16" t="n">
        <v>713.65</v>
      </c>
      <c r="K476" s="26">
        <f>IF(H476="","",(H476-G476)/G476)</f>
        <v/>
      </c>
      <c r="L476" s="26">
        <f>IF(I476="","",(I476-G476)/G476)</f>
        <v/>
      </c>
      <c r="M476" s="26">
        <f>IF(J476="","",(J476-G476)/G476)</f>
        <v/>
      </c>
      <c r="N476" s="27">
        <f>IF(H476="","",IF(D476="HOLD",IF(ABS(K476)&lt;0.03,"YES","NO"),IF(D476="BUY",IF(K476&gt;0,"YES","NO"),IF(D476="SELL",IF(K476&lt;0,"YES","NO"),""))))</f>
        <v/>
      </c>
    </row>
    <row r="477" ht="15" customHeight="1">
      <c r="A477" s="12" t="n">
        <v>46188</v>
      </c>
      <c r="B477" s="13" t="inlineStr">
        <is>
          <t>VTI</t>
        </is>
      </c>
      <c r="C477" s="13" t="inlineStr">
        <is>
          <t>Scout</t>
        </is>
      </c>
      <c r="D477" s="13" t="inlineStr">
        <is>
          <t>HOLD</t>
        </is>
      </c>
      <c r="E477" s="14" t="n">
        <v>0.58</v>
      </c>
      <c r="F477" s="13" t="inlineStr">
        <is>
          <t>HIGH</t>
        </is>
      </c>
      <c r="G477" s="15" t="n">
        <v>372.05</v>
      </c>
      <c r="H477" s="16" t="n">
        <v>363.7</v>
      </c>
      <c r="K477" s="26">
        <f>IF(H477="","",(H477-G477)/G477)</f>
        <v/>
      </c>
      <c r="L477" s="26">
        <f>IF(I477="","",(I477-G477)/G477)</f>
        <v/>
      </c>
      <c r="M477" s="26">
        <f>IF(J477="","",(J477-G477)/G477)</f>
        <v/>
      </c>
      <c r="N477" s="27">
        <f>IF(H477="","",IF(D477="HOLD",IF(ABS(K477)&lt;0.03,"YES","NO"),IF(D477="BUY",IF(K477&gt;0,"YES","NO"),IF(D477="SELL",IF(K477&lt;0,"YES","NO"),""))))</f>
        <v/>
      </c>
    </row>
    <row r="478" ht="15" customHeight="1">
      <c r="A478" s="12" t="n">
        <v>46188</v>
      </c>
      <c r="B478" s="13" t="inlineStr">
        <is>
          <t>NVDA</t>
        </is>
      </c>
      <c r="C478" s="13" t="inlineStr">
        <is>
          <t>Scout</t>
        </is>
      </c>
      <c r="D478" s="13" t="inlineStr">
        <is>
          <t>HOLD</t>
        </is>
      </c>
      <c r="E478" s="14" t="n">
        <v>0.55</v>
      </c>
      <c r="F478" s="13" t="inlineStr">
        <is>
          <t>HIGH</t>
        </is>
      </c>
      <c r="G478" s="15" t="n">
        <v>209.97</v>
      </c>
      <c r="H478" s="16" t="n">
        <v>200.04</v>
      </c>
      <c r="K478" s="26">
        <f>IF(H478="","",(H478-G478)/G478)</f>
        <v/>
      </c>
      <c r="L478" s="26">
        <f>IF(I478="","",(I478-G478)/G478)</f>
        <v/>
      </c>
      <c r="M478" s="26">
        <f>IF(J478="","",(J478-G478)/G478)</f>
        <v/>
      </c>
      <c r="N478" s="27">
        <f>IF(H478="","",IF(D478="HOLD",IF(ABS(K478)&lt;0.03,"YES","NO"),IF(D478="BUY",IF(K478&gt;0,"YES","NO"),IF(D478="SELL",IF(K478&lt;0,"YES","NO"),""))))</f>
        <v/>
      </c>
    </row>
    <row r="479" ht="15" customHeight="1">
      <c r="A479" s="12" t="n">
        <v>46188</v>
      </c>
      <c r="B479" s="13" t="inlineStr">
        <is>
          <t>GLD</t>
        </is>
      </c>
      <c r="C479" s="13" t="inlineStr">
        <is>
          <t>Scout</t>
        </is>
      </c>
      <c r="D479" s="13" t="inlineStr">
        <is>
          <t>HOLD</t>
        </is>
      </c>
      <c r="E479" s="14" t="n">
        <v>0.52</v>
      </c>
      <c r="F479" s="13" t="inlineStr">
        <is>
          <t>MEDIUM</t>
        </is>
      </c>
      <c r="G479" s="15" t="n">
        <v>400.17</v>
      </c>
      <c r="H479" s="16" t="n">
        <v>377.32</v>
      </c>
      <c r="K479" s="26">
        <f>IF(H479="","",(H479-G479)/G479)</f>
        <v/>
      </c>
      <c r="L479" s="26">
        <f>IF(I479="","",(I479-G479)/G479)</f>
        <v/>
      </c>
      <c r="M479" s="26">
        <f>IF(J479="","",(J479-G479)/G479)</f>
        <v/>
      </c>
      <c r="N479" s="27">
        <f>IF(H479="","",IF(D479="HOLD",IF(ABS(K479)&lt;0.03,"YES","NO"),IF(D479="BUY",IF(K479&gt;0,"YES","NO"),IF(D479="SELL",IF(K479&lt;0,"YES","NO"),""))))</f>
        <v/>
      </c>
    </row>
    <row r="480" ht="15" customHeight="1">
      <c r="A480" s="12" t="n">
        <v>46189</v>
      </c>
      <c r="B480" s="13" t="inlineStr">
        <is>
          <t>AAPL</t>
        </is>
      </c>
      <c r="C480" s="13" t="inlineStr">
        <is>
          <t>Roth IRA</t>
        </is>
      </c>
      <c r="D480" s="13" t="inlineStr">
        <is>
          <t>HOLD</t>
        </is>
      </c>
      <c r="E480" s="14" t="n">
        <v>0.62</v>
      </c>
      <c r="F480" s="13" t="inlineStr">
        <is>
          <t>MEDIUM</t>
        </is>
      </c>
      <c r="G480" s="15" t="n">
        <v>297.175</v>
      </c>
      <c r="K480" s="26">
        <f>IF(H480="","",(H480-G480)/G480)</f>
        <v/>
      </c>
      <c r="L480" s="26">
        <f>IF(I480="","",(I480-G480)/G480)</f>
        <v/>
      </c>
      <c r="M480" s="26">
        <f>IF(J480="","",(J480-G480)/G480)</f>
        <v/>
      </c>
      <c r="N480" s="27">
        <f>IF(H480="","",IF(D480="HOLD",IF(ABS(K480)&lt;0.03,"YES","NO"),IF(D480="BUY",IF(K480&gt;0,"YES","NO"),IF(D480="SELL",IF(K480&lt;0,"YES","NO"),""))))</f>
        <v/>
      </c>
    </row>
    <row r="481" ht="15" customHeight="1">
      <c r="A481" s="12" t="n">
        <v>46189</v>
      </c>
      <c r="B481" s="13" t="inlineStr">
        <is>
          <t>AG</t>
        </is>
      </c>
      <c r="C481" s="13" t="inlineStr">
        <is>
          <t>Individual</t>
        </is>
      </c>
      <c r="D481" s="13" t="inlineStr">
        <is>
          <t>HOLD</t>
        </is>
      </c>
      <c r="E481" s="14" t="n">
        <v>0.52</v>
      </c>
      <c r="F481" s="13" t="inlineStr">
        <is>
          <t>MEDIUM</t>
        </is>
      </c>
      <c r="G481" s="15" t="n">
        <v>18.88</v>
      </c>
      <c r="K481" s="26">
        <f>IF(H481="","",(H481-G481)/G481)</f>
        <v/>
      </c>
      <c r="L481" s="26">
        <f>IF(I481="","",(I481-G481)/G481)</f>
        <v/>
      </c>
      <c r="M481" s="26">
        <f>IF(J481="","",(J481-G481)/G481)</f>
        <v/>
      </c>
      <c r="N481" s="27">
        <f>IF(H481="","",IF(D481="HOLD",IF(ABS(K481)&lt;0.03,"YES","NO"),IF(D481="BUY",IF(K481&gt;0,"YES","NO"),IF(D481="SELL",IF(K481&lt;0,"YES","NO"),""))))</f>
        <v/>
      </c>
    </row>
    <row r="482" ht="15" customHeight="1">
      <c r="A482" s="12" t="n">
        <v>46189</v>
      </c>
      <c r="B482" s="13" t="inlineStr">
        <is>
          <t>AIQ</t>
        </is>
      </c>
      <c r="C482" s="13" t="inlineStr">
        <is>
          <t>Roth IRA,Individual</t>
        </is>
      </c>
      <c r="D482" s="13" t="inlineStr">
        <is>
          <t>HOLD</t>
        </is>
      </c>
      <c r="E482" s="14" t="n">
        <v>0.62</v>
      </c>
      <c r="F482" s="13" t="inlineStr">
        <is>
          <t>HIGH</t>
        </is>
      </c>
      <c r="G482" s="15" t="n">
        <v>65.44</v>
      </c>
      <c r="K482" s="26">
        <f>IF(H482="","",(H482-G482)/G482)</f>
        <v/>
      </c>
      <c r="L482" s="26">
        <f>IF(I482="","",(I482-G482)/G482)</f>
        <v/>
      </c>
      <c r="M482" s="26">
        <f>IF(J482="","",(J482-G482)/G482)</f>
        <v/>
      </c>
      <c r="N482" s="27">
        <f>IF(H482="","",IF(D482="HOLD",IF(ABS(K482)&lt;0.03,"YES","NO"),IF(D482="BUY",IF(K482&gt;0,"YES","NO"),IF(D482="SELL",IF(K482&lt;0,"YES","NO"),""))))</f>
        <v/>
      </c>
    </row>
    <row r="483" ht="15" customHeight="1">
      <c r="A483" s="12" t="n">
        <v>46189</v>
      </c>
      <c r="B483" s="13" t="inlineStr">
        <is>
          <t>CBRS</t>
        </is>
      </c>
      <c r="C483" s="13" t="inlineStr">
        <is>
          <t>Individual</t>
        </is>
      </c>
      <c r="D483" s="13" t="inlineStr">
        <is>
          <t>HOLD</t>
        </is>
      </c>
      <c r="E483" s="14" t="n">
        <v>0.38</v>
      </c>
      <c r="F483" s="13" t="inlineStr">
        <is>
          <t>MEDIUM</t>
        </is>
      </c>
      <c r="G483" s="15" t="n">
        <v>203.465</v>
      </c>
      <c r="K483" s="26">
        <f>IF(H483="","",(H483-G483)/G483)</f>
        <v/>
      </c>
      <c r="L483" s="26">
        <f>IF(I483="","",(I483-G483)/G483)</f>
        <v/>
      </c>
      <c r="M483" s="26">
        <f>IF(J483="","",(J483-G483)/G483)</f>
        <v/>
      </c>
      <c r="N483" s="27">
        <f>IF(H483="","",IF(D483="HOLD",IF(ABS(K483)&lt;0.03,"YES","NO"),IF(D483="BUY",IF(K483&gt;0,"YES","NO"),IF(D483="SELL",IF(K483&lt;0,"YES","NO"),""))))</f>
        <v/>
      </c>
    </row>
    <row r="484" ht="15" customHeight="1">
      <c r="A484" s="12" t="n">
        <v>46189</v>
      </c>
      <c r="B484" s="13" t="inlineStr">
        <is>
          <t>CORN</t>
        </is>
      </c>
      <c r="C484" s="13" t="inlineStr">
        <is>
          <t>Individual</t>
        </is>
      </c>
      <c r="D484" s="13" t="inlineStr">
        <is>
          <t>HOLD</t>
        </is>
      </c>
      <c r="E484" s="14" t="n">
        <v>0.42</v>
      </c>
      <c r="F484" s="13" t="inlineStr">
        <is>
          <t>MEDIUM</t>
        </is>
      </c>
      <c r="G484" s="15" t="n">
        <v>16.94</v>
      </c>
      <c r="K484" s="26">
        <f>IF(H484="","",(H484-G484)/G484)</f>
        <v/>
      </c>
      <c r="L484" s="26">
        <f>IF(I484="","",(I484-G484)/G484)</f>
        <v/>
      </c>
      <c r="M484" s="26">
        <f>IF(J484="","",(J484-G484)/G484)</f>
        <v/>
      </c>
      <c r="N484" s="27">
        <f>IF(H484="","",IF(D484="HOLD",IF(ABS(K484)&lt;0.03,"YES","NO"),IF(D484="BUY",IF(K484&gt;0,"YES","NO"),IF(D484="SELL",IF(K484&lt;0,"YES","NO"),""))))</f>
        <v/>
      </c>
    </row>
    <row r="485" ht="15" customHeight="1">
      <c r="A485" s="12" t="n">
        <v>46189</v>
      </c>
      <c r="B485" s="13" t="inlineStr">
        <is>
          <t>DOW</t>
        </is>
      </c>
      <c r="C485" s="13" t="inlineStr">
        <is>
          <t>Roth IRA,Individual</t>
        </is>
      </c>
      <c r="D485" s="13" t="inlineStr">
        <is>
          <t>HOLD</t>
        </is>
      </c>
      <c r="E485" s="14" t="n">
        <v>0.38</v>
      </c>
      <c r="F485" s="13" t="inlineStr">
        <is>
          <t>MEDIUM</t>
        </is>
      </c>
      <c r="G485" s="15" t="n">
        <v>32.78</v>
      </c>
      <c r="K485" s="26">
        <f>IF(H485="","",(H485-G485)/G485)</f>
        <v/>
      </c>
      <c r="L485" s="26">
        <f>IF(I485="","",(I485-G485)/G485)</f>
        <v/>
      </c>
      <c r="M485" s="26">
        <f>IF(J485="","",(J485-G485)/G485)</f>
        <v/>
      </c>
      <c r="N485" s="27">
        <f>IF(H485="","",IF(D485="HOLD",IF(ABS(K485)&lt;0.03,"YES","NO"),IF(D485="BUY",IF(K485&gt;0,"YES","NO"),IF(D485="SELL",IF(K485&lt;0,"YES","NO"),""))))</f>
        <v/>
      </c>
    </row>
    <row r="486" ht="15" customHeight="1">
      <c r="A486" s="12" t="n">
        <v>46189</v>
      </c>
      <c r="B486" s="13" t="inlineStr">
        <is>
          <t>FTI</t>
        </is>
      </c>
      <c r="C486" s="13" t="inlineStr">
        <is>
          <t>Individual</t>
        </is>
      </c>
      <c r="D486" s="13" t="inlineStr">
        <is>
          <t>HOLD</t>
        </is>
      </c>
      <c r="E486" s="14" t="n">
        <v>0.62</v>
      </c>
      <c r="F486" s="13" t="inlineStr">
        <is>
          <t>MEDIUM</t>
        </is>
      </c>
      <c r="G486" s="15" t="n">
        <v>68.2</v>
      </c>
      <c r="K486" s="26">
        <f>IF(H486="","",(H486-G486)/G486)</f>
        <v/>
      </c>
      <c r="L486" s="26">
        <f>IF(I486="","",(I486-G486)/G486)</f>
        <v/>
      </c>
      <c r="M486" s="26">
        <f>IF(J486="","",(J486-G486)/G486)</f>
        <v/>
      </c>
      <c r="N486" s="27">
        <f>IF(H486="","",IF(D486="HOLD",IF(ABS(K486)&lt;0.03,"YES","NO"),IF(D486="BUY",IF(K486&gt;0,"YES","NO"),IF(D486="SELL",IF(K486&lt;0,"YES","NO"),""))))</f>
        <v/>
      </c>
    </row>
    <row r="487" ht="15" customHeight="1">
      <c r="A487" s="12" t="n">
        <v>46189</v>
      </c>
      <c r="B487" s="13" t="inlineStr">
        <is>
          <t>GM</t>
        </is>
      </c>
      <c r="C487" s="13" t="inlineStr">
        <is>
          <t>Roth IRA,Individual</t>
        </is>
      </c>
      <c r="D487" s="13" t="inlineStr">
        <is>
          <t>HOLD</t>
        </is>
      </c>
      <c r="E487" s="14" t="n">
        <v>0.62</v>
      </c>
      <c r="F487" s="13" t="inlineStr">
        <is>
          <t>HIGH</t>
        </is>
      </c>
      <c r="G487" s="15" t="n">
        <v>84.38</v>
      </c>
      <c r="K487" s="26">
        <f>IF(H487="","",(H487-G487)/G487)</f>
        <v/>
      </c>
      <c r="L487" s="26">
        <f>IF(I487="","",(I487-G487)/G487)</f>
        <v/>
      </c>
      <c r="M487" s="26">
        <f>IF(J487="","",(J487-G487)/G487)</f>
        <v/>
      </c>
      <c r="N487" s="27">
        <f>IF(H487="","",IF(D487="HOLD",IF(ABS(K487)&lt;0.03,"YES","NO"),IF(D487="BUY",IF(K487&gt;0,"YES","NO"),IF(D487="SELL",IF(K487&lt;0,"YES","NO"),""))))</f>
        <v/>
      </c>
    </row>
    <row r="488" ht="15" customHeight="1">
      <c r="A488" s="12" t="n">
        <v>46189</v>
      </c>
      <c r="B488" s="13" t="inlineStr">
        <is>
          <t>JPM</t>
        </is>
      </c>
      <c r="C488" s="13" t="inlineStr">
        <is>
          <t>Roth IRA</t>
        </is>
      </c>
      <c r="D488" s="13" t="inlineStr">
        <is>
          <t>HOLD</t>
        </is>
      </c>
      <c r="E488" s="14" t="n">
        <v>0.65</v>
      </c>
      <c r="F488" s="13" t="inlineStr">
        <is>
          <t>HIGH</t>
        </is>
      </c>
      <c r="G488" s="15" t="n">
        <v>328.92</v>
      </c>
      <c r="K488" s="26">
        <f>IF(H488="","",(H488-G488)/G488)</f>
        <v/>
      </c>
      <c r="L488" s="26">
        <f>IF(I488="","",(I488-G488)/G488)</f>
        <v/>
      </c>
      <c r="M488" s="26">
        <f>IF(J488="","",(J488-G488)/G488)</f>
        <v/>
      </c>
      <c r="N488" s="27">
        <f>IF(H488="","",IF(D488="HOLD",IF(ABS(K488)&lt;0.03,"YES","NO"),IF(D488="BUY",IF(K488&gt;0,"YES","NO"),IF(D488="SELL",IF(K488&lt;0,"YES","NO"),""))))</f>
        <v/>
      </c>
    </row>
    <row r="489" ht="15" customHeight="1">
      <c r="A489" s="12" t="n">
        <v>46189</v>
      </c>
      <c r="B489" s="13" t="inlineStr">
        <is>
          <t>MSFT</t>
        </is>
      </c>
      <c r="C489" s="13" t="inlineStr">
        <is>
          <t>Roth IRA,Individual</t>
        </is>
      </c>
      <c r="D489" s="13" t="inlineStr">
        <is>
          <t>HOLD</t>
        </is>
      </c>
      <c r="E489" s="14" t="n">
        <v>0.55</v>
      </c>
      <c r="F489" s="13" t="inlineStr">
        <is>
          <t>HIGH</t>
        </is>
      </c>
      <c r="G489" s="15" t="n">
        <v>392.6513</v>
      </c>
      <c r="K489" s="26">
        <f>IF(H489="","",(H489-G489)/G489)</f>
        <v/>
      </c>
      <c r="L489" s="26">
        <f>IF(I489="","",(I489-G489)/G489)</f>
        <v/>
      </c>
      <c r="M489" s="26">
        <f>IF(J489="","",(J489-G489)/G489)</f>
        <v/>
      </c>
      <c r="N489" s="27">
        <f>IF(H489="","",IF(D489="HOLD",IF(ABS(K489)&lt;0.03,"YES","NO"),IF(D489="BUY",IF(K489&gt;0,"YES","NO"),IF(D489="SELL",IF(K489&lt;0,"YES","NO"),""))))</f>
        <v/>
      </c>
    </row>
    <row r="490" ht="15" customHeight="1">
      <c r="A490" s="12" t="n">
        <v>46189</v>
      </c>
      <c r="B490" s="13" t="inlineStr">
        <is>
          <t>NKE</t>
        </is>
      </c>
      <c r="C490" s="13" t="inlineStr">
        <is>
          <t>Roth IRA</t>
        </is>
      </c>
      <c r="D490" s="13" t="inlineStr">
        <is>
          <t>HOLD</t>
        </is>
      </c>
      <c r="E490" s="14" t="n">
        <v>0.52</v>
      </c>
      <c r="F490" s="13" t="inlineStr">
        <is>
          <t>HIGH</t>
        </is>
      </c>
      <c r="G490" s="15" t="n">
        <v>45.73</v>
      </c>
      <c r="K490" s="26">
        <f>IF(H490="","",(H490-G490)/G490)</f>
        <v/>
      </c>
      <c r="L490" s="26">
        <f>IF(I490="","",(I490-G490)/G490)</f>
        <v/>
      </c>
      <c r="M490" s="26">
        <f>IF(J490="","",(J490-G490)/G490)</f>
        <v/>
      </c>
      <c r="N490" s="27">
        <f>IF(H490="","",IF(D490="HOLD",IF(ABS(K490)&lt;0.03,"YES","NO"),IF(D490="BUY",IF(K490&gt;0,"YES","NO"),IF(D490="SELL",IF(K490&lt;0,"YES","NO"),""))))</f>
        <v/>
      </c>
    </row>
    <row r="491" ht="15" customHeight="1">
      <c r="A491" s="12" t="n">
        <v>46189</v>
      </c>
      <c r="B491" s="13" t="inlineStr">
        <is>
          <t>NTR</t>
        </is>
      </c>
      <c r="C491" s="13" t="inlineStr">
        <is>
          <t>Roth IRA,Individual</t>
        </is>
      </c>
      <c r="D491" s="13" t="inlineStr">
        <is>
          <t>HOLD</t>
        </is>
      </c>
      <c r="E491" s="14" t="n">
        <v>0.52</v>
      </c>
      <c r="F491" s="13" t="inlineStr">
        <is>
          <t>MEDIUM</t>
        </is>
      </c>
      <c r="G491" s="15" t="n">
        <v>65.505</v>
      </c>
      <c r="K491" s="26">
        <f>IF(H491="","",(H491-G491)/G491)</f>
        <v/>
      </c>
      <c r="L491" s="26">
        <f>IF(I491="","",(I491-G491)/G491)</f>
        <v/>
      </c>
      <c r="M491" s="26">
        <f>IF(J491="","",(J491-G491)/G491)</f>
        <v/>
      </c>
      <c r="N491" s="27">
        <f>IF(H491="","",IF(D491="HOLD",IF(ABS(K491)&lt;0.03,"YES","NO"),IF(D491="BUY",IF(K491&gt;0,"YES","NO"),IF(D491="SELL",IF(K491&lt;0,"YES","NO"),""))))</f>
        <v/>
      </c>
    </row>
    <row r="492" ht="15" customHeight="1">
      <c r="A492" s="12" t="n">
        <v>46189</v>
      </c>
      <c r="B492" s="13" t="inlineStr">
        <is>
          <t>PM</t>
        </is>
      </c>
      <c r="C492" s="13" t="inlineStr">
        <is>
          <t>Roth IRA</t>
        </is>
      </c>
      <c r="D492" s="13" t="inlineStr">
        <is>
          <t>HOLD</t>
        </is>
      </c>
      <c r="E492" s="14" t="n">
        <v>0.65</v>
      </c>
      <c r="F492" s="13" t="inlineStr">
        <is>
          <t>HIGH</t>
        </is>
      </c>
      <c r="G492" s="15" t="n">
        <v>184.345</v>
      </c>
      <c r="K492" s="26">
        <f>IF(H492="","",(H492-G492)/G492)</f>
        <v/>
      </c>
      <c r="L492" s="26">
        <f>IF(I492="","",(I492-G492)/G492)</f>
        <v/>
      </c>
      <c r="M492" s="26">
        <f>IF(J492="","",(J492-G492)/G492)</f>
        <v/>
      </c>
      <c r="N492" s="27">
        <f>IF(H492="","",IF(D492="HOLD",IF(ABS(K492)&lt;0.03,"YES","NO"),IF(D492="BUY",IF(K492&gt;0,"YES","NO"),IF(D492="SELL",IF(K492&lt;0,"YES","NO"),""))))</f>
        <v/>
      </c>
    </row>
    <row r="493" ht="15" customHeight="1">
      <c r="A493" s="12" t="n">
        <v>46189</v>
      </c>
      <c r="B493" s="13" t="inlineStr">
        <is>
          <t>PWR</t>
        </is>
      </c>
      <c r="C493" s="13" t="inlineStr">
        <is>
          <t>Roth IRA</t>
        </is>
      </c>
      <c r="D493" s="13" t="inlineStr">
        <is>
          <t>HOLD</t>
        </is>
      </c>
      <c r="E493" s="14" t="n">
        <v>0.62</v>
      </c>
      <c r="F493" s="13" t="inlineStr">
        <is>
          <t>HIGH</t>
        </is>
      </c>
      <c r="G493" s="15" t="n">
        <v>727.9299999999999</v>
      </c>
      <c r="K493" s="26">
        <f>IF(H493="","",(H493-G493)/G493)</f>
        <v/>
      </c>
      <c r="L493" s="26">
        <f>IF(I493="","",(I493-G493)/G493)</f>
        <v/>
      </c>
      <c r="M493" s="26">
        <f>IF(J493="","",(J493-G493)/G493)</f>
        <v/>
      </c>
      <c r="N493" s="27">
        <f>IF(H493="","",IF(D493="HOLD",IF(ABS(K493)&lt;0.03,"YES","NO"),IF(D493="BUY",IF(K493&gt;0,"YES","NO"),IF(D493="SELL",IF(K493&lt;0,"YES","NO"),""))))</f>
        <v/>
      </c>
    </row>
    <row r="494" ht="15" customHeight="1">
      <c r="A494" s="12" t="n">
        <v>46189</v>
      </c>
      <c r="B494" s="13" t="inlineStr">
        <is>
          <t>RTX</t>
        </is>
      </c>
      <c r="C494" s="13" t="inlineStr">
        <is>
          <t>Individual</t>
        </is>
      </c>
      <c r="D494" s="13" t="inlineStr">
        <is>
          <t>HOLD</t>
        </is>
      </c>
      <c r="E494" s="14" t="n">
        <v>0.62</v>
      </c>
      <c r="F494" s="13" t="inlineStr">
        <is>
          <t>HIGH</t>
        </is>
      </c>
      <c r="G494" s="15" t="n">
        <v>184.4</v>
      </c>
      <c r="K494" s="26">
        <f>IF(H494="","",(H494-G494)/G494)</f>
        <v/>
      </c>
      <c r="L494" s="26">
        <f>IF(I494="","",(I494-G494)/G494)</f>
        <v/>
      </c>
      <c r="M494" s="26">
        <f>IF(J494="","",(J494-G494)/G494)</f>
        <v/>
      </c>
      <c r="N494" s="27">
        <f>IF(H494="","",IF(D494="HOLD",IF(ABS(K494)&lt;0.03,"YES","NO"),IF(D494="BUY",IF(K494&gt;0,"YES","NO"),IF(D494="SELL",IF(K494&lt;0,"YES","NO"),""))))</f>
        <v/>
      </c>
    </row>
    <row r="495" ht="15" customHeight="1">
      <c r="A495" s="12" t="n">
        <v>46189</v>
      </c>
      <c r="B495" s="13" t="inlineStr">
        <is>
          <t>SCHD</t>
        </is>
      </c>
      <c r="C495" s="13" t="inlineStr">
        <is>
          <t>Roth IRA</t>
        </is>
      </c>
      <c r="D495" s="13" t="inlineStr">
        <is>
          <t>HOLD</t>
        </is>
      </c>
      <c r="E495" s="14" t="n">
        <v>0.68</v>
      </c>
      <c r="F495" s="13" t="inlineStr">
        <is>
          <t>HIGH</t>
        </is>
      </c>
      <c r="G495" s="15" t="n">
        <v>32.7586</v>
      </c>
      <c r="K495" s="26">
        <f>IF(H495="","",(H495-G495)/G495)</f>
        <v/>
      </c>
      <c r="L495" s="26">
        <f>IF(I495="","",(I495-G495)/G495)</f>
        <v/>
      </c>
      <c r="M495" s="26">
        <f>IF(J495="","",(J495-G495)/G495)</f>
        <v/>
      </c>
      <c r="N495" s="27">
        <f>IF(H495="","",IF(D495="HOLD",IF(ABS(K495)&lt;0.03,"YES","NO"),IF(D495="BUY",IF(K495&gt;0,"YES","NO"),IF(D495="SELL",IF(K495&lt;0,"YES","NO"),""))))</f>
        <v/>
      </c>
    </row>
    <row r="496" ht="15" customHeight="1">
      <c r="A496" s="12" t="n">
        <v>46189</v>
      </c>
      <c r="B496" s="13" t="inlineStr">
        <is>
          <t>SND</t>
        </is>
      </c>
      <c r="C496" s="13" t="inlineStr">
        <is>
          <t>Individual</t>
        </is>
      </c>
      <c r="D496" s="13" t="inlineStr">
        <is>
          <t>HOLD</t>
        </is>
      </c>
      <c r="E496" s="14" t="n">
        <v>0.52</v>
      </c>
      <c r="F496" s="13" t="inlineStr">
        <is>
          <t>MEDIUM</t>
        </is>
      </c>
      <c r="G496" s="15" t="n">
        <v>5.07</v>
      </c>
      <c r="K496" s="26">
        <f>IF(H496="","",(H496-G496)/G496)</f>
        <v/>
      </c>
      <c r="L496" s="26">
        <f>IF(I496="","",(I496-G496)/G496)</f>
        <v/>
      </c>
      <c r="M496" s="26">
        <f>IF(J496="","",(J496-G496)/G496)</f>
        <v/>
      </c>
      <c r="N496" s="27">
        <f>IF(H496="","",IF(D496="HOLD",IF(ABS(K496)&lt;0.03,"YES","NO"),IF(D496="BUY",IF(K496&gt;0,"YES","NO"),IF(D496="SELL",IF(K496&lt;0,"YES","NO"),""))))</f>
        <v/>
      </c>
    </row>
    <row r="497" ht="15" customHeight="1">
      <c r="A497" s="12" t="n">
        <v>46189</v>
      </c>
      <c r="B497" s="13" t="inlineStr">
        <is>
          <t>WMT</t>
        </is>
      </c>
      <c r="C497" s="13" t="inlineStr">
        <is>
          <t>Roth IRA,Individual</t>
        </is>
      </c>
      <c r="D497" s="13" t="inlineStr">
        <is>
          <t>HOLD</t>
        </is>
      </c>
      <c r="E497" s="14" t="n">
        <v>0.55</v>
      </c>
      <c r="F497" s="13" t="inlineStr">
        <is>
          <t>HIGH</t>
        </is>
      </c>
      <c r="G497" s="15" t="n">
        <v>122.05</v>
      </c>
      <c r="K497" s="26">
        <f>IF(H497="","",(H497-G497)/G497)</f>
        <v/>
      </c>
      <c r="L497" s="26">
        <f>IF(I497="","",(I497-G497)/G497)</f>
        <v/>
      </c>
      <c r="M497" s="26">
        <f>IF(J497="","",(J497-G497)/G497)</f>
        <v/>
      </c>
      <c r="N497" s="27">
        <f>IF(H497="","",IF(D497="HOLD",IF(ABS(K497)&lt;0.03,"YES","NO"),IF(D497="BUY",IF(K497&gt;0,"YES","NO"),IF(D497="SELL",IF(K497&lt;0,"YES","NO"),""))))</f>
        <v/>
      </c>
    </row>
    <row r="498" ht="15" customHeight="1">
      <c r="A498" s="12" t="n">
        <v>46189</v>
      </c>
      <c r="B498" s="13" t="inlineStr">
        <is>
          <t>XLU</t>
        </is>
      </c>
      <c r="C498" s="13" t="inlineStr">
        <is>
          <t>Roth IRA</t>
        </is>
      </c>
      <c r="D498" s="13" t="inlineStr">
        <is>
          <t>HOLD</t>
        </is>
      </c>
      <c r="E498" s="14" t="n">
        <v>0.58</v>
      </c>
      <c r="F498" s="13" t="inlineStr">
        <is>
          <t>HIGH</t>
        </is>
      </c>
      <c r="G498" s="15" t="n">
        <v>45.275</v>
      </c>
      <c r="K498" s="26">
        <f>IF(H498="","",(H498-G498)/G498)</f>
        <v/>
      </c>
      <c r="L498" s="26">
        <f>IF(I498="","",(I498-G498)/G498)</f>
        <v/>
      </c>
      <c r="M498" s="26">
        <f>IF(J498="","",(J498-G498)/G498)</f>
        <v/>
      </c>
      <c r="N498" s="27">
        <f>IF(H498="","",IF(D498="HOLD",IF(ABS(K498)&lt;0.03,"YES","NO"),IF(D498="BUY",IF(K498&gt;0,"YES","NO"),IF(D498="SELL",IF(K498&lt;0,"YES","NO"),""))))</f>
        <v/>
      </c>
    </row>
    <row r="499" ht="15" customHeight="1">
      <c r="A499" s="12" t="n">
        <v>46189</v>
      </c>
      <c r="B499" s="13" t="inlineStr">
        <is>
          <t>SPY</t>
        </is>
      </c>
      <c r="C499" s="13" t="inlineStr">
        <is>
          <t>Scout</t>
        </is>
      </c>
      <c r="D499" s="13" t="inlineStr">
        <is>
          <t>HOLD</t>
        </is>
      </c>
      <c r="E499" s="14" t="n">
        <v>0.55</v>
      </c>
      <c r="F499" s="13" t="inlineStr">
        <is>
          <t>HIGH</t>
        </is>
      </c>
      <c r="G499" s="15" t="n">
        <v>753.4299999999999</v>
      </c>
      <c r="K499" s="26">
        <f>IF(H499="","",(H499-G499)/G499)</f>
        <v/>
      </c>
      <c r="L499" s="26">
        <f>IF(I499="","",(I499-G499)/G499)</f>
        <v/>
      </c>
      <c r="M499" s="26">
        <f>IF(J499="","",(J499-G499)/G499)</f>
        <v/>
      </c>
      <c r="N499" s="27">
        <f>IF(H499="","",IF(D499="HOLD",IF(ABS(K499)&lt;0.03,"YES","NO"),IF(D499="BUY",IF(K499&gt;0,"YES","NO"),IF(D499="SELL",IF(K499&lt;0,"YES","NO"),""))))</f>
        <v/>
      </c>
    </row>
    <row r="500" ht="15" customHeight="1">
      <c r="A500" s="12" t="n">
        <v>46189</v>
      </c>
      <c r="B500" s="13" t="inlineStr">
        <is>
          <t>QQQ</t>
        </is>
      </c>
      <c r="C500" s="13" t="inlineStr">
        <is>
          <t>Scout</t>
        </is>
      </c>
      <c r="D500" s="13" t="inlineStr">
        <is>
          <t>HOLD</t>
        </is>
      </c>
      <c r="E500" s="14" t="n">
        <v>0.52</v>
      </c>
      <c r="F500" s="13" t="inlineStr">
        <is>
          <t>HIGH</t>
        </is>
      </c>
      <c r="G500" s="15" t="n">
        <v>738.63</v>
      </c>
      <c r="K500" s="26">
        <f>IF(H500="","",(H500-G500)/G500)</f>
        <v/>
      </c>
      <c r="L500" s="26">
        <f>IF(I500="","",(I500-G500)/G500)</f>
        <v/>
      </c>
      <c r="M500" s="26">
        <f>IF(J500="","",(J500-G500)/G500)</f>
        <v/>
      </c>
      <c r="N500" s="27">
        <f>IF(H500="","",IF(D500="HOLD",IF(ABS(K500)&lt;0.03,"YES","NO"),IF(D500="BUY",IF(K500&gt;0,"YES","NO"),IF(D500="SELL",IF(K500&lt;0,"YES","NO"),""))))</f>
        <v/>
      </c>
    </row>
    <row r="501" ht="15" customHeight="1">
      <c r="A501" s="12" t="n">
        <v>46189</v>
      </c>
      <c r="B501" s="13" t="inlineStr">
        <is>
          <t>VTI</t>
        </is>
      </c>
      <c r="C501" s="13" t="inlineStr">
        <is>
          <t>Scout</t>
        </is>
      </c>
      <c r="D501" s="13" t="inlineStr">
        <is>
          <t>BUY</t>
        </is>
      </c>
      <c r="E501" s="14" t="n">
        <v>0.68</v>
      </c>
      <c r="F501" s="13" t="inlineStr">
        <is>
          <t>HIGH</t>
        </is>
      </c>
      <c r="G501" s="15" t="n">
        <v>372.15</v>
      </c>
      <c r="K501" s="26">
        <f>IF(H501="","",(H501-G501)/G501)</f>
        <v/>
      </c>
      <c r="L501" s="26">
        <f>IF(I501="","",(I501-G501)/G501)</f>
        <v/>
      </c>
      <c r="M501" s="26">
        <f>IF(J501="","",(J501-G501)/G501)</f>
        <v/>
      </c>
      <c r="N501" s="27">
        <f>IF(H501="","",IF(D501="HOLD",IF(ABS(K501)&lt;0.03,"YES","NO"),IF(D501="BUY",IF(K501&gt;0,"YES","NO"),IF(D501="SELL",IF(K501&lt;0,"YES","NO"),""))))</f>
        <v/>
      </c>
    </row>
    <row r="502" ht="15" customHeight="1">
      <c r="A502" s="12" t="n">
        <v>46189</v>
      </c>
      <c r="B502" s="13" t="inlineStr">
        <is>
          <t>NVDA</t>
        </is>
      </c>
      <c r="C502" s="13" t="inlineStr">
        <is>
          <t>Scout</t>
        </is>
      </c>
      <c r="D502" s="13" t="inlineStr">
        <is>
          <t>BUY</t>
        </is>
      </c>
      <c r="E502" s="14" t="n">
        <v>0.65</v>
      </c>
      <c r="F502" s="13" t="inlineStr">
        <is>
          <t>MEDIUM</t>
        </is>
      </c>
      <c r="G502" s="15" t="n">
        <v>209.12</v>
      </c>
      <c r="K502" s="26">
        <f>IF(H502="","",(H502-G502)/G502)</f>
        <v/>
      </c>
      <c r="L502" s="26">
        <f>IF(I502="","",(I502-G502)/G502)</f>
        <v/>
      </c>
      <c r="M502" s="26">
        <f>IF(J502="","",(J502-G502)/G502)</f>
        <v/>
      </c>
      <c r="N502" s="27">
        <f>IF(H502="","",IF(D502="HOLD",IF(ABS(K502)&lt;0.03,"YES","NO"),IF(D502="BUY",IF(K502&gt;0,"YES","NO"),IF(D502="SELL",IF(K502&lt;0,"YES","NO"),""))))</f>
        <v/>
      </c>
    </row>
    <row r="503" ht="15" customHeight="1">
      <c r="A503" s="12" t="n">
        <v>46189</v>
      </c>
      <c r="B503" s="13" t="inlineStr">
        <is>
          <t>GLD</t>
        </is>
      </c>
      <c r="C503" s="13" t="inlineStr">
        <is>
          <t>Scout</t>
        </is>
      </c>
      <c r="D503" s="13" t="inlineStr">
        <is>
          <t>HOLD</t>
        </is>
      </c>
      <c r="E503" s="14" t="n">
        <v>0.52</v>
      </c>
      <c r="F503" s="13" t="inlineStr">
        <is>
          <t>HIGH</t>
        </is>
      </c>
      <c r="G503" s="15" t="n">
        <v>396.97</v>
      </c>
      <c r="K503" s="26">
        <f>IF(H503="","",(H503-G503)/G503)</f>
        <v/>
      </c>
      <c r="L503" s="26">
        <f>IF(I503="","",(I503-G503)/G503)</f>
        <v/>
      </c>
      <c r="M503" s="26">
        <f>IF(J503="","",(J503-G503)/G503)</f>
        <v/>
      </c>
      <c r="N503" s="27">
        <f>IF(H503="","",IF(D503="HOLD",IF(ABS(K503)&lt;0.03,"YES","NO"),IF(D503="BUY",IF(K503&gt;0,"YES","NO"),IF(D503="SELL",IF(K503&lt;0,"YES","NO"),""))))</f>
        <v/>
      </c>
    </row>
    <row r="504" ht="15" customHeight="1">
      <c r="A504" s="12" t="n">
        <v>46190</v>
      </c>
      <c r="B504" s="13" t="inlineStr">
        <is>
          <t>AAPL</t>
        </is>
      </c>
      <c r="C504" s="13" t="inlineStr">
        <is>
          <t>Roth IRA</t>
        </is>
      </c>
      <c r="D504" s="13" t="inlineStr">
        <is>
          <t>HOLD</t>
        </is>
      </c>
      <c r="E504" s="14" t="n">
        <v>0.62</v>
      </c>
      <c r="F504" s="13" t="inlineStr">
        <is>
          <t>HIGH</t>
        </is>
      </c>
      <c r="G504" s="15" t="n">
        <v>300.43</v>
      </c>
      <c r="K504" s="26">
        <f>IF(H504="","",(H504-G504)/G504)</f>
        <v/>
      </c>
      <c r="L504" s="26">
        <f>IF(I504="","",(I504-G504)/G504)</f>
        <v/>
      </c>
      <c r="M504" s="26">
        <f>IF(J504="","",(J504-G504)/G504)</f>
        <v/>
      </c>
      <c r="N504" s="27">
        <f>IF(H504="","",IF(D504="HOLD",IF(ABS(K504)&lt;0.03,"YES","NO"),IF(D504="BUY",IF(K504&gt;0,"YES","NO"),IF(D504="SELL",IF(K504&lt;0,"YES","NO"),""))))</f>
        <v/>
      </c>
    </row>
    <row r="505" ht="15" customHeight="1">
      <c r="A505" s="12" t="n">
        <v>46190</v>
      </c>
      <c r="B505" s="13" t="inlineStr">
        <is>
          <t>AG</t>
        </is>
      </c>
      <c r="C505" s="13" t="inlineStr">
        <is>
          <t>Individual</t>
        </is>
      </c>
      <c r="D505" s="13" t="inlineStr">
        <is>
          <t>HOLD</t>
        </is>
      </c>
      <c r="E505" s="14" t="n">
        <v>0.52</v>
      </c>
      <c r="F505" s="13" t="inlineStr">
        <is>
          <t>MEDIUM</t>
        </is>
      </c>
      <c r="G505" s="15" t="n">
        <v>19.95</v>
      </c>
      <c r="K505" s="26">
        <f>IF(H505="","",(H505-G505)/G505)</f>
        <v/>
      </c>
      <c r="L505" s="26">
        <f>IF(I505="","",(I505-G505)/G505)</f>
        <v/>
      </c>
      <c r="M505" s="26">
        <f>IF(J505="","",(J505-G505)/G505)</f>
        <v/>
      </c>
      <c r="N505" s="27">
        <f>IF(H505="","",IF(D505="HOLD",IF(ABS(K505)&lt;0.03,"YES","NO"),IF(D505="BUY",IF(K505&gt;0,"YES","NO"),IF(D505="SELL",IF(K505&lt;0,"YES","NO"),""))))</f>
        <v/>
      </c>
    </row>
    <row r="506" ht="15" customHeight="1">
      <c r="A506" s="12" t="n">
        <v>46190</v>
      </c>
      <c r="B506" s="13" t="inlineStr">
        <is>
          <t>AIQ</t>
        </is>
      </c>
      <c r="C506" s="13" t="inlineStr">
        <is>
          <t>Roth IRA,Individual</t>
        </is>
      </c>
      <c r="D506" s="13" t="inlineStr">
        <is>
          <t>HOLD</t>
        </is>
      </c>
      <c r="E506" s="14" t="n">
        <v>0.6</v>
      </c>
      <c r="F506" s="13" t="inlineStr">
        <is>
          <t>HIGH</t>
        </is>
      </c>
      <c r="G506" s="15" t="n">
        <v>65.47499999999999</v>
      </c>
      <c r="K506" s="26">
        <f>IF(H506="","",(H506-G506)/G506)</f>
        <v/>
      </c>
      <c r="L506" s="26">
        <f>IF(I506="","",(I506-G506)/G506)</f>
        <v/>
      </c>
      <c r="M506" s="26">
        <f>IF(J506="","",(J506-G506)/G506)</f>
        <v/>
      </c>
      <c r="N506" s="27">
        <f>IF(H506="","",IF(D506="HOLD",IF(ABS(K506)&lt;0.03,"YES","NO"),IF(D506="BUY",IF(K506&gt;0,"YES","NO"),IF(D506="SELL",IF(K506&lt;0,"YES","NO"),""))))</f>
        <v/>
      </c>
    </row>
    <row r="507" ht="15" customHeight="1">
      <c r="A507" s="12" t="n">
        <v>46190</v>
      </c>
      <c r="B507" s="13" t="inlineStr">
        <is>
          <t>CBRS</t>
        </is>
      </c>
      <c r="C507" s="13" t="inlineStr">
        <is>
          <t>Individual</t>
        </is>
      </c>
      <c r="D507" s="13" t="inlineStr">
        <is>
          <t>HOLD</t>
        </is>
      </c>
      <c r="E507" s="14" t="n">
        <v>0.42</v>
      </c>
      <c r="F507" s="13" t="inlineStr">
        <is>
          <t>MEDIUM</t>
        </is>
      </c>
      <c r="G507" s="15" t="n">
        <v>223.795</v>
      </c>
      <c r="K507" s="26">
        <f>IF(H507="","",(H507-G507)/G507)</f>
        <v/>
      </c>
      <c r="L507" s="26">
        <f>IF(I507="","",(I507-G507)/G507)</f>
        <v/>
      </c>
      <c r="M507" s="26">
        <f>IF(J507="","",(J507-G507)/G507)</f>
        <v/>
      </c>
      <c r="N507" s="27">
        <f>IF(H507="","",IF(D507="HOLD",IF(ABS(K507)&lt;0.03,"YES","NO"),IF(D507="BUY",IF(K507&gt;0,"YES","NO"),IF(D507="SELL",IF(K507&lt;0,"YES","NO"),""))))</f>
        <v/>
      </c>
    </row>
    <row r="508" ht="15" customHeight="1">
      <c r="A508" s="12" t="n">
        <v>46190</v>
      </c>
      <c r="B508" s="13" t="inlineStr">
        <is>
          <t>CORN</t>
        </is>
      </c>
      <c r="C508" s="13" t="inlineStr">
        <is>
          <t>Individual</t>
        </is>
      </c>
      <c r="D508" s="13" t="inlineStr">
        <is>
          <t>HOLD</t>
        </is>
      </c>
      <c r="E508" s="14" t="n">
        <v>0.45</v>
      </c>
      <c r="F508" s="13" t="inlineStr">
        <is>
          <t>MEDIUM</t>
        </is>
      </c>
      <c r="G508" s="15" t="n">
        <v>17.04</v>
      </c>
      <c r="K508" s="26">
        <f>IF(H508="","",(H508-G508)/G508)</f>
        <v/>
      </c>
      <c r="L508" s="26">
        <f>IF(I508="","",(I508-G508)/G508)</f>
        <v/>
      </c>
      <c r="M508" s="26">
        <f>IF(J508="","",(J508-G508)/G508)</f>
        <v/>
      </c>
      <c r="N508" s="27">
        <f>IF(H508="","",IF(D508="HOLD",IF(ABS(K508)&lt;0.03,"YES","NO"),IF(D508="BUY",IF(K508&gt;0,"YES","NO"),IF(D508="SELL",IF(K508&lt;0,"YES","NO"),""))))</f>
        <v/>
      </c>
    </row>
    <row r="509" ht="15" customHeight="1">
      <c r="A509" s="12" t="n">
        <v>46190</v>
      </c>
      <c r="B509" s="13" t="inlineStr">
        <is>
          <t>DOW</t>
        </is>
      </c>
      <c r="C509" s="13" t="inlineStr">
        <is>
          <t>Roth IRA,Individual</t>
        </is>
      </c>
      <c r="D509" s="13" t="inlineStr">
        <is>
          <t>HOLD</t>
        </is>
      </c>
      <c r="E509" s="14" t="n">
        <v>0.42</v>
      </c>
      <c r="F509" s="13" t="inlineStr">
        <is>
          <t>MEDIUM</t>
        </is>
      </c>
      <c r="G509" s="15" t="n">
        <v>33.79</v>
      </c>
      <c r="K509" s="26">
        <f>IF(H509="","",(H509-G509)/G509)</f>
        <v/>
      </c>
      <c r="L509" s="26">
        <f>IF(I509="","",(I509-G509)/G509)</f>
        <v/>
      </c>
      <c r="M509" s="26">
        <f>IF(J509="","",(J509-G509)/G509)</f>
        <v/>
      </c>
      <c r="N509" s="27">
        <f>IF(H509="","",IF(D509="HOLD",IF(ABS(K509)&lt;0.03,"YES","NO"),IF(D509="BUY",IF(K509&gt;0,"YES","NO"),IF(D509="SELL",IF(K509&lt;0,"YES","NO"),""))))</f>
        <v/>
      </c>
    </row>
    <row r="510" ht="15" customHeight="1">
      <c r="A510" s="12" t="n">
        <v>46190</v>
      </c>
      <c r="B510" s="13" t="inlineStr">
        <is>
          <t>FTI</t>
        </is>
      </c>
      <c r="C510" s="13" t="inlineStr">
        <is>
          <t>Individual</t>
        </is>
      </c>
      <c r="D510" s="13" t="inlineStr">
        <is>
          <t>HOLD</t>
        </is>
      </c>
      <c r="E510" s="14" t="n">
        <v>0.58</v>
      </c>
      <c r="F510" s="13" t="inlineStr">
        <is>
          <t>MEDIUM</t>
        </is>
      </c>
      <c r="G510" s="15" t="n">
        <v>67.38</v>
      </c>
      <c r="K510" s="26">
        <f>IF(H510="","",(H510-G510)/G510)</f>
        <v/>
      </c>
      <c r="L510" s="26">
        <f>IF(I510="","",(I510-G510)/G510)</f>
        <v/>
      </c>
      <c r="M510" s="26">
        <f>IF(J510="","",(J510-G510)/G510)</f>
        <v/>
      </c>
      <c r="N510" s="27">
        <f>IF(H510="","",IF(D510="HOLD",IF(ABS(K510)&lt;0.03,"YES","NO"),IF(D510="BUY",IF(K510&gt;0,"YES","NO"),IF(D510="SELL",IF(K510&lt;0,"YES","NO"),""))))</f>
        <v/>
      </c>
    </row>
    <row r="511" ht="15" customHeight="1">
      <c r="A511" s="12" t="n">
        <v>46190</v>
      </c>
      <c r="B511" s="13" t="inlineStr">
        <is>
          <t>GM</t>
        </is>
      </c>
      <c r="C511" s="13" t="inlineStr">
        <is>
          <t>Roth IRA,Individual</t>
        </is>
      </c>
      <c r="D511" s="13" t="inlineStr">
        <is>
          <t>HOLD</t>
        </is>
      </c>
      <c r="E511" s="14" t="n">
        <v>0.62</v>
      </c>
      <c r="F511" s="13" t="inlineStr">
        <is>
          <t>HIGH</t>
        </is>
      </c>
      <c r="G511" s="15" t="n">
        <v>82.81</v>
      </c>
      <c r="K511" s="26">
        <f>IF(H511="","",(H511-G511)/G511)</f>
        <v/>
      </c>
      <c r="L511" s="26">
        <f>IF(I511="","",(I511-G511)/G511)</f>
        <v/>
      </c>
      <c r="M511" s="26">
        <f>IF(J511="","",(J511-G511)/G511)</f>
        <v/>
      </c>
      <c r="N511" s="27">
        <f>IF(H511="","",IF(D511="HOLD",IF(ABS(K511)&lt;0.03,"YES","NO"),IF(D511="BUY",IF(K511&gt;0,"YES","NO"),IF(D511="SELL",IF(K511&lt;0,"YES","NO"),""))))</f>
        <v/>
      </c>
    </row>
    <row r="512" ht="15" customHeight="1">
      <c r="A512" s="12" t="n">
        <v>46190</v>
      </c>
      <c r="B512" s="13" t="inlineStr">
        <is>
          <t>JPM</t>
        </is>
      </c>
      <c r="C512" s="13" t="inlineStr">
        <is>
          <t>Roth IRA</t>
        </is>
      </c>
      <c r="D512" s="13" t="inlineStr">
        <is>
          <t>HOLD</t>
        </is>
      </c>
      <c r="E512" s="14" t="n">
        <v>0.62</v>
      </c>
      <c r="F512" s="13" t="inlineStr">
        <is>
          <t>HIGH</t>
        </is>
      </c>
      <c r="G512" s="15" t="n">
        <v>336.42</v>
      </c>
      <c r="K512" s="26">
        <f>IF(H512="","",(H512-G512)/G512)</f>
        <v/>
      </c>
      <c r="L512" s="26">
        <f>IF(I512="","",(I512-G512)/G512)</f>
        <v/>
      </c>
      <c r="M512" s="26">
        <f>IF(J512="","",(J512-G512)/G512)</f>
        <v/>
      </c>
      <c r="N512" s="27">
        <f>IF(H512="","",IF(D512="HOLD",IF(ABS(K512)&lt;0.03,"YES","NO"),IF(D512="BUY",IF(K512&gt;0,"YES","NO"),IF(D512="SELL",IF(K512&lt;0,"YES","NO"),""))))</f>
        <v/>
      </c>
    </row>
    <row r="513" ht="15" customHeight="1">
      <c r="A513" s="12" t="n">
        <v>46190</v>
      </c>
      <c r="B513" s="13" t="inlineStr">
        <is>
          <t>MSFT</t>
        </is>
      </c>
      <c r="C513" s="13" t="inlineStr">
        <is>
          <t>Roth IRA,Individual</t>
        </is>
      </c>
      <c r="D513" s="13" t="inlineStr">
        <is>
          <t>HOLD</t>
        </is>
      </c>
      <c r="E513" s="14" t="n">
        <v>0.55</v>
      </c>
      <c r="F513" s="13" t="inlineStr">
        <is>
          <t>HIGH</t>
        </is>
      </c>
      <c r="G513" s="15" t="n">
        <v>387.38</v>
      </c>
      <c r="K513" s="26">
        <f>IF(H513="","",(H513-G513)/G513)</f>
        <v/>
      </c>
      <c r="L513" s="26">
        <f>IF(I513="","",(I513-G513)/G513)</f>
        <v/>
      </c>
      <c r="M513" s="26">
        <f>IF(J513="","",(J513-G513)/G513)</f>
        <v/>
      </c>
      <c r="N513" s="27">
        <f>IF(H513="","",IF(D513="HOLD",IF(ABS(K513)&lt;0.03,"YES","NO"),IF(D513="BUY",IF(K513&gt;0,"YES","NO"),IF(D513="SELL",IF(K513&lt;0,"YES","NO"),""))))</f>
        <v/>
      </c>
    </row>
    <row r="514" ht="15" customHeight="1">
      <c r="A514" s="12" t="n">
        <v>46190</v>
      </c>
      <c r="B514" s="13" t="inlineStr">
        <is>
          <t>NKE</t>
        </is>
      </c>
      <c r="C514" s="13" t="inlineStr">
        <is>
          <t>Roth IRA</t>
        </is>
      </c>
      <c r="D514" s="13" t="inlineStr">
        <is>
          <t>HOLD</t>
        </is>
      </c>
      <c r="E514" s="14" t="n">
        <v>0.55</v>
      </c>
      <c r="F514" s="13" t="inlineStr">
        <is>
          <t>HIGH</t>
        </is>
      </c>
      <c r="G514" s="15" t="n">
        <v>45.33</v>
      </c>
      <c r="K514" s="26">
        <f>IF(H514="","",(H514-G514)/G514)</f>
        <v/>
      </c>
      <c r="L514" s="26">
        <f>IF(I514="","",(I514-G514)/G514)</f>
        <v/>
      </c>
      <c r="M514" s="26">
        <f>IF(J514="","",(J514-G514)/G514)</f>
        <v/>
      </c>
      <c r="N514" s="27">
        <f>IF(H514="","",IF(D514="HOLD",IF(ABS(K514)&lt;0.03,"YES","NO"),IF(D514="BUY",IF(K514&gt;0,"YES","NO"),IF(D514="SELL",IF(K514&lt;0,"YES","NO"),""))))</f>
        <v/>
      </c>
    </row>
    <row r="515" ht="15" customHeight="1">
      <c r="A515" s="12" t="n">
        <v>46190</v>
      </c>
      <c r="B515" s="13" t="inlineStr">
        <is>
          <t>NTR</t>
        </is>
      </c>
      <c r="C515" s="13" t="inlineStr">
        <is>
          <t>Roth IRA,Individual</t>
        </is>
      </c>
      <c r="D515" s="13" t="inlineStr">
        <is>
          <t>HOLD</t>
        </is>
      </c>
      <c r="E515" s="14" t="n">
        <v>0.52</v>
      </c>
      <c r="F515" s="13" t="inlineStr">
        <is>
          <t>HIGH</t>
        </is>
      </c>
      <c r="G515" s="15" t="n">
        <v>65.645</v>
      </c>
      <c r="K515" s="26">
        <f>IF(H515="","",(H515-G515)/G515)</f>
        <v/>
      </c>
      <c r="L515" s="26">
        <f>IF(I515="","",(I515-G515)/G515)</f>
        <v/>
      </c>
      <c r="M515" s="26">
        <f>IF(J515="","",(J515-G515)/G515)</f>
        <v/>
      </c>
      <c r="N515" s="27">
        <f>IF(H515="","",IF(D515="HOLD",IF(ABS(K515)&lt;0.03,"YES","NO"),IF(D515="BUY",IF(K515&gt;0,"YES","NO"),IF(D515="SELL",IF(K515&lt;0,"YES","NO"),""))))</f>
        <v/>
      </c>
    </row>
    <row r="516" ht="15" customHeight="1">
      <c r="A516" s="12" t="n">
        <v>46190</v>
      </c>
      <c r="B516" s="13" t="inlineStr">
        <is>
          <t>PM</t>
        </is>
      </c>
      <c r="C516" s="13" t="inlineStr">
        <is>
          <t>Roth IRA</t>
        </is>
      </c>
      <c r="D516" s="13" t="inlineStr">
        <is>
          <t>HOLD</t>
        </is>
      </c>
      <c r="E516" s="14" t="n">
        <v>0.65</v>
      </c>
      <c r="F516" s="13" t="inlineStr">
        <is>
          <t>HIGH</t>
        </is>
      </c>
      <c r="G516" s="15" t="n">
        <v>180.455</v>
      </c>
      <c r="K516" s="26">
        <f>IF(H516="","",(H516-G516)/G516)</f>
        <v/>
      </c>
      <c r="L516" s="26">
        <f>IF(I516="","",(I516-G516)/G516)</f>
        <v/>
      </c>
      <c r="M516" s="26">
        <f>IF(J516="","",(J516-G516)/G516)</f>
        <v/>
      </c>
      <c r="N516" s="27">
        <f>IF(H516="","",IF(D516="HOLD",IF(ABS(K516)&lt;0.03,"YES","NO"),IF(D516="BUY",IF(K516&gt;0,"YES","NO"),IF(D516="SELL",IF(K516&lt;0,"YES","NO"),""))))</f>
        <v/>
      </c>
    </row>
    <row r="517" ht="15" customHeight="1">
      <c r="A517" s="12" t="n">
        <v>46190</v>
      </c>
      <c r="B517" s="13" t="inlineStr">
        <is>
          <t>PWR</t>
        </is>
      </c>
      <c r="C517" s="13" t="inlineStr">
        <is>
          <t>Roth IRA</t>
        </is>
      </c>
      <c r="D517" s="13" t="inlineStr">
        <is>
          <t>HOLD</t>
        </is>
      </c>
      <c r="E517" s="14" t="n">
        <v>0.62</v>
      </c>
      <c r="F517" s="13" t="inlineStr">
        <is>
          <t>HIGH</t>
        </is>
      </c>
      <c r="G517" s="15" t="n">
        <v>716.89</v>
      </c>
      <c r="K517" s="26">
        <f>IF(H517="","",(H517-G517)/G517)</f>
        <v/>
      </c>
      <c r="L517" s="26">
        <f>IF(I517="","",(I517-G517)/G517)</f>
        <v/>
      </c>
      <c r="M517" s="26">
        <f>IF(J517="","",(J517-G517)/G517)</f>
        <v/>
      </c>
      <c r="N517" s="27">
        <f>IF(H517="","",IF(D517="HOLD",IF(ABS(K517)&lt;0.03,"YES","NO"),IF(D517="BUY",IF(K517&gt;0,"YES","NO"),IF(D517="SELL",IF(K517&lt;0,"YES","NO"),""))))</f>
        <v/>
      </c>
    </row>
    <row r="518" ht="15" customHeight="1">
      <c r="A518" s="12" t="n">
        <v>46190</v>
      </c>
      <c r="B518" s="13" t="inlineStr">
        <is>
          <t>RTX</t>
        </is>
      </c>
      <c r="C518" s="13" t="inlineStr">
        <is>
          <t>Individual</t>
        </is>
      </c>
      <c r="D518" s="13" t="inlineStr">
        <is>
          <t>HOLD</t>
        </is>
      </c>
      <c r="E518" s="14" t="n">
        <v>0.62</v>
      </c>
      <c r="F518" s="13" t="inlineStr">
        <is>
          <t>HIGH</t>
        </is>
      </c>
      <c r="G518" s="15" t="n">
        <v>189.47</v>
      </c>
      <c r="K518" s="26">
        <f>IF(H518="","",(H518-G518)/G518)</f>
        <v/>
      </c>
      <c r="L518" s="26">
        <f>IF(I518="","",(I518-G518)/G518)</f>
        <v/>
      </c>
      <c r="M518" s="26">
        <f>IF(J518="","",(J518-G518)/G518)</f>
        <v/>
      </c>
      <c r="N518" s="27">
        <f>IF(H518="","",IF(D518="HOLD",IF(ABS(K518)&lt;0.03,"YES","NO"),IF(D518="BUY",IF(K518&gt;0,"YES","NO"),IF(D518="SELL",IF(K518&lt;0,"YES","NO"),""))))</f>
        <v/>
      </c>
    </row>
    <row r="519" ht="15" customHeight="1">
      <c r="A519" s="12" t="n">
        <v>46190</v>
      </c>
      <c r="B519" s="13" t="inlineStr">
        <is>
          <t>SCHD</t>
        </is>
      </c>
      <c r="C519" s="13" t="inlineStr">
        <is>
          <t>Roth IRA</t>
        </is>
      </c>
      <c r="D519" s="13" t="inlineStr">
        <is>
          <t>HOLD</t>
        </is>
      </c>
      <c r="E519" s="14" t="n">
        <v>0.68</v>
      </c>
      <c r="F519" s="13" t="inlineStr">
        <is>
          <t>HIGH</t>
        </is>
      </c>
      <c r="G519" s="15" t="n">
        <v>32.405</v>
      </c>
      <c r="K519" s="26">
        <f>IF(H519="","",(H519-G519)/G519)</f>
        <v/>
      </c>
      <c r="L519" s="26">
        <f>IF(I519="","",(I519-G519)/G519)</f>
        <v/>
      </c>
      <c r="M519" s="26">
        <f>IF(J519="","",(J519-G519)/G519)</f>
        <v/>
      </c>
      <c r="N519" s="27">
        <f>IF(H519="","",IF(D519="HOLD",IF(ABS(K519)&lt;0.03,"YES","NO"),IF(D519="BUY",IF(K519&gt;0,"YES","NO"),IF(D519="SELL",IF(K519&lt;0,"YES","NO"),""))))</f>
        <v/>
      </c>
    </row>
    <row r="520" ht="15" customHeight="1">
      <c r="A520" s="12" t="n">
        <v>46190</v>
      </c>
      <c r="B520" s="13" t="inlineStr">
        <is>
          <t>SND</t>
        </is>
      </c>
      <c r="C520" s="13" t="inlineStr">
        <is>
          <t>Individual</t>
        </is>
      </c>
      <c r="D520" s="13" t="inlineStr">
        <is>
          <t>HOLD</t>
        </is>
      </c>
      <c r="E520" s="14" t="n">
        <v>0.52</v>
      </c>
      <c r="F520" s="13" t="inlineStr">
        <is>
          <t>MEDIUM</t>
        </is>
      </c>
      <c r="G520" s="15" t="n">
        <v>5.145</v>
      </c>
      <c r="K520" s="26">
        <f>IF(H520="","",(H520-G520)/G520)</f>
        <v/>
      </c>
      <c r="L520" s="26">
        <f>IF(I520="","",(I520-G520)/G520)</f>
        <v/>
      </c>
      <c r="M520" s="26">
        <f>IF(J520="","",(J520-G520)/G520)</f>
        <v/>
      </c>
      <c r="N520" s="27">
        <f>IF(H520="","",IF(D520="HOLD",IF(ABS(K520)&lt;0.03,"YES","NO"),IF(D520="BUY",IF(K520&gt;0,"YES","NO"),IF(D520="SELL",IF(K520&lt;0,"YES","NO"),""))))</f>
        <v/>
      </c>
    </row>
    <row r="521" ht="15" customHeight="1">
      <c r="A521" s="12" t="n">
        <v>46190</v>
      </c>
      <c r="B521" s="13" t="inlineStr">
        <is>
          <t>WMT</t>
        </is>
      </c>
      <c r="C521" s="13" t="inlineStr">
        <is>
          <t>Roth IRA,Individual</t>
        </is>
      </c>
      <c r="D521" s="13" t="inlineStr">
        <is>
          <t>HOLD</t>
        </is>
      </c>
      <c r="E521" s="14" t="n">
        <v>0.55</v>
      </c>
      <c r="F521" s="13" t="inlineStr">
        <is>
          <t>HIGH</t>
        </is>
      </c>
      <c r="G521" s="15" t="n">
        <v>119.99</v>
      </c>
      <c r="K521" s="26">
        <f>IF(H521="","",(H521-G521)/G521)</f>
        <v/>
      </c>
      <c r="L521" s="26">
        <f>IF(I521="","",(I521-G521)/G521)</f>
        <v/>
      </c>
      <c r="M521" s="26">
        <f>IF(J521="","",(J521-G521)/G521)</f>
        <v/>
      </c>
      <c r="N521" s="27">
        <f>IF(H521="","",IF(D521="HOLD",IF(ABS(K521)&lt;0.03,"YES","NO"),IF(D521="BUY",IF(K521&gt;0,"YES","NO"),IF(D521="SELL",IF(K521&lt;0,"YES","NO"),""))))</f>
        <v/>
      </c>
    </row>
    <row r="522" ht="15" customHeight="1">
      <c r="A522" s="12" t="n">
        <v>46190</v>
      </c>
      <c r="B522" s="13" t="inlineStr">
        <is>
          <t>XLU</t>
        </is>
      </c>
      <c r="C522" s="13" t="inlineStr">
        <is>
          <t>Roth IRA</t>
        </is>
      </c>
      <c r="D522" s="13" t="inlineStr">
        <is>
          <t>HOLD</t>
        </is>
      </c>
      <c r="E522" s="14" t="n">
        <v>0.55</v>
      </c>
      <c r="F522" s="13" t="inlineStr">
        <is>
          <t>HIGH</t>
        </is>
      </c>
      <c r="G522" s="15" t="n">
        <v>44.98</v>
      </c>
      <c r="K522" s="26">
        <f>IF(H522="","",(H522-G522)/G522)</f>
        <v/>
      </c>
      <c r="L522" s="26">
        <f>IF(I522="","",(I522-G522)/G522)</f>
        <v/>
      </c>
      <c r="M522" s="26">
        <f>IF(J522="","",(J522-G522)/G522)</f>
        <v/>
      </c>
      <c r="N522" s="27">
        <f>IF(H522="","",IF(D522="HOLD",IF(ABS(K522)&lt;0.03,"YES","NO"),IF(D522="BUY",IF(K522&gt;0,"YES","NO"),IF(D522="SELL",IF(K522&lt;0,"YES","NO"),""))))</f>
        <v/>
      </c>
    </row>
    <row r="523" ht="15" customHeight="1">
      <c r="A523" s="12" t="n">
        <v>46190</v>
      </c>
      <c r="B523" s="13" t="inlineStr">
        <is>
          <t>SPY</t>
        </is>
      </c>
      <c r="C523" s="13" t="inlineStr">
        <is>
          <t>Scout</t>
        </is>
      </c>
      <c r="D523" s="13" t="inlineStr">
        <is>
          <t>HOLD</t>
        </is>
      </c>
      <c r="E523" s="14" t="n">
        <v>0.55</v>
      </c>
      <c r="F523" s="13" t="inlineStr">
        <is>
          <t>HIGH</t>
        </is>
      </c>
      <c r="G523" s="15" t="n">
        <v>750.7</v>
      </c>
      <c r="K523" s="26">
        <f>IF(H523="","",(H523-G523)/G523)</f>
        <v/>
      </c>
      <c r="L523" s="26">
        <f>IF(I523="","",(I523-G523)/G523)</f>
        <v/>
      </c>
      <c r="M523" s="26">
        <f>IF(J523="","",(J523-G523)/G523)</f>
        <v/>
      </c>
      <c r="N523" s="27">
        <f>IF(H523="","",IF(D523="HOLD",IF(ABS(K523)&lt;0.03,"YES","NO"),IF(D523="BUY",IF(K523&gt;0,"YES","NO"),IF(D523="SELL",IF(K523&lt;0,"YES","NO"),""))))</f>
        <v/>
      </c>
    </row>
    <row r="524" ht="15" customHeight="1">
      <c r="A524" s="12" t="n">
        <v>46190</v>
      </c>
      <c r="B524" s="13" t="inlineStr">
        <is>
          <t>QQQ</t>
        </is>
      </c>
      <c r="C524" s="13" t="inlineStr">
        <is>
          <t>Scout</t>
        </is>
      </c>
      <c r="D524" s="13" t="inlineStr">
        <is>
          <t>HOLD</t>
        </is>
      </c>
      <c r="E524" s="14" t="n">
        <v>0.52</v>
      </c>
      <c r="F524" s="13" t="inlineStr">
        <is>
          <t>MEDIUM</t>
        </is>
      </c>
      <c r="G524" s="15" t="n">
        <v>733.63</v>
      </c>
      <c r="K524" s="26">
        <f>IF(H524="","",(H524-G524)/G524)</f>
        <v/>
      </c>
      <c r="L524" s="26">
        <f>IF(I524="","",(I524-G524)/G524)</f>
        <v/>
      </c>
      <c r="M524" s="26">
        <f>IF(J524="","",(J524-G524)/G524)</f>
        <v/>
      </c>
      <c r="N524" s="27">
        <f>IF(H524="","",IF(D524="HOLD",IF(ABS(K524)&lt;0.03,"YES","NO"),IF(D524="BUY",IF(K524&gt;0,"YES","NO"),IF(D524="SELL",IF(K524&lt;0,"YES","NO"),""))))</f>
        <v/>
      </c>
    </row>
    <row r="525" ht="15" customHeight="1">
      <c r="A525" s="12" t="n">
        <v>46190</v>
      </c>
      <c r="B525" s="13" t="inlineStr">
        <is>
          <t>VTI</t>
        </is>
      </c>
      <c r="C525" s="13" t="inlineStr">
        <is>
          <t>Scout</t>
        </is>
      </c>
      <c r="D525" s="13" t="inlineStr">
        <is>
          <t>HOLD</t>
        </is>
      </c>
      <c r="E525" s="14" t="n">
        <v>0.58</v>
      </c>
      <c r="F525" s="13" t="inlineStr">
        <is>
          <t>HIGH</t>
        </is>
      </c>
      <c r="G525" s="15" t="n">
        <v>370.805</v>
      </c>
      <c r="K525" s="26">
        <f>IF(H525="","",(H525-G525)/G525)</f>
        <v/>
      </c>
      <c r="L525" s="26">
        <f>IF(I525="","",(I525-G525)/G525)</f>
        <v/>
      </c>
      <c r="M525" s="26">
        <f>IF(J525="","",(J525-G525)/G525)</f>
        <v/>
      </c>
      <c r="N525" s="27">
        <f>IF(H525="","",IF(D525="HOLD",IF(ABS(K525)&lt;0.03,"YES","NO"),IF(D525="BUY",IF(K525&gt;0,"YES","NO"),IF(D525="SELL",IF(K525&lt;0,"YES","NO"),""))))</f>
        <v/>
      </c>
    </row>
    <row r="526" ht="15" customHeight="1">
      <c r="A526" s="12" t="n">
        <v>46190</v>
      </c>
      <c r="B526" s="13" t="inlineStr">
        <is>
          <t>NVDA</t>
        </is>
      </c>
      <c r="C526" s="13" t="inlineStr">
        <is>
          <t>Scout</t>
        </is>
      </c>
      <c r="D526" s="13" t="inlineStr">
        <is>
          <t>HOLD</t>
        </is>
      </c>
      <c r="E526" s="14" t="n">
        <v>0.55</v>
      </c>
      <c r="F526" s="13" t="inlineStr">
        <is>
          <t>HIGH</t>
        </is>
      </c>
      <c r="G526" s="15" t="n">
        <v>207.5015</v>
      </c>
      <c r="K526" s="26">
        <f>IF(H526="","",(H526-G526)/G526)</f>
        <v/>
      </c>
      <c r="L526" s="26">
        <f>IF(I526="","",(I526-G526)/G526)</f>
        <v/>
      </c>
      <c r="M526" s="26">
        <f>IF(J526="","",(J526-G526)/G526)</f>
        <v/>
      </c>
      <c r="N526" s="27">
        <f>IF(H526="","",IF(D526="HOLD",IF(ABS(K526)&lt;0.03,"YES","NO"),IF(D526="BUY",IF(K526&gt;0,"YES","NO"),IF(D526="SELL",IF(K526&lt;0,"YES","NO"),""))))</f>
        <v/>
      </c>
    </row>
    <row r="527" ht="15" customHeight="1">
      <c r="A527" s="12" t="n">
        <v>46190</v>
      </c>
      <c r="B527" s="13" t="inlineStr">
        <is>
          <t>GLD</t>
        </is>
      </c>
      <c r="C527" s="13" t="inlineStr">
        <is>
          <t>Scout</t>
        </is>
      </c>
      <c r="D527" s="13" t="inlineStr">
        <is>
          <t>HOLD</t>
        </is>
      </c>
      <c r="E527" s="14" t="n">
        <v>0.55</v>
      </c>
      <c r="F527" s="13" t="inlineStr">
        <is>
          <t>HIGH</t>
        </is>
      </c>
      <c r="G527" s="15" t="n">
        <v>399.96</v>
      </c>
      <c r="K527" s="26">
        <f>IF(H527="","",(H527-G527)/G527)</f>
        <v/>
      </c>
      <c r="L527" s="26">
        <f>IF(I527="","",(I527-G527)/G527)</f>
        <v/>
      </c>
      <c r="M527" s="26">
        <f>IF(J527="","",(J527-G527)/G527)</f>
        <v/>
      </c>
      <c r="N527" s="27">
        <f>IF(H527="","",IF(D527="HOLD",IF(ABS(K527)&lt;0.03,"YES","NO"),IF(D527="BUY",IF(K527&gt;0,"YES","NO"),IF(D527="SELL",IF(K527&lt;0,"YES","NO"),""))))</f>
        <v/>
      </c>
    </row>
    <row r="528" ht="15" customHeight="1">
      <c r="A528" s="12" t="n">
        <v>46191</v>
      </c>
      <c r="B528" s="13" t="inlineStr">
        <is>
          <t>AAPL</t>
        </is>
      </c>
      <c r="C528" s="13" t="inlineStr">
        <is>
          <t>Roth IRA</t>
        </is>
      </c>
      <c r="D528" s="13" t="inlineStr">
        <is>
          <t>HOLD</t>
        </is>
      </c>
      <c r="E528" s="14" t="n">
        <v>0.58</v>
      </c>
      <c r="F528" s="13" t="inlineStr">
        <is>
          <t>HIGH</t>
        </is>
      </c>
      <c r="G528" s="15" t="n">
        <v>299.57</v>
      </c>
      <c r="K528" s="26">
        <f>IF(H528="","",(H528-G528)/G528)</f>
        <v/>
      </c>
      <c r="L528" s="26">
        <f>IF(I528="","",(I528-G528)/G528)</f>
        <v/>
      </c>
      <c r="M528" s="26">
        <f>IF(J528="","",(J528-G528)/G528)</f>
        <v/>
      </c>
      <c r="N528" s="27">
        <f>IF(H528="","",IF(D528="HOLD",IF(ABS(K528)&lt;0.03,"YES","NO"),IF(D528="BUY",IF(K528&gt;0,"YES","NO"),IF(D528="SELL",IF(K528&lt;0,"YES","NO"),""))))</f>
        <v/>
      </c>
    </row>
    <row r="529" ht="15" customHeight="1">
      <c r="A529" s="12" t="n">
        <v>46191</v>
      </c>
      <c r="B529" s="13" t="inlineStr">
        <is>
          <t>AG</t>
        </is>
      </c>
      <c r="C529" s="13" t="inlineStr">
        <is>
          <t>Individual</t>
        </is>
      </c>
      <c r="D529" s="13" t="inlineStr">
        <is>
          <t>HOLD</t>
        </is>
      </c>
      <c r="E529" s="14" t="n">
        <v>0.48</v>
      </c>
      <c r="F529" s="13" t="inlineStr">
        <is>
          <t>MEDIUM</t>
        </is>
      </c>
      <c r="G529" s="15" t="n">
        <v>18.355</v>
      </c>
      <c r="K529" s="26">
        <f>IF(H529="","",(H529-G529)/G529)</f>
        <v/>
      </c>
      <c r="L529" s="26">
        <f>IF(I529="","",(I529-G529)/G529)</f>
        <v/>
      </c>
      <c r="M529" s="26">
        <f>IF(J529="","",(J529-G529)/G529)</f>
        <v/>
      </c>
      <c r="N529" s="27">
        <f>IF(H529="","",IF(D529="HOLD",IF(ABS(K529)&lt;0.03,"YES","NO"),IF(D529="BUY",IF(K529&gt;0,"YES","NO"),IF(D529="SELL",IF(K529&lt;0,"YES","NO"),""))))</f>
        <v/>
      </c>
    </row>
    <row r="530" ht="15" customHeight="1">
      <c r="A530" s="12" t="n">
        <v>46191</v>
      </c>
      <c r="B530" s="13" t="inlineStr">
        <is>
          <t>AIQ</t>
        </is>
      </c>
      <c r="C530" s="13" t="inlineStr">
        <is>
          <t>Roth IRA,Individual</t>
        </is>
      </c>
      <c r="D530" s="13" t="inlineStr">
        <is>
          <t>HOLD</t>
        </is>
      </c>
      <c r="E530" s="14" t="n">
        <v>0.62</v>
      </c>
      <c r="F530" s="13" t="inlineStr">
        <is>
          <t>MEDIUM</t>
        </is>
      </c>
      <c r="G530" s="15" t="n">
        <v>66.04000000000001</v>
      </c>
      <c r="K530" s="26">
        <f>IF(H530="","",(H530-G530)/G530)</f>
        <v/>
      </c>
      <c r="L530" s="26">
        <f>IF(I530="","",(I530-G530)/G530)</f>
        <v/>
      </c>
      <c r="M530" s="26">
        <f>IF(J530="","",(J530-G530)/G530)</f>
        <v/>
      </c>
      <c r="N530" s="27">
        <f>IF(H530="","",IF(D530="HOLD",IF(ABS(K530)&lt;0.03,"YES","NO"),IF(D530="BUY",IF(K530&gt;0,"YES","NO"),IF(D530="SELL",IF(K530&lt;0,"YES","NO"),""))))</f>
        <v/>
      </c>
    </row>
    <row r="531" ht="15" customHeight="1">
      <c r="A531" s="12" t="n">
        <v>46191</v>
      </c>
      <c r="B531" s="13" t="inlineStr">
        <is>
          <t>CBRS</t>
        </is>
      </c>
      <c r="C531" s="13" t="inlineStr">
        <is>
          <t>Individual</t>
        </is>
      </c>
      <c r="D531" s="13" t="inlineStr">
        <is>
          <t>HOLD</t>
        </is>
      </c>
      <c r="E531" s="14" t="n">
        <v>0.42</v>
      </c>
      <c r="F531" s="13" t="inlineStr">
        <is>
          <t>MEDIUM</t>
        </is>
      </c>
      <c r="G531" s="15" t="n">
        <v>232.74</v>
      </c>
      <c r="K531" s="26">
        <f>IF(H531="","",(H531-G531)/G531)</f>
        <v/>
      </c>
      <c r="L531" s="26">
        <f>IF(I531="","",(I531-G531)/G531)</f>
        <v/>
      </c>
      <c r="M531" s="26">
        <f>IF(J531="","",(J531-G531)/G531)</f>
        <v/>
      </c>
      <c r="N531" s="27">
        <f>IF(H531="","",IF(D531="HOLD",IF(ABS(K531)&lt;0.03,"YES","NO"),IF(D531="BUY",IF(K531&gt;0,"YES","NO"),IF(D531="SELL",IF(K531&lt;0,"YES","NO"),""))))</f>
        <v/>
      </c>
    </row>
    <row r="532" ht="15" customHeight="1">
      <c r="A532" s="12" t="n">
        <v>46191</v>
      </c>
      <c r="B532" s="13" t="inlineStr">
        <is>
          <t>CORN</t>
        </is>
      </c>
      <c r="C532" s="13" t="inlineStr">
        <is>
          <t>Individual</t>
        </is>
      </c>
      <c r="D532" s="13" t="inlineStr">
        <is>
          <t>HOLD</t>
        </is>
      </c>
      <c r="E532" s="14" t="n">
        <v>0.42</v>
      </c>
      <c r="F532" s="13" t="inlineStr">
        <is>
          <t>MEDIUM</t>
        </is>
      </c>
      <c r="G532" s="15" t="n">
        <v>16.98</v>
      </c>
      <c r="K532" s="26">
        <f>IF(H532="","",(H532-G532)/G532)</f>
        <v/>
      </c>
      <c r="L532" s="26">
        <f>IF(I532="","",(I532-G532)/G532)</f>
        <v/>
      </c>
      <c r="M532" s="26">
        <f>IF(J532="","",(J532-G532)/G532)</f>
        <v/>
      </c>
      <c r="N532" s="27">
        <f>IF(H532="","",IF(D532="HOLD",IF(ABS(K532)&lt;0.03,"YES","NO"),IF(D532="BUY",IF(K532&gt;0,"YES","NO"),IF(D532="SELL",IF(K532&lt;0,"YES","NO"),""))))</f>
        <v/>
      </c>
    </row>
    <row r="533" ht="15" customHeight="1">
      <c r="A533" s="12" t="n">
        <v>46191</v>
      </c>
      <c r="B533" s="13" t="inlineStr">
        <is>
          <t>DOW</t>
        </is>
      </c>
      <c r="C533" s="13" t="inlineStr">
        <is>
          <t>Roth IRA,Individual</t>
        </is>
      </c>
      <c r="D533" s="13" t="inlineStr">
        <is>
          <t>HOLD</t>
        </is>
      </c>
      <c r="E533" s="14" t="n">
        <v>0.42</v>
      </c>
      <c r="F533" s="13" t="inlineStr">
        <is>
          <t>HIGH</t>
        </is>
      </c>
      <c r="G533" s="15" t="n">
        <v>31.93</v>
      </c>
      <c r="K533" s="26">
        <f>IF(H533="","",(H533-G533)/G533)</f>
        <v/>
      </c>
      <c r="L533" s="26">
        <f>IF(I533="","",(I533-G533)/G533)</f>
        <v/>
      </c>
      <c r="M533" s="26">
        <f>IF(J533="","",(J533-G533)/G533)</f>
        <v/>
      </c>
      <c r="N533" s="27">
        <f>IF(H533="","",IF(D533="HOLD",IF(ABS(K533)&lt;0.03,"YES","NO"),IF(D533="BUY",IF(K533&gt;0,"YES","NO"),IF(D533="SELL",IF(K533&lt;0,"YES","NO"),""))))</f>
        <v/>
      </c>
    </row>
    <row r="534" ht="15" customHeight="1">
      <c r="A534" s="12" t="n">
        <v>46191</v>
      </c>
      <c r="B534" s="13" t="inlineStr">
        <is>
          <t>FTI</t>
        </is>
      </c>
      <c r="C534" s="13" t="inlineStr">
        <is>
          <t>Individual</t>
        </is>
      </c>
      <c r="D534" s="13" t="inlineStr">
        <is>
          <t>HOLD</t>
        </is>
      </c>
      <c r="E534" s="14" t="n">
        <v>0.55</v>
      </c>
      <c r="F534" s="13" t="inlineStr">
        <is>
          <t>HIGH</t>
        </is>
      </c>
      <c r="G534" s="15" t="n">
        <v>64.19</v>
      </c>
      <c r="K534" s="26">
        <f>IF(H534="","",(H534-G534)/G534)</f>
        <v/>
      </c>
      <c r="L534" s="26">
        <f>IF(I534="","",(I534-G534)/G534)</f>
        <v/>
      </c>
      <c r="M534" s="26">
        <f>IF(J534="","",(J534-G534)/G534)</f>
        <v/>
      </c>
      <c r="N534" s="27">
        <f>IF(H534="","",IF(D534="HOLD",IF(ABS(K534)&lt;0.03,"YES","NO"),IF(D534="BUY",IF(K534&gt;0,"YES","NO"),IF(D534="SELL",IF(K534&lt;0,"YES","NO"),""))))</f>
        <v/>
      </c>
    </row>
    <row r="535" ht="15" customHeight="1">
      <c r="A535" s="12" t="n">
        <v>46191</v>
      </c>
      <c r="B535" s="13" t="inlineStr">
        <is>
          <t>GM</t>
        </is>
      </c>
      <c r="C535" s="13" t="inlineStr">
        <is>
          <t>Roth IRA,Individual</t>
        </is>
      </c>
      <c r="D535" s="13" t="inlineStr">
        <is>
          <t>HOLD</t>
        </is>
      </c>
      <c r="E535" s="14" t="n">
        <v>0.62</v>
      </c>
      <c r="F535" s="13" t="inlineStr">
        <is>
          <t>HIGH</t>
        </is>
      </c>
      <c r="G535" s="15" t="n">
        <v>79.55</v>
      </c>
      <c r="K535" s="26">
        <f>IF(H535="","",(H535-G535)/G535)</f>
        <v/>
      </c>
      <c r="L535" s="26">
        <f>IF(I535="","",(I535-G535)/G535)</f>
        <v/>
      </c>
      <c r="M535" s="26">
        <f>IF(J535="","",(J535-G535)/G535)</f>
        <v/>
      </c>
      <c r="N535" s="27">
        <f>IF(H535="","",IF(D535="HOLD",IF(ABS(K535)&lt;0.03,"YES","NO"),IF(D535="BUY",IF(K535&gt;0,"YES","NO"),IF(D535="SELL",IF(K535&lt;0,"YES","NO"),""))))</f>
        <v/>
      </c>
    </row>
    <row r="536" ht="15" customHeight="1">
      <c r="A536" s="12" t="n">
        <v>46191</v>
      </c>
      <c r="B536" s="13" t="inlineStr">
        <is>
          <t>JPM</t>
        </is>
      </c>
      <c r="C536" s="13" t="inlineStr">
        <is>
          <t>Roth IRA</t>
        </is>
      </c>
      <c r="D536" s="13" t="inlineStr">
        <is>
          <t>HOLD</t>
        </is>
      </c>
      <c r="E536" s="14" t="n">
        <v>0.65</v>
      </c>
      <c r="F536" s="13" t="inlineStr">
        <is>
          <t>HIGH</t>
        </is>
      </c>
      <c r="G536" s="15" t="n">
        <v>332.5063</v>
      </c>
      <c r="K536" s="26">
        <f>IF(H536="","",(H536-G536)/G536)</f>
        <v/>
      </c>
      <c r="L536" s="26">
        <f>IF(I536="","",(I536-G536)/G536)</f>
        <v/>
      </c>
      <c r="M536" s="26">
        <f>IF(J536="","",(J536-G536)/G536)</f>
        <v/>
      </c>
      <c r="N536" s="27">
        <f>IF(H536="","",IF(D536="HOLD",IF(ABS(K536)&lt;0.03,"YES","NO"),IF(D536="BUY",IF(K536&gt;0,"YES","NO"),IF(D536="SELL",IF(K536&lt;0,"YES","NO"),""))))</f>
        <v/>
      </c>
    </row>
    <row r="537" ht="15" customHeight="1">
      <c r="A537" s="12" t="n">
        <v>46191</v>
      </c>
      <c r="B537" s="13" t="inlineStr">
        <is>
          <t>MSFT</t>
        </is>
      </c>
      <c r="C537" s="13" t="inlineStr">
        <is>
          <t>Roth IRA,Individual</t>
        </is>
      </c>
      <c r="D537" s="13" t="inlineStr">
        <is>
          <t>HOLD</t>
        </is>
      </c>
      <c r="E537" s="14" t="n">
        <v>0.52</v>
      </c>
      <c r="F537" s="13" t="inlineStr">
        <is>
          <t>HIGH</t>
        </is>
      </c>
      <c r="G537" s="15" t="n">
        <v>377.32</v>
      </c>
      <c r="K537" s="26">
        <f>IF(H537="","",(H537-G537)/G537)</f>
        <v/>
      </c>
      <c r="L537" s="26">
        <f>IF(I537="","",(I537-G537)/G537)</f>
        <v/>
      </c>
      <c r="M537" s="26">
        <f>IF(J537="","",(J537-G537)/G537)</f>
        <v/>
      </c>
      <c r="N537" s="27">
        <f>IF(H537="","",IF(D537="HOLD",IF(ABS(K537)&lt;0.03,"YES","NO"),IF(D537="BUY",IF(K537&gt;0,"YES","NO"),IF(D537="SELL",IF(K537&lt;0,"YES","NO"),""))))</f>
        <v/>
      </c>
    </row>
    <row r="538" ht="15" customHeight="1">
      <c r="A538" s="12" t="n">
        <v>46191</v>
      </c>
      <c r="B538" s="13" t="inlineStr">
        <is>
          <t>NKE</t>
        </is>
      </c>
      <c r="C538" s="13" t="inlineStr">
        <is>
          <t>Roth IRA</t>
        </is>
      </c>
      <c r="D538" s="13" t="inlineStr">
        <is>
          <t>HOLD</t>
        </is>
      </c>
      <c r="E538" s="14" t="n">
        <v>0.52</v>
      </c>
      <c r="F538" s="13" t="inlineStr">
        <is>
          <t>HIGH</t>
        </is>
      </c>
      <c r="G538" s="15" t="n">
        <v>45.315</v>
      </c>
      <c r="K538" s="26">
        <f>IF(H538="","",(H538-G538)/G538)</f>
        <v/>
      </c>
      <c r="L538" s="26">
        <f>IF(I538="","",(I538-G538)/G538)</f>
        <v/>
      </c>
      <c r="M538" s="26">
        <f>IF(J538="","",(J538-G538)/G538)</f>
        <v/>
      </c>
      <c r="N538" s="27">
        <f>IF(H538="","",IF(D538="HOLD",IF(ABS(K538)&lt;0.03,"YES","NO"),IF(D538="BUY",IF(K538&gt;0,"YES","NO"),IF(D538="SELL",IF(K538&lt;0,"YES","NO"),""))))</f>
        <v/>
      </c>
    </row>
    <row r="539" ht="15" customHeight="1">
      <c r="A539" s="12" t="n">
        <v>46191</v>
      </c>
      <c r="B539" s="13" t="inlineStr">
        <is>
          <t>NTR</t>
        </is>
      </c>
      <c r="C539" s="13" t="inlineStr">
        <is>
          <t>Roth IRA,Individual</t>
        </is>
      </c>
      <c r="D539" s="13" t="inlineStr">
        <is>
          <t>HOLD</t>
        </is>
      </c>
      <c r="E539" s="14" t="n">
        <v>0.45</v>
      </c>
      <c r="F539" s="13" t="inlineStr">
        <is>
          <t>HIGH</t>
        </is>
      </c>
      <c r="G539" s="15" t="n">
        <v>63.18</v>
      </c>
      <c r="K539" s="26">
        <f>IF(H539="","",(H539-G539)/G539)</f>
        <v/>
      </c>
      <c r="L539" s="26">
        <f>IF(I539="","",(I539-G539)/G539)</f>
        <v/>
      </c>
      <c r="M539" s="26">
        <f>IF(J539="","",(J539-G539)/G539)</f>
        <v/>
      </c>
      <c r="N539" s="27">
        <f>IF(H539="","",IF(D539="HOLD",IF(ABS(K539)&lt;0.03,"YES","NO"),IF(D539="BUY",IF(K539&gt;0,"YES","NO"),IF(D539="SELL",IF(K539&lt;0,"YES","NO"),""))))</f>
        <v/>
      </c>
    </row>
    <row r="540" ht="15" customHeight="1">
      <c r="A540" s="12" t="n">
        <v>46191</v>
      </c>
      <c r="B540" s="13" t="inlineStr">
        <is>
          <t>PM</t>
        </is>
      </c>
      <c r="C540" s="13" t="inlineStr">
        <is>
          <t>Roth IRA</t>
        </is>
      </c>
      <c r="D540" s="13" t="inlineStr">
        <is>
          <t>HOLD</t>
        </is>
      </c>
      <c r="E540" s="14" t="n">
        <v>0.62</v>
      </c>
      <c r="F540" s="13" t="inlineStr">
        <is>
          <t>HIGH</t>
        </is>
      </c>
      <c r="G540" s="15" t="n">
        <v>179.735</v>
      </c>
      <c r="K540" s="26">
        <f>IF(H540="","",(H540-G540)/G540)</f>
        <v/>
      </c>
      <c r="L540" s="26">
        <f>IF(I540="","",(I540-G540)/G540)</f>
        <v/>
      </c>
      <c r="M540" s="26">
        <f>IF(J540="","",(J540-G540)/G540)</f>
        <v/>
      </c>
      <c r="N540" s="27">
        <f>IF(H540="","",IF(D540="HOLD",IF(ABS(K540)&lt;0.03,"YES","NO"),IF(D540="BUY",IF(K540&gt;0,"YES","NO"),IF(D540="SELL",IF(K540&lt;0,"YES","NO"),""))))</f>
        <v/>
      </c>
    </row>
    <row r="541" ht="15" customHeight="1">
      <c r="A541" s="12" t="n">
        <v>46191</v>
      </c>
      <c r="B541" s="13" t="inlineStr">
        <is>
          <t>PWR</t>
        </is>
      </c>
      <c r="C541" s="13" t="inlineStr">
        <is>
          <t>Roth IRA</t>
        </is>
      </c>
      <c r="D541" s="13" t="inlineStr">
        <is>
          <t>HOLD</t>
        </is>
      </c>
      <c r="E541" s="14" t="n">
        <v>0.58</v>
      </c>
      <c r="F541" s="13" t="inlineStr">
        <is>
          <t>HIGH</t>
        </is>
      </c>
      <c r="G541" s="15" t="n">
        <v>701.02</v>
      </c>
      <c r="K541" s="26">
        <f>IF(H541="","",(H541-G541)/G541)</f>
        <v/>
      </c>
      <c r="L541" s="26">
        <f>IF(I541="","",(I541-G541)/G541)</f>
        <v/>
      </c>
      <c r="M541" s="26">
        <f>IF(J541="","",(J541-G541)/G541)</f>
        <v/>
      </c>
      <c r="N541" s="27">
        <f>IF(H541="","",IF(D541="HOLD",IF(ABS(K541)&lt;0.03,"YES","NO"),IF(D541="BUY",IF(K541&gt;0,"YES","NO"),IF(D541="SELL",IF(K541&lt;0,"YES","NO"),""))))</f>
        <v/>
      </c>
    </row>
    <row r="542" ht="15" customHeight="1">
      <c r="A542" s="12" t="n">
        <v>46191</v>
      </c>
      <c r="B542" s="13" t="inlineStr">
        <is>
          <t>RTX</t>
        </is>
      </c>
      <c r="C542" s="13" t="inlineStr">
        <is>
          <t>Individual</t>
        </is>
      </c>
      <c r="D542" s="13" t="inlineStr">
        <is>
          <t>HOLD</t>
        </is>
      </c>
      <c r="E542" s="14" t="n">
        <v>0.62</v>
      </c>
      <c r="F542" s="13" t="inlineStr">
        <is>
          <t>HIGH</t>
        </is>
      </c>
      <c r="G542" s="15" t="n">
        <v>187.535</v>
      </c>
      <c r="K542" s="26">
        <f>IF(H542="","",(H542-G542)/G542)</f>
        <v/>
      </c>
      <c r="L542" s="26">
        <f>IF(I542="","",(I542-G542)/G542)</f>
        <v/>
      </c>
      <c r="M542" s="26">
        <f>IF(J542="","",(J542-G542)/G542)</f>
        <v/>
      </c>
      <c r="N542" s="27">
        <f>IF(H542="","",IF(D542="HOLD",IF(ABS(K542)&lt;0.03,"YES","NO"),IF(D542="BUY",IF(K542&gt;0,"YES","NO"),IF(D542="SELL",IF(K542&lt;0,"YES","NO"),""))))</f>
        <v/>
      </c>
    </row>
    <row r="543" ht="15" customHeight="1">
      <c r="A543" s="12" t="n">
        <v>46191</v>
      </c>
      <c r="B543" s="13" t="inlineStr">
        <is>
          <t>SCHD</t>
        </is>
      </c>
      <c r="C543" s="13" t="inlineStr">
        <is>
          <t>Roth IRA</t>
        </is>
      </c>
      <c r="D543" s="13" t="inlineStr">
        <is>
          <t>HOLD</t>
        </is>
      </c>
      <c r="E543" s="14" t="n">
        <v>0.65</v>
      </c>
      <c r="F543" s="13" t="inlineStr">
        <is>
          <t>HIGH</t>
        </is>
      </c>
      <c r="G543" s="15" t="n">
        <v>31.885</v>
      </c>
      <c r="K543" s="26">
        <f>IF(H543="","",(H543-G543)/G543)</f>
        <v/>
      </c>
      <c r="L543" s="26">
        <f>IF(I543="","",(I543-G543)/G543)</f>
        <v/>
      </c>
      <c r="M543" s="26">
        <f>IF(J543="","",(J543-G543)/G543)</f>
        <v/>
      </c>
      <c r="N543" s="27">
        <f>IF(H543="","",IF(D543="HOLD",IF(ABS(K543)&lt;0.03,"YES","NO"),IF(D543="BUY",IF(K543&gt;0,"YES","NO"),IF(D543="SELL",IF(K543&lt;0,"YES","NO"),""))))</f>
        <v/>
      </c>
    </row>
    <row r="544" ht="15" customHeight="1">
      <c r="A544" s="12" t="n">
        <v>46191</v>
      </c>
      <c r="B544" s="13" t="inlineStr">
        <is>
          <t>SND</t>
        </is>
      </c>
      <c r="C544" s="13" t="inlineStr">
        <is>
          <t>Individual</t>
        </is>
      </c>
      <c r="D544" s="13" t="inlineStr">
        <is>
          <t>HOLD</t>
        </is>
      </c>
      <c r="E544" s="14" t="n">
        <v>0.42</v>
      </c>
      <c r="F544" s="13" t="inlineStr">
        <is>
          <t>MEDIUM</t>
        </is>
      </c>
      <c r="G544" s="15" t="n">
        <v>4.755</v>
      </c>
      <c r="K544" s="26">
        <f>IF(H544="","",(H544-G544)/G544)</f>
        <v/>
      </c>
      <c r="L544" s="26">
        <f>IF(I544="","",(I544-G544)/G544)</f>
        <v/>
      </c>
      <c r="M544" s="26">
        <f>IF(J544="","",(J544-G544)/G544)</f>
        <v/>
      </c>
      <c r="N544" s="27">
        <f>IF(H544="","",IF(D544="HOLD",IF(ABS(K544)&lt;0.03,"YES","NO"),IF(D544="BUY",IF(K544&gt;0,"YES","NO"),IF(D544="SELL",IF(K544&lt;0,"YES","NO"),""))))</f>
        <v/>
      </c>
    </row>
    <row r="545" ht="15" customHeight="1">
      <c r="A545" s="12" t="n">
        <v>46191</v>
      </c>
      <c r="B545" s="13" t="inlineStr">
        <is>
          <t>WMT</t>
        </is>
      </c>
      <c r="C545" s="13" t="inlineStr">
        <is>
          <t>Roth IRA,Individual</t>
        </is>
      </c>
      <c r="D545" s="13" t="inlineStr">
        <is>
          <t>HOLD</t>
        </is>
      </c>
      <c r="E545" s="14" t="n">
        <v>0.52</v>
      </c>
      <c r="F545" s="13" t="inlineStr">
        <is>
          <t>MEDIUM</t>
        </is>
      </c>
      <c r="G545" s="15" t="n">
        <v>117.49</v>
      </c>
      <c r="K545" s="26">
        <f>IF(H545="","",(H545-G545)/G545)</f>
        <v/>
      </c>
      <c r="L545" s="26">
        <f>IF(I545="","",(I545-G545)/G545)</f>
        <v/>
      </c>
      <c r="M545" s="26">
        <f>IF(J545="","",(J545-G545)/G545)</f>
        <v/>
      </c>
      <c r="N545" s="27">
        <f>IF(H545="","",IF(D545="HOLD",IF(ABS(K545)&lt;0.03,"YES","NO"),IF(D545="BUY",IF(K545&gt;0,"YES","NO"),IF(D545="SELL",IF(K545&lt;0,"YES","NO"),""))))</f>
        <v/>
      </c>
    </row>
    <row r="546" ht="15" customHeight="1">
      <c r="A546" s="12" t="n">
        <v>46191</v>
      </c>
      <c r="B546" s="13" t="inlineStr">
        <is>
          <t>XLU</t>
        </is>
      </c>
      <c r="C546" s="13" t="inlineStr">
        <is>
          <t>Roth IRA</t>
        </is>
      </c>
      <c r="D546" s="13" t="inlineStr">
        <is>
          <t>HOLD</t>
        </is>
      </c>
      <c r="E546" s="14" t="n">
        <v>0.58</v>
      </c>
      <c r="F546" s="13" t="inlineStr">
        <is>
          <t>MEDIUM</t>
        </is>
      </c>
      <c r="G546" s="15" t="n">
        <v>44.949</v>
      </c>
      <c r="K546" s="26">
        <f>IF(H546="","",(H546-G546)/G546)</f>
        <v/>
      </c>
      <c r="L546" s="26">
        <f>IF(I546="","",(I546-G546)/G546)</f>
        <v/>
      </c>
      <c r="M546" s="26">
        <f>IF(J546="","",(J546-G546)/G546)</f>
        <v/>
      </c>
      <c r="N546" s="27">
        <f>IF(H546="","",IF(D546="HOLD",IF(ABS(K546)&lt;0.03,"YES","NO"),IF(D546="BUY",IF(K546&gt;0,"YES","NO"),IF(D546="SELL",IF(K546&lt;0,"YES","NO"),""))))</f>
        <v/>
      </c>
    </row>
    <row r="547" ht="15" customHeight="1">
      <c r="A547" s="12" t="n">
        <v>46191</v>
      </c>
      <c r="B547" s="13" t="inlineStr">
        <is>
          <t>SPY</t>
        </is>
      </c>
      <c r="C547" s="13" t="inlineStr">
        <is>
          <t>Scout</t>
        </is>
      </c>
      <c r="D547" s="13" t="inlineStr">
        <is>
          <t>HOLD</t>
        </is>
      </c>
      <c r="E547" s="14" t="n">
        <v>0.52</v>
      </c>
      <c r="F547" s="13" t="inlineStr">
        <is>
          <t>HIGH</t>
        </is>
      </c>
      <c r="G547" s="15" t="n">
        <v>745.6</v>
      </c>
      <c r="K547" s="26">
        <f>IF(H547="","",(H547-G547)/G547)</f>
        <v/>
      </c>
      <c r="L547" s="26">
        <f>IF(I547="","",(I547-G547)/G547)</f>
        <v/>
      </c>
      <c r="M547" s="26">
        <f>IF(J547="","",(J547-G547)/G547)</f>
        <v/>
      </c>
      <c r="N547" s="27">
        <f>IF(H547="","",IF(D547="HOLD",IF(ABS(K547)&lt;0.03,"YES","NO"),IF(D547="BUY",IF(K547&gt;0,"YES","NO"),IF(D547="SELL",IF(K547&lt;0,"YES","NO"),""))))</f>
        <v/>
      </c>
    </row>
    <row r="548" ht="15" customHeight="1">
      <c r="A548" s="12" t="n">
        <v>46191</v>
      </c>
      <c r="B548" s="13" t="inlineStr">
        <is>
          <t>QQQ</t>
        </is>
      </c>
      <c r="C548" s="13" t="inlineStr">
        <is>
          <t>Scout</t>
        </is>
      </c>
      <c r="D548" s="13" t="inlineStr">
        <is>
          <t>HOLD</t>
        </is>
      </c>
      <c r="E548" s="14" t="n">
        <v>0.52</v>
      </c>
      <c r="F548" s="13" t="inlineStr">
        <is>
          <t>MEDIUM</t>
        </is>
      </c>
      <c r="G548" s="15" t="n">
        <v>736.0599999999999</v>
      </c>
      <c r="K548" s="26">
        <f>IF(H548="","",(H548-G548)/G548)</f>
        <v/>
      </c>
      <c r="L548" s="26">
        <f>IF(I548="","",(I548-G548)/G548)</f>
        <v/>
      </c>
      <c r="M548" s="26">
        <f>IF(J548="","",(J548-G548)/G548)</f>
        <v/>
      </c>
      <c r="N548" s="27">
        <f>IF(H548="","",IF(D548="HOLD",IF(ABS(K548)&lt;0.03,"YES","NO"),IF(D548="BUY",IF(K548&gt;0,"YES","NO"),IF(D548="SELL",IF(K548&lt;0,"YES","NO"),""))))</f>
        <v/>
      </c>
    </row>
    <row r="549" ht="15" customHeight="1">
      <c r="A549" s="12" t="n">
        <v>46191</v>
      </c>
      <c r="B549" s="13" t="inlineStr">
        <is>
          <t>VTI</t>
        </is>
      </c>
      <c r="C549" s="13" t="inlineStr">
        <is>
          <t>Scout</t>
        </is>
      </c>
      <c r="D549" s="13" t="inlineStr">
        <is>
          <t>HOLD</t>
        </is>
      </c>
      <c r="E549" s="14" t="n">
        <v>0.58</v>
      </c>
      <c r="F549" s="13" t="inlineStr">
        <is>
          <t>HIGH</t>
        </is>
      </c>
      <c r="G549" s="15" t="n">
        <v>369.3401</v>
      </c>
      <c r="K549" s="26">
        <f>IF(H549="","",(H549-G549)/G549)</f>
        <v/>
      </c>
      <c r="L549" s="26">
        <f>IF(I549="","",(I549-G549)/G549)</f>
        <v/>
      </c>
      <c r="M549" s="26">
        <f>IF(J549="","",(J549-G549)/G549)</f>
        <v/>
      </c>
      <c r="N549" s="27">
        <f>IF(H549="","",IF(D549="HOLD",IF(ABS(K549)&lt;0.03,"YES","NO"),IF(D549="BUY",IF(K549&gt;0,"YES","NO"),IF(D549="SELL",IF(K549&lt;0,"YES","NO"),""))))</f>
        <v/>
      </c>
    </row>
    <row r="550" ht="15" customHeight="1">
      <c r="A550" s="12" t="n">
        <v>46191</v>
      </c>
      <c r="B550" s="13" t="inlineStr">
        <is>
          <t>NVDA</t>
        </is>
      </c>
      <c r="C550" s="13" t="inlineStr">
        <is>
          <t>Scout</t>
        </is>
      </c>
      <c r="D550" s="13" t="inlineStr">
        <is>
          <t>HOLD</t>
        </is>
      </c>
      <c r="E550" s="14" t="n">
        <v>0.58</v>
      </c>
      <c r="F550" s="13" t="inlineStr">
        <is>
          <t>HIGH</t>
        </is>
      </c>
      <c r="G550" s="15" t="n">
        <v>208.88</v>
      </c>
      <c r="K550" s="26">
        <f>IF(H550="","",(H550-G550)/G550)</f>
        <v/>
      </c>
      <c r="L550" s="26">
        <f>IF(I550="","",(I550-G550)/G550)</f>
        <v/>
      </c>
      <c r="M550" s="26">
        <f>IF(J550="","",(J550-G550)/G550)</f>
        <v/>
      </c>
      <c r="N550" s="27">
        <f>IF(H550="","",IF(D550="HOLD",IF(ABS(K550)&lt;0.03,"YES","NO"),IF(D550="BUY",IF(K550&gt;0,"YES","NO"),IF(D550="SELL",IF(K550&lt;0,"YES","NO"),""))))</f>
        <v/>
      </c>
    </row>
    <row r="551" ht="15" customHeight="1">
      <c r="A551" s="12" t="n">
        <v>46191</v>
      </c>
      <c r="B551" s="13" t="inlineStr">
        <is>
          <t>GLD</t>
        </is>
      </c>
      <c r="C551" s="13" t="inlineStr">
        <is>
          <t>Scout</t>
        </is>
      </c>
      <c r="D551" s="13" t="inlineStr">
        <is>
          <t>HOLD</t>
        </is>
      </c>
      <c r="E551" s="14" t="n">
        <v>0.48</v>
      </c>
      <c r="F551" s="13" t="inlineStr">
        <is>
          <t>MEDIUM</t>
        </is>
      </c>
      <c r="G551" s="15" t="n">
        <v>390.11</v>
      </c>
      <c r="K551" s="26">
        <f>IF(H551="","",(H551-G551)/G551)</f>
        <v/>
      </c>
      <c r="L551" s="26">
        <f>IF(I551="","",(I551-G551)/G551)</f>
        <v/>
      </c>
      <c r="M551" s="26">
        <f>IF(J551="","",(J551-G551)/G551)</f>
        <v/>
      </c>
      <c r="N551" s="27">
        <f>IF(H551="","",IF(D551="HOLD",IF(ABS(K551)&lt;0.03,"YES","NO"),IF(D551="BUY",IF(K551&gt;0,"YES","NO"),IF(D551="SELL",IF(K551&lt;0,"YES","NO"),""))))</f>
        <v/>
      </c>
    </row>
    <row r="552" ht="15" customHeight="1">
      <c r="A552" s="12" t="n">
        <v>46195</v>
      </c>
      <c r="B552" s="13" t="inlineStr">
        <is>
          <t>AAPL</t>
        </is>
      </c>
      <c r="C552" s="13" t="inlineStr">
        <is>
          <t>Roth IRA</t>
        </is>
      </c>
      <c r="D552" s="13" t="inlineStr">
        <is>
          <t>HOLD</t>
        </is>
      </c>
      <c r="E552" s="14" t="n">
        <v>0.58</v>
      </c>
      <c r="F552" s="13" t="inlineStr">
        <is>
          <t>HIGH</t>
        </is>
      </c>
      <c r="G552" s="15" t="n">
        <v>299.83</v>
      </c>
      <c r="K552" s="26">
        <f>IF(H552="","",(H552-G552)/G552)</f>
        <v/>
      </c>
      <c r="L552" s="26">
        <f>IF(I552="","",(I552-G552)/G552)</f>
        <v/>
      </c>
      <c r="M552" s="26">
        <f>IF(J552="","",(J552-G552)/G552)</f>
        <v/>
      </c>
      <c r="N552" s="27">
        <f>IF(H552="","",IF(D552="HOLD",IF(ABS(K552)&lt;0.03,"YES","NO"),IF(D552="BUY",IF(K552&gt;0,"YES","NO"),IF(D552="SELL",IF(K552&lt;0,"YES","NO"),""))))</f>
        <v/>
      </c>
    </row>
    <row r="553" ht="15" customHeight="1">
      <c r="A553" s="12" t="n">
        <v>46195</v>
      </c>
      <c r="B553" s="13" t="inlineStr">
        <is>
          <t>AG</t>
        </is>
      </c>
      <c r="C553" s="13" t="inlineStr">
        <is>
          <t>Individual</t>
        </is>
      </c>
      <c r="D553" s="13" t="inlineStr">
        <is>
          <t>HOLD</t>
        </is>
      </c>
      <c r="E553" s="14" t="n">
        <v>0.45</v>
      </c>
      <c r="F553" s="13" t="inlineStr">
        <is>
          <t>MEDIUM</t>
        </is>
      </c>
      <c r="G553" s="15" t="n">
        <v>17.88</v>
      </c>
      <c r="K553" s="26">
        <f>IF(H553="","",(H553-G553)/G553)</f>
        <v/>
      </c>
      <c r="L553" s="26">
        <f>IF(I553="","",(I553-G553)/G553)</f>
        <v/>
      </c>
      <c r="M553" s="26">
        <f>IF(J553="","",(J553-G553)/G553)</f>
        <v/>
      </c>
      <c r="N553" s="27">
        <f>IF(H553="","",IF(D553="HOLD",IF(ABS(K553)&lt;0.03,"YES","NO"),IF(D553="BUY",IF(K553&gt;0,"YES","NO"),IF(D553="SELL",IF(K553&lt;0,"YES","NO"),""))))</f>
        <v/>
      </c>
    </row>
    <row r="554" ht="15" customHeight="1">
      <c r="A554" s="12" t="n">
        <v>46195</v>
      </c>
      <c r="B554" s="13" t="inlineStr">
        <is>
          <t>AIQ</t>
        </is>
      </c>
      <c r="C554" s="13" t="inlineStr">
        <is>
          <t>Roth IRA,Individual</t>
        </is>
      </c>
      <c r="D554" s="13" t="inlineStr">
        <is>
          <t>HOLD</t>
        </is>
      </c>
      <c r="E554" s="14" t="n">
        <v>0.62</v>
      </c>
      <c r="F554" s="13" t="inlineStr">
        <is>
          <t>HIGH</t>
        </is>
      </c>
      <c r="G554" s="15" t="n">
        <v>67.035</v>
      </c>
      <c r="K554" s="26">
        <f>IF(H554="","",(H554-G554)/G554)</f>
        <v/>
      </c>
      <c r="L554" s="26">
        <f>IF(I554="","",(I554-G554)/G554)</f>
        <v/>
      </c>
      <c r="M554" s="26">
        <f>IF(J554="","",(J554-G554)/G554)</f>
        <v/>
      </c>
      <c r="N554" s="27">
        <f>IF(H554="","",IF(D554="HOLD",IF(ABS(K554)&lt;0.03,"YES","NO"),IF(D554="BUY",IF(K554&gt;0,"YES","NO"),IF(D554="SELL",IF(K554&lt;0,"YES","NO"),""))))</f>
        <v/>
      </c>
    </row>
    <row r="555" ht="15" customHeight="1">
      <c r="A555" s="12" t="n">
        <v>46195</v>
      </c>
      <c r="B555" s="13" t="inlineStr">
        <is>
          <t>CBRS</t>
        </is>
      </c>
      <c r="C555" s="13" t="inlineStr">
        <is>
          <t>Individual</t>
        </is>
      </c>
      <c r="D555" s="13" t="inlineStr">
        <is>
          <t>HOLD</t>
        </is>
      </c>
      <c r="E555" s="14" t="n">
        <v>0.42</v>
      </c>
      <c r="F555" s="13" t="inlineStr">
        <is>
          <t>MEDIUM</t>
        </is>
      </c>
      <c r="G555" s="15" t="n">
        <v>230.6</v>
      </c>
      <c r="K555" s="26">
        <f>IF(H555="","",(H555-G555)/G555)</f>
        <v/>
      </c>
      <c r="L555" s="26">
        <f>IF(I555="","",(I555-G555)/G555)</f>
        <v/>
      </c>
      <c r="M555" s="26">
        <f>IF(J555="","",(J555-G555)/G555)</f>
        <v/>
      </c>
      <c r="N555" s="27">
        <f>IF(H555="","",IF(D555="HOLD",IF(ABS(K555)&lt;0.03,"YES","NO"),IF(D555="BUY",IF(K555&gt;0,"YES","NO"),IF(D555="SELL",IF(K555&lt;0,"YES","NO"),""))))</f>
        <v/>
      </c>
    </row>
    <row r="556" ht="15" customHeight="1">
      <c r="A556" s="12" t="n">
        <v>46195</v>
      </c>
      <c r="B556" s="13" t="inlineStr">
        <is>
          <t>CORN</t>
        </is>
      </c>
      <c r="C556" s="13" t="inlineStr">
        <is>
          <t>Individual</t>
        </is>
      </c>
      <c r="D556" s="13" t="inlineStr">
        <is>
          <t>HOLD</t>
        </is>
      </c>
      <c r="E556" s="14" t="n">
        <v>0.42</v>
      </c>
      <c r="F556" s="13" t="inlineStr">
        <is>
          <t>MEDIUM</t>
        </is>
      </c>
      <c r="G556" s="15" t="n">
        <v>16.8214</v>
      </c>
      <c r="K556" s="26">
        <f>IF(H556="","",(H556-G556)/G556)</f>
        <v/>
      </c>
      <c r="L556" s="26">
        <f>IF(I556="","",(I556-G556)/G556)</f>
        <v/>
      </c>
      <c r="M556" s="26">
        <f>IF(J556="","",(J556-G556)/G556)</f>
        <v/>
      </c>
      <c r="N556" s="27">
        <f>IF(H556="","",IF(D556="HOLD",IF(ABS(K556)&lt;0.03,"YES","NO"),IF(D556="BUY",IF(K556&gt;0,"YES","NO"),IF(D556="SELL",IF(K556&lt;0,"YES","NO"),""))))</f>
        <v/>
      </c>
    </row>
    <row r="557" ht="15" customHeight="1">
      <c r="A557" s="12" t="n">
        <v>46195</v>
      </c>
      <c r="B557" s="13" t="inlineStr">
        <is>
          <t>DOW</t>
        </is>
      </c>
      <c r="C557" s="13" t="inlineStr">
        <is>
          <t>Roth IRA,Individual</t>
        </is>
      </c>
      <c r="D557" s="13" t="inlineStr">
        <is>
          <t>HOLD</t>
        </is>
      </c>
      <c r="E557" s="14" t="n">
        <v>0.38</v>
      </c>
      <c r="F557" s="13" t="inlineStr">
        <is>
          <t>HIGH</t>
        </is>
      </c>
      <c r="G557" s="15" t="n">
        <v>30.855</v>
      </c>
      <c r="K557" s="26">
        <f>IF(H557="","",(H557-G557)/G557)</f>
        <v/>
      </c>
      <c r="L557" s="26">
        <f>IF(I557="","",(I557-G557)/G557)</f>
        <v/>
      </c>
      <c r="M557" s="26">
        <f>IF(J557="","",(J557-G557)/G557)</f>
        <v/>
      </c>
      <c r="N557" s="27">
        <f>IF(H557="","",IF(D557="HOLD",IF(ABS(K557)&lt;0.03,"YES","NO"),IF(D557="BUY",IF(K557&gt;0,"YES","NO"),IF(D557="SELL",IF(K557&lt;0,"YES","NO"),""))))</f>
        <v/>
      </c>
    </row>
    <row r="558" ht="15" customHeight="1">
      <c r="A558" s="12" t="n">
        <v>46195</v>
      </c>
      <c r="B558" s="13" t="inlineStr">
        <is>
          <t>FTI</t>
        </is>
      </c>
      <c r="C558" s="13" t="inlineStr">
        <is>
          <t>Individual</t>
        </is>
      </c>
      <c r="D558" s="13" t="inlineStr">
        <is>
          <t>HOLD</t>
        </is>
      </c>
      <c r="E558" s="14" t="n">
        <v>0.62</v>
      </c>
      <c r="F558" s="13" t="inlineStr">
        <is>
          <t>HIGH</t>
        </is>
      </c>
      <c r="G558" s="15" t="n">
        <v>66.8</v>
      </c>
      <c r="K558" s="26">
        <f>IF(H558="","",(H558-G558)/G558)</f>
        <v/>
      </c>
      <c r="L558" s="26">
        <f>IF(I558="","",(I558-G558)/G558)</f>
        <v/>
      </c>
      <c r="M558" s="26">
        <f>IF(J558="","",(J558-G558)/G558)</f>
        <v/>
      </c>
      <c r="N558" s="27">
        <f>IF(H558="","",IF(D558="HOLD",IF(ABS(K558)&lt;0.03,"YES","NO"),IF(D558="BUY",IF(K558&gt;0,"YES","NO"),IF(D558="SELL",IF(K558&lt;0,"YES","NO"),""))))</f>
        <v/>
      </c>
    </row>
    <row r="559" ht="15" customHeight="1">
      <c r="A559" s="12" t="n">
        <v>46195</v>
      </c>
      <c r="B559" s="13" t="inlineStr">
        <is>
          <t>GM</t>
        </is>
      </c>
      <c r="C559" s="13" t="inlineStr">
        <is>
          <t>Roth IRA,Individual</t>
        </is>
      </c>
      <c r="D559" s="13" t="inlineStr">
        <is>
          <t>HOLD</t>
        </is>
      </c>
      <c r="E559" s="14" t="n">
        <v>0.58</v>
      </c>
      <c r="F559" s="13" t="inlineStr">
        <is>
          <t>HIGH</t>
        </is>
      </c>
      <c r="G559" s="15" t="n">
        <v>82.68000000000001</v>
      </c>
      <c r="K559" s="26">
        <f>IF(H559="","",(H559-G559)/G559)</f>
        <v/>
      </c>
      <c r="L559" s="26">
        <f>IF(I559="","",(I559-G559)/G559)</f>
        <v/>
      </c>
      <c r="M559" s="26">
        <f>IF(J559="","",(J559-G559)/G559)</f>
        <v/>
      </c>
      <c r="N559" s="27">
        <f>IF(H559="","",IF(D559="HOLD",IF(ABS(K559)&lt;0.03,"YES","NO"),IF(D559="BUY",IF(K559&gt;0,"YES","NO"),IF(D559="SELL",IF(K559&lt;0,"YES","NO"),""))))</f>
        <v/>
      </c>
    </row>
    <row r="560" ht="15" customHeight="1">
      <c r="A560" s="12" t="n">
        <v>46195</v>
      </c>
      <c r="B560" s="13" t="inlineStr">
        <is>
          <t>JPM</t>
        </is>
      </c>
      <c r="C560" s="13" t="inlineStr">
        <is>
          <t>Roth IRA</t>
        </is>
      </c>
      <c r="D560" s="13" t="inlineStr">
        <is>
          <t>HOLD</t>
        </is>
      </c>
      <c r="E560" s="14" t="n">
        <v>0.65</v>
      </c>
      <c r="F560" s="13" t="inlineStr">
        <is>
          <t>HIGH</t>
        </is>
      </c>
      <c r="G560" s="15" t="n">
        <v>330.73</v>
      </c>
      <c r="K560" s="26">
        <f>IF(H560="","",(H560-G560)/G560)</f>
        <v/>
      </c>
      <c r="L560" s="26">
        <f>IF(I560="","",(I560-G560)/G560)</f>
        <v/>
      </c>
      <c r="M560" s="26">
        <f>IF(J560="","",(J560-G560)/G560)</f>
        <v/>
      </c>
      <c r="N560" s="27">
        <f>IF(H560="","",IF(D560="HOLD",IF(ABS(K560)&lt;0.03,"YES","NO"),IF(D560="BUY",IF(K560&gt;0,"YES","NO"),IF(D560="SELL",IF(K560&lt;0,"YES","NO"),""))))</f>
        <v/>
      </c>
    </row>
    <row r="561" ht="15" customHeight="1">
      <c r="A561" s="12" t="n">
        <v>46195</v>
      </c>
      <c r="B561" s="13" t="inlineStr">
        <is>
          <t>MSFT</t>
        </is>
      </c>
      <c r="C561" s="13" t="inlineStr">
        <is>
          <t>Roth IRA,Individual</t>
        </is>
      </c>
      <c r="D561" s="13" t="inlineStr">
        <is>
          <t>HOLD</t>
        </is>
      </c>
      <c r="E561" s="14" t="n">
        <v>0.52</v>
      </c>
      <c r="F561" s="13" t="inlineStr">
        <is>
          <t>HIGH</t>
        </is>
      </c>
      <c r="G561" s="15" t="n">
        <v>372.855</v>
      </c>
      <c r="K561" s="26">
        <f>IF(H561="","",(H561-G561)/G561)</f>
        <v/>
      </c>
      <c r="L561" s="26">
        <f>IF(I561="","",(I561-G561)/G561)</f>
        <v/>
      </c>
      <c r="M561" s="26">
        <f>IF(J561="","",(J561-G561)/G561)</f>
        <v/>
      </c>
      <c r="N561" s="27">
        <f>IF(H561="","",IF(D561="HOLD",IF(ABS(K561)&lt;0.03,"YES","NO"),IF(D561="BUY",IF(K561&gt;0,"YES","NO"),IF(D561="SELL",IF(K561&lt;0,"YES","NO"),""))))</f>
        <v/>
      </c>
    </row>
    <row r="562" ht="15" customHeight="1">
      <c r="A562" s="12" t="n">
        <v>46195</v>
      </c>
      <c r="B562" s="13" t="inlineStr">
        <is>
          <t>NKE</t>
        </is>
      </c>
      <c r="C562" s="13" t="inlineStr">
        <is>
          <t>Roth IRA</t>
        </is>
      </c>
      <c r="D562" s="13" t="inlineStr">
        <is>
          <t>HOLD</t>
        </is>
      </c>
      <c r="E562" s="14" t="n">
        <v>0.52</v>
      </c>
      <c r="F562" s="13" t="inlineStr">
        <is>
          <t>HIGH</t>
        </is>
      </c>
      <c r="G562" s="15" t="n">
        <v>43.66</v>
      </c>
      <c r="K562" s="26">
        <f>IF(H562="","",(H562-G562)/G562)</f>
        <v/>
      </c>
      <c r="L562" s="26">
        <f>IF(I562="","",(I562-G562)/G562)</f>
        <v/>
      </c>
      <c r="M562" s="26">
        <f>IF(J562="","",(J562-G562)/G562)</f>
        <v/>
      </c>
      <c r="N562" s="27">
        <f>IF(H562="","",IF(D562="HOLD",IF(ABS(K562)&lt;0.03,"YES","NO"),IF(D562="BUY",IF(K562&gt;0,"YES","NO"),IF(D562="SELL",IF(K562&lt;0,"YES","NO"),""))))</f>
        <v/>
      </c>
    </row>
    <row r="563" ht="15" customHeight="1">
      <c r="A563" s="12" t="n">
        <v>46195</v>
      </c>
      <c r="B563" s="13" t="inlineStr">
        <is>
          <t>NTR</t>
        </is>
      </c>
      <c r="C563" s="13" t="inlineStr">
        <is>
          <t>Roth IRA,Individual</t>
        </is>
      </c>
      <c r="D563" s="13" t="inlineStr">
        <is>
          <t>HOLD</t>
        </is>
      </c>
      <c r="E563" s="14" t="n">
        <v>0.45</v>
      </c>
      <c r="F563" s="13" t="inlineStr">
        <is>
          <t>MEDIUM</t>
        </is>
      </c>
      <c r="G563" s="15" t="n">
        <v>62.565</v>
      </c>
      <c r="K563" s="26">
        <f>IF(H563="","",(H563-G563)/G563)</f>
        <v/>
      </c>
      <c r="L563" s="26">
        <f>IF(I563="","",(I563-G563)/G563)</f>
        <v/>
      </c>
      <c r="M563" s="26">
        <f>IF(J563="","",(J563-G563)/G563)</f>
        <v/>
      </c>
      <c r="N563" s="27">
        <f>IF(H563="","",IF(D563="HOLD",IF(ABS(K563)&lt;0.03,"YES","NO"),IF(D563="BUY",IF(K563&gt;0,"YES","NO"),IF(D563="SELL",IF(K563&lt;0,"YES","NO"),""))))</f>
        <v/>
      </c>
    </row>
    <row r="564" ht="15" customHeight="1">
      <c r="A564" s="12" t="n">
        <v>46195</v>
      </c>
      <c r="B564" s="13" t="inlineStr">
        <is>
          <t>PM</t>
        </is>
      </c>
      <c r="C564" s="13" t="inlineStr">
        <is>
          <t>Roth IRA</t>
        </is>
      </c>
      <c r="D564" s="13" t="inlineStr">
        <is>
          <t>HOLD</t>
        </is>
      </c>
      <c r="E564" s="14" t="n">
        <v>0.65</v>
      </c>
      <c r="F564" s="13" t="inlineStr">
        <is>
          <t>HIGH</t>
        </is>
      </c>
      <c r="G564" s="15" t="n">
        <v>175.545</v>
      </c>
      <c r="K564" s="26">
        <f>IF(H564="","",(H564-G564)/G564)</f>
        <v/>
      </c>
      <c r="L564" s="26">
        <f>IF(I564="","",(I564-G564)/G564)</f>
        <v/>
      </c>
      <c r="M564" s="26">
        <f>IF(J564="","",(J564-G564)/G564)</f>
        <v/>
      </c>
      <c r="N564" s="27">
        <f>IF(H564="","",IF(D564="HOLD",IF(ABS(K564)&lt;0.03,"YES","NO"),IF(D564="BUY",IF(K564&gt;0,"YES","NO"),IF(D564="SELL",IF(K564&lt;0,"YES","NO"),""))))</f>
        <v/>
      </c>
    </row>
    <row r="565" ht="15" customHeight="1">
      <c r="A565" s="12" t="n">
        <v>46195</v>
      </c>
      <c r="B565" s="13" t="inlineStr">
        <is>
          <t>PWR</t>
        </is>
      </c>
      <c r="C565" s="13" t="inlineStr">
        <is>
          <t>Roth IRA</t>
        </is>
      </c>
      <c r="D565" s="13" t="inlineStr">
        <is>
          <t>HOLD</t>
        </is>
      </c>
      <c r="E565" s="14" t="n">
        <v>0.63</v>
      </c>
      <c r="F565" s="13" t="inlineStr">
        <is>
          <t>HIGH</t>
        </is>
      </c>
      <c r="G565" s="15" t="n">
        <v>717.6799999999999</v>
      </c>
      <c r="K565" s="26">
        <f>IF(H565="","",(H565-G565)/G565)</f>
        <v/>
      </c>
      <c r="L565" s="26">
        <f>IF(I565="","",(I565-G565)/G565)</f>
        <v/>
      </c>
      <c r="M565" s="26">
        <f>IF(J565="","",(J565-G565)/G565)</f>
        <v/>
      </c>
      <c r="N565" s="27">
        <f>IF(H565="","",IF(D565="HOLD",IF(ABS(K565)&lt;0.03,"YES","NO"),IF(D565="BUY",IF(K565&gt;0,"YES","NO"),IF(D565="SELL",IF(K565&lt;0,"YES","NO"),""))))</f>
        <v/>
      </c>
    </row>
    <row r="566" ht="15" customHeight="1">
      <c r="A566" s="12" t="n">
        <v>46195</v>
      </c>
      <c r="B566" s="13" t="inlineStr">
        <is>
          <t>RTX</t>
        </is>
      </c>
      <c r="C566" s="13" t="inlineStr">
        <is>
          <t>Individual</t>
        </is>
      </c>
      <c r="D566" s="13" t="inlineStr">
        <is>
          <t>HOLD</t>
        </is>
      </c>
      <c r="E566" s="14" t="n">
        <v>0.58</v>
      </c>
      <c r="F566" s="13" t="inlineStr">
        <is>
          <t>HIGH</t>
        </is>
      </c>
      <c r="G566" s="15" t="n">
        <v>181.6601</v>
      </c>
      <c r="K566" s="26">
        <f>IF(H566="","",(H566-G566)/G566)</f>
        <v/>
      </c>
      <c r="L566" s="26">
        <f>IF(I566="","",(I566-G566)/G566)</f>
        <v/>
      </c>
      <c r="M566" s="26">
        <f>IF(J566="","",(J566-G566)/G566)</f>
        <v/>
      </c>
      <c r="N566" s="27">
        <f>IF(H566="","",IF(D566="HOLD",IF(ABS(K566)&lt;0.03,"YES","NO"),IF(D566="BUY",IF(K566&gt;0,"YES","NO"),IF(D566="SELL",IF(K566&lt;0,"YES","NO"),""))))</f>
        <v/>
      </c>
    </row>
    <row r="567" ht="15" customHeight="1">
      <c r="A567" s="12" t="n">
        <v>46195</v>
      </c>
      <c r="B567" s="13" t="inlineStr">
        <is>
          <t>SCHD</t>
        </is>
      </c>
      <c r="C567" s="13" t="inlineStr">
        <is>
          <t>Roth IRA</t>
        </is>
      </c>
      <c r="D567" s="13" t="inlineStr">
        <is>
          <t>HOLD</t>
        </is>
      </c>
      <c r="E567" s="14" t="n">
        <v>0.65</v>
      </c>
      <c r="F567" s="13" t="inlineStr">
        <is>
          <t>HIGH</t>
        </is>
      </c>
      <c r="G567" s="15" t="n">
        <v>31.965</v>
      </c>
      <c r="K567" s="26">
        <f>IF(H567="","",(H567-G567)/G567)</f>
        <v/>
      </c>
      <c r="L567" s="26">
        <f>IF(I567="","",(I567-G567)/G567)</f>
        <v/>
      </c>
      <c r="M567" s="26">
        <f>IF(J567="","",(J567-G567)/G567)</f>
        <v/>
      </c>
      <c r="N567" s="27">
        <f>IF(H567="","",IF(D567="HOLD",IF(ABS(K567)&lt;0.03,"YES","NO"),IF(D567="BUY",IF(K567&gt;0,"YES","NO"),IF(D567="SELL",IF(K567&lt;0,"YES","NO"),""))))</f>
        <v/>
      </c>
    </row>
    <row r="568" ht="15" customHeight="1">
      <c r="A568" s="12" t="n">
        <v>46195</v>
      </c>
      <c r="B568" s="13" t="inlineStr">
        <is>
          <t>SND</t>
        </is>
      </c>
      <c r="C568" s="13" t="inlineStr">
        <is>
          <t>Individual</t>
        </is>
      </c>
      <c r="D568" s="13" t="inlineStr">
        <is>
          <t>HOLD</t>
        </is>
      </c>
      <c r="E568" s="14" t="n">
        <v>0.45</v>
      </c>
      <c r="F568" s="13" t="inlineStr">
        <is>
          <t>MEDIUM</t>
        </is>
      </c>
      <c r="G568" s="15" t="n">
        <v>4.72</v>
      </c>
      <c r="K568" s="26">
        <f>IF(H568="","",(H568-G568)/G568)</f>
        <v/>
      </c>
      <c r="L568" s="26">
        <f>IF(I568="","",(I568-G568)/G568)</f>
        <v/>
      </c>
      <c r="M568" s="26">
        <f>IF(J568="","",(J568-G568)/G568)</f>
        <v/>
      </c>
      <c r="N568" s="27">
        <f>IF(H568="","",IF(D568="HOLD",IF(ABS(K568)&lt;0.03,"YES","NO"),IF(D568="BUY",IF(K568&gt;0,"YES","NO"),IF(D568="SELL",IF(K568&lt;0,"YES","NO"),""))))</f>
        <v/>
      </c>
    </row>
    <row r="569" ht="15" customHeight="1">
      <c r="A569" s="12" t="n">
        <v>46195</v>
      </c>
      <c r="B569" s="13" t="inlineStr">
        <is>
          <t>WMT</t>
        </is>
      </c>
      <c r="C569" s="13" t="inlineStr">
        <is>
          <t>Roth IRA,Individual</t>
        </is>
      </c>
      <c r="D569" s="13" t="inlineStr">
        <is>
          <t>HOLD</t>
        </is>
      </c>
      <c r="E569" s="14" t="n">
        <v>0.52</v>
      </c>
      <c r="F569" s="13" t="inlineStr">
        <is>
          <t>HIGH</t>
        </is>
      </c>
      <c r="G569" s="15" t="n">
        <v>117.61</v>
      </c>
      <c r="K569" s="26">
        <f>IF(H569="","",(H569-G569)/G569)</f>
        <v/>
      </c>
      <c r="L569" s="26">
        <f>IF(I569="","",(I569-G569)/G569)</f>
        <v/>
      </c>
      <c r="M569" s="26">
        <f>IF(J569="","",(J569-G569)/G569)</f>
        <v/>
      </c>
      <c r="N569" s="27">
        <f>IF(H569="","",IF(D569="HOLD",IF(ABS(K569)&lt;0.03,"YES","NO"),IF(D569="BUY",IF(K569&gt;0,"YES","NO"),IF(D569="SELL",IF(K569&lt;0,"YES","NO"),""))))</f>
        <v/>
      </c>
    </row>
    <row r="570" ht="15" customHeight="1">
      <c r="A570" s="12" t="n">
        <v>46195</v>
      </c>
      <c r="B570" s="13" t="inlineStr">
        <is>
          <t>XLU</t>
        </is>
      </c>
      <c r="C570" s="13" t="inlineStr">
        <is>
          <t>Roth IRA</t>
        </is>
      </c>
      <c r="D570" s="13" t="inlineStr">
        <is>
          <t>HOLD</t>
        </is>
      </c>
      <c r="E570" s="14" t="n">
        <v>0.58</v>
      </c>
      <c r="F570" s="13" t="inlineStr">
        <is>
          <t>HIGH</t>
        </is>
      </c>
      <c r="G570" s="15" t="n">
        <v>44.915</v>
      </c>
      <c r="K570" s="26">
        <f>IF(H570="","",(H570-G570)/G570)</f>
        <v/>
      </c>
      <c r="L570" s="26">
        <f>IF(I570="","",(I570-G570)/G570)</f>
        <v/>
      </c>
      <c r="M570" s="26">
        <f>IF(J570="","",(J570-G570)/G570)</f>
        <v/>
      </c>
      <c r="N570" s="27">
        <f>IF(H570="","",IF(D570="HOLD",IF(ABS(K570)&lt;0.03,"YES","NO"),IF(D570="BUY",IF(K570&gt;0,"YES","NO"),IF(D570="SELL",IF(K570&lt;0,"YES","NO"),""))))</f>
        <v/>
      </c>
    </row>
    <row r="571" ht="15" customHeight="1">
      <c r="A571" s="12" t="n">
        <v>46195</v>
      </c>
      <c r="B571" s="13" t="inlineStr">
        <is>
          <t>SPY</t>
        </is>
      </c>
      <c r="C571" s="13" t="inlineStr">
        <is>
          <t>Scout</t>
        </is>
      </c>
      <c r="D571" s="13" t="inlineStr">
        <is>
          <t>HOLD</t>
        </is>
      </c>
      <c r="E571" s="14" t="n">
        <v>0.55</v>
      </c>
      <c r="F571" s="13" t="inlineStr">
        <is>
          <t>HIGH</t>
        </is>
      </c>
      <c r="G571" s="15" t="n">
        <v>745.29</v>
      </c>
      <c r="K571" s="26">
        <f>IF(H571="","",(H571-G571)/G571)</f>
        <v/>
      </c>
      <c r="L571" s="26">
        <f>IF(I571="","",(I571-G571)/G571)</f>
        <v/>
      </c>
      <c r="M571" s="26">
        <f>IF(J571="","",(J571-G571)/G571)</f>
        <v/>
      </c>
      <c r="N571" s="27">
        <f>IF(H571="","",IF(D571="HOLD",IF(ABS(K571)&lt;0.03,"YES","NO"),IF(D571="BUY",IF(K571&gt;0,"YES","NO"),IF(D571="SELL",IF(K571&lt;0,"YES","NO"),""))))</f>
        <v/>
      </c>
    </row>
    <row r="572" ht="15" customHeight="1">
      <c r="A572" s="12" t="n">
        <v>46195</v>
      </c>
      <c r="B572" s="13" t="inlineStr">
        <is>
          <t>QQQ</t>
        </is>
      </c>
      <c r="C572" s="13" t="inlineStr">
        <is>
          <t>Scout</t>
        </is>
      </c>
      <c r="D572" s="13" t="inlineStr">
        <is>
          <t>HOLD</t>
        </is>
      </c>
      <c r="E572" s="14" t="n">
        <v>0.55</v>
      </c>
      <c r="F572" s="13" t="inlineStr">
        <is>
          <t>HIGH</t>
        </is>
      </c>
      <c r="G572" s="15" t="n">
        <v>738.299</v>
      </c>
      <c r="K572" s="26">
        <f>IF(H572="","",(H572-G572)/G572)</f>
        <v/>
      </c>
      <c r="L572" s="26">
        <f>IF(I572="","",(I572-G572)/G572)</f>
        <v/>
      </c>
      <c r="M572" s="26">
        <f>IF(J572="","",(J572-G572)/G572)</f>
        <v/>
      </c>
      <c r="N572" s="27">
        <f>IF(H572="","",IF(D572="HOLD",IF(ABS(K572)&lt;0.03,"YES","NO"),IF(D572="BUY",IF(K572&gt;0,"YES","NO"),IF(D572="SELL",IF(K572&lt;0,"YES","NO"),""))))</f>
        <v/>
      </c>
    </row>
    <row r="573" ht="15" customHeight="1">
      <c r="A573" s="12" t="n">
        <v>46195</v>
      </c>
      <c r="B573" s="13" t="inlineStr">
        <is>
          <t>VTI</t>
        </is>
      </c>
      <c r="C573" s="13" t="inlineStr">
        <is>
          <t>Scout</t>
        </is>
      </c>
      <c r="D573" s="13" t="inlineStr">
        <is>
          <t>HOLD</t>
        </is>
      </c>
      <c r="E573" s="14" t="n">
        <v>0.58</v>
      </c>
      <c r="F573" s="13" t="inlineStr">
        <is>
          <t>HIGH</t>
        </is>
      </c>
      <c r="G573" s="15" t="n">
        <v>369.19</v>
      </c>
      <c r="K573" s="26">
        <f>IF(H573="","",(H573-G573)/G573)</f>
        <v/>
      </c>
      <c r="L573" s="26">
        <f>IF(I573="","",(I573-G573)/G573)</f>
        <v/>
      </c>
      <c r="M573" s="26">
        <f>IF(J573="","",(J573-G573)/G573)</f>
        <v/>
      </c>
      <c r="N573" s="27">
        <f>IF(H573="","",IF(D573="HOLD",IF(ABS(K573)&lt;0.03,"YES","NO"),IF(D573="BUY",IF(K573&gt;0,"YES","NO"),IF(D573="SELL",IF(K573&lt;0,"YES","NO"),""))))</f>
        <v/>
      </c>
    </row>
    <row r="574" ht="15" customHeight="1">
      <c r="A574" s="12" t="n">
        <v>46195</v>
      </c>
      <c r="B574" s="13" t="inlineStr">
        <is>
          <t>NVDA</t>
        </is>
      </c>
      <c r="C574" s="13" t="inlineStr">
        <is>
          <t>Scout</t>
        </is>
      </c>
      <c r="D574" s="13" t="inlineStr">
        <is>
          <t>HOLD</t>
        </is>
      </c>
      <c r="E574" s="14" t="n">
        <v>0.55</v>
      </c>
      <c r="F574" s="13" t="inlineStr">
        <is>
          <t>MEDIUM</t>
        </is>
      </c>
      <c r="G574" s="15" t="n">
        <v>209.67</v>
      </c>
      <c r="K574" s="26">
        <f>IF(H574="","",(H574-G574)/G574)</f>
        <v/>
      </c>
      <c r="L574" s="26">
        <f>IF(I574="","",(I574-G574)/G574)</f>
        <v/>
      </c>
      <c r="M574" s="26">
        <f>IF(J574="","",(J574-G574)/G574)</f>
        <v/>
      </c>
      <c r="N574" s="27">
        <f>IF(H574="","",IF(D574="HOLD",IF(ABS(K574)&lt;0.03,"YES","NO"),IF(D574="BUY",IF(K574&gt;0,"YES","NO"),IF(D574="SELL",IF(K574&lt;0,"YES","NO"),""))))</f>
        <v/>
      </c>
    </row>
    <row r="575" ht="15" customHeight="1">
      <c r="A575" s="12" t="n">
        <v>46195</v>
      </c>
      <c r="B575" s="13" t="inlineStr">
        <is>
          <t>GLD</t>
        </is>
      </c>
      <c r="C575" s="13" t="inlineStr">
        <is>
          <t>Scout</t>
        </is>
      </c>
      <c r="D575" s="13" t="inlineStr">
        <is>
          <t>HOLD</t>
        </is>
      </c>
      <c r="E575" s="14" t="n">
        <v>0.48</v>
      </c>
      <c r="F575" s="13" t="inlineStr">
        <is>
          <t>MEDIUM</t>
        </is>
      </c>
      <c r="G575" s="15" t="n">
        <v>385.14</v>
      </c>
      <c r="K575" s="26">
        <f>IF(H575="","",(H575-G575)/G575)</f>
        <v/>
      </c>
      <c r="L575" s="26">
        <f>IF(I575="","",(I575-G575)/G575)</f>
        <v/>
      </c>
      <c r="M575" s="26">
        <f>IF(J575="","",(J575-G575)/G575)</f>
        <v/>
      </c>
      <c r="N575" s="27">
        <f>IF(H575="","",IF(D575="HOLD",IF(ABS(K575)&lt;0.03,"YES","NO"),IF(D575="BUY",IF(K575&gt;0,"YES","NO"),IF(D575="SELL",IF(K575&lt;0,"YES","NO"),""))))</f>
        <v/>
      </c>
    </row>
    <row r="576" ht="15" customHeight="1">
      <c r="A576" s="12" t="n">
        <v>46196</v>
      </c>
      <c r="B576" s="13" t="inlineStr">
        <is>
          <t>AAPL</t>
        </is>
      </c>
      <c r="C576" s="13" t="inlineStr">
        <is>
          <t>Roth IRA</t>
        </is>
      </c>
      <c r="D576" s="13" t="inlineStr">
        <is>
          <t>HOLD</t>
        </is>
      </c>
      <c r="E576" s="14" t="n">
        <v>0.62</v>
      </c>
      <c r="F576" s="13" t="inlineStr">
        <is>
          <t>HIGH</t>
        </is>
      </c>
      <c r="G576" s="15" t="n">
        <v>299.09</v>
      </c>
      <c r="K576" s="26">
        <f>IF(H576="","",(H576-G576)/G576)</f>
        <v/>
      </c>
      <c r="L576" s="26">
        <f>IF(I576="","",(I576-G576)/G576)</f>
        <v/>
      </c>
      <c r="M576" s="26">
        <f>IF(J576="","",(J576-G576)/G576)</f>
        <v/>
      </c>
      <c r="N576" s="27">
        <f>IF(H576="","",IF(D576="HOLD",IF(ABS(K576)&lt;0.03,"YES","NO"),IF(D576="BUY",IF(K576&gt;0,"YES","NO"),IF(D576="SELL",IF(K576&lt;0,"YES","NO"),""))))</f>
        <v/>
      </c>
    </row>
    <row r="577" ht="15" customHeight="1">
      <c r="A577" s="12" t="n">
        <v>46196</v>
      </c>
      <c r="B577" s="13" t="inlineStr">
        <is>
          <t>AG</t>
        </is>
      </c>
      <c r="C577" s="13" t="inlineStr">
        <is>
          <t>Individual</t>
        </is>
      </c>
      <c r="D577" s="13" t="inlineStr">
        <is>
          <t>HOLD</t>
        </is>
      </c>
      <c r="E577" s="14" t="n">
        <v>0.42</v>
      </c>
      <c r="F577" s="13" t="inlineStr">
        <is>
          <t>MEDIUM</t>
        </is>
      </c>
      <c r="G577" s="15" t="n">
        <v>17.005</v>
      </c>
      <c r="K577" s="26">
        <f>IF(H577="","",(H577-G577)/G577)</f>
        <v/>
      </c>
      <c r="L577" s="26">
        <f>IF(I577="","",(I577-G577)/G577)</f>
        <v/>
      </c>
      <c r="M577" s="26">
        <f>IF(J577="","",(J577-G577)/G577)</f>
        <v/>
      </c>
      <c r="N577" s="27">
        <f>IF(H577="","",IF(D577="HOLD",IF(ABS(K577)&lt;0.03,"YES","NO"),IF(D577="BUY",IF(K577&gt;0,"YES","NO"),IF(D577="SELL",IF(K577&lt;0,"YES","NO"),""))))</f>
        <v/>
      </c>
    </row>
    <row r="578" ht="15" customHeight="1">
      <c r="A578" s="12" t="n">
        <v>46196</v>
      </c>
      <c r="B578" s="13" t="inlineStr">
        <is>
          <t>AIQ</t>
        </is>
      </c>
      <c r="C578" s="13" t="inlineStr">
        <is>
          <t>Roth IRA,Individual</t>
        </is>
      </c>
      <c r="D578" s="13" t="inlineStr">
        <is>
          <t>HOLD</t>
        </is>
      </c>
      <c r="E578" s="14" t="n">
        <v>0.58</v>
      </c>
      <c r="F578" s="13" t="inlineStr">
        <is>
          <t>HIGH</t>
        </is>
      </c>
      <c r="G578" s="15" t="n">
        <v>63.89</v>
      </c>
      <c r="K578" s="26">
        <f>IF(H578="","",(H578-G578)/G578)</f>
        <v/>
      </c>
      <c r="L578" s="26">
        <f>IF(I578="","",(I578-G578)/G578)</f>
        <v/>
      </c>
      <c r="M578" s="26">
        <f>IF(J578="","",(J578-G578)/G578)</f>
        <v/>
      </c>
      <c r="N578" s="27">
        <f>IF(H578="","",IF(D578="HOLD",IF(ABS(K578)&lt;0.03,"YES","NO"),IF(D578="BUY",IF(K578&gt;0,"YES","NO"),IF(D578="SELL",IF(K578&lt;0,"YES","NO"),""))))</f>
        <v/>
      </c>
    </row>
    <row r="579" ht="15" customHeight="1">
      <c r="A579" s="12" t="n">
        <v>46196</v>
      </c>
      <c r="B579" s="13" t="inlineStr">
        <is>
          <t>CBRS</t>
        </is>
      </c>
      <c r="C579" s="13" t="inlineStr">
        <is>
          <t>Individual</t>
        </is>
      </c>
      <c r="D579" s="13" t="inlineStr">
        <is>
          <t>HOLD</t>
        </is>
      </c>
      <c r="E579" s="14" t="n">
        <v>0.42</v>
      </c>
      <c r="F579" s="13" t="inlineStr">
        <is>
          <t>MEDIUM</t>
        </is>
      </c>
      <c r="G579" s="15" t="n">
        <v>225.75</v>
      </c>
      <c r="K579" s="26">
        <f>IF(H579="","",(H579-G579)/G579)</f>
        <v/>
      </c>
      <c r="L579" s="26">
        <f>IF(I579="","",(I579-G579)/G579)</f>
        <v/>
      </c>
      <c r="M579" s="26">
        <f>IF(J579="","",(J579-G579)/G579)</f>
        <v/>
      </c>
      <c r="N579" s="27">
        <f>IF(H579="","",IF(D579="HOLD",IF(ABS(K579)&lt;0.03,"YES","NO"),IF(D579="BUY",IF(K579&gt;0,"YES","NO"),IF(D579="SELL",IF(K579&lt;0,"YES","NO"),""))))</f>
        <v/>
      </c>
    </row>
    <row r="580" ht="15" customHeight="1">
      <c r="A580" s="12" t="n">
        <v>46196</v>
      </c>
      <c r="B580" s="13" t="inlineStr">
        <is>
          <t>CORN</t>
        </is>
      </c>
      <c r="C580" s="13" t="inlineStr">
        <is>
          <t>Individual</t>
        </is>
      </c>
      <c r="D580" s="13" t="inlineStr">
        <is>
          <t>HOLD</t>
        </is>
      </c>
      <c r="E580" s="14" t="n">
        <v>0.42</v>
      </c>
      <c r="F580" s="13" t="inlineStr">
        <is>
          <t>MEDIUM</t>
        </is>
      </c>
      <c r="G580" s="15" t="n">
        <v>16.785</v>
      </c>
      <c r="K580" s="26">
        <f>IF(H580="","",(H580-G580)/G580)</f>
        <v/>
      </c>
      <c r="L580" s="26">
        <f>IF(I580="","",(I580-G580)/G580)</f>
        <v/>
      </c>
      <c r="M580" s="26">
        <f>IF(J580="","",(J580-G580)/G580)</f>
        <v/>
      </c>
      <c r="N580" s="27">
        <f>IF(H580="","",IF(D580="HOLD",IF(ABS(K580)&lt;0.03,"YES","NO"),IF(D580="BUY",IF(K580&gt;0,"YES","NO"),IF(D580="SELL",IF(K580&lt;0,"YES","NO"),""))))</f>
        <v/>
      </c>
    </row>
    <row r="581" ht="15" customHeight="1">
      <c r="A581" s="12" t="n">
        <v>46196</v>
      </c>
      <c r="B581" s="13" t="inlineStr">
        <is>
          <t>DOW</t>
        </is>
      </c>
      <c r="C581" s="13" t="inlineStr">
        <is>
          <t>Roth IRA,Individual</t>
        </is>
      </c>
      <c r="D581" s="13" t="inlineStr">
        <is>
          <t>HOLD</t>
        </is>
      </c>
      <c r="E581" s="14" t="n">
        <v>0.42</v>
      </c>
      <c r="F581" s="13" t="inlineStr">
        <is>
          <t>HIGH</t>
        </is>
      </c>
      <c r="G581" s="15" t="n">
        <v>30.505</v>
      </c>
      <c r="K581" s="26">
        <f>IF(H581="","",(H581-G581)/G581)</f>
        <v/>
      </c>
      <c r="L581" s="26">
        <f>IF(I581="","",(I581-G581)/G581)</f>
        <v/>
      </c>
      <c r="M581" s="26">
        <f>IF(J581="","",(J581-G581)/G581)</f>
        <v/>
      </c>
      <c r="N581" s="27">
        <f>IF(H581="","",IF(D581="HOLD",IF(ABS(K581)&lt;0.03,"YES","NO"),IF(D581="BUY",IF(K581&gt;0,"YES","NO"),IF(D581="SELL",IF(K581&lt;0,"YES","NO"),""))))</f>
        <v/>
      </c>
    </row>
    <row r="582" ht="15" customHeight="1">
      <c r="A582" s="12" t="n">
        <v>46196</v>
      </c>
      <c r="B582" s="13" t="inlineStr">
        <is>
          <t>FTI</t>
        </is>
      </c>
      <c r="C582" s="13" t="inlineStr">
        <is>
          <t>Individual</t>
        </is>
      </c>
      <c r="D582" s="13" t="inlineStr">
        <is>
          <t>HOLD</t>
        </is>
      </c>
      <c r="E582" s="14" t="n">
        <v>0.65</v>
      </c>
      <c r="F582" s="13" t="inlineStr">
        <is>
          <t>HIGH</t>
        </is>
      </c>
      <c r="G582" s="15" t="n">
        <v>66.78</v>
      </c>
      <c r="K582" s="26">
        <f>IF(H582="","",(H582-G582)/G582)</f>
        <v/>
      </c>
      <c r="L582" s="26">
        <f>IF(I582="","",(I582-G582)/G582)</f>
        <v/>
      </c>
      <c r="M582" s="26">
        <f>IF(J582="","",(J582-G582)/G582)</f>
        <v/>
      </c>
      <c r="N582" s="27">
        <f>IF(H582="","",IF(D582="HOLD",IF(ABS(K582)&lt;0.03,"YES","NO"),IF(D582="BUY",IF(K582&gt;0,"YES","NO"),IF(D582="SELL",IF(K582&lt;0,"YES","NO"),""))))</f>
        <v/>
      </c>
    </row>
    <row r="583" ht="15" customHeight="1">
      <c r="A583" s="12" t="n">
        <v>46196</v>
      </c>
      <c r="B583" s="13" t="inlineStr">
        <is>
          <t>GM</t>
        </is>
      </c>
      <c r="C583" s="13" t="inlineStr">
        <is>
          <t>Roth IRA,Individual</t>
        </is>
      </c>
      <c r="D583" s="13" t="inlineStr">
        <is>
          <t>HOLD</t>
        </is>
      </c>
      <c r="E583" s="14" t="n">
        <v>0.58</v>
      </c>
      <c r="F583" s="13" t="inlineStr">
        <is>
          <t>HIGH</t>
        </is>
      </c>
      <c r="G583" s="15" t="n">
        <v>80.08</v>
      </c>
      <c r="K583" s="26">
        <f>IF(H583="","",(H583-G583)/G583)</f>
        <v/>
      </c>
      <c r="L583" s="26">
        <f>IF(I583="","",(I583-G583)/G583)</f>
        <v/>
      </c>
      <c r="M583" s="26">
        <f>IF(J583="","",(J583-G583)/G583)</f>
        <v/>
      </c>
      <c r="N583" s="27">
        <f>IF(H583="","",IF(D583="HOLD",IF(ABS(K583)&lt;0.03,"YES","NO"),IF(D583="BUY",IF(K583&gt;0,"YES","NO"),IF(D583="SELL",IF(K583&lt;0,"YES","NO"),""))))</f>
        <v/>
      </c>
    </row>
    <row r="584" ht="15" customHeight="1">
      <c r="A584" s="12" t="n">
        <v>46196</v>
      </c>
      <c r="B584" s="13" t="inlineStr">
        <is>
          <t>JPM</t>
        </is>
      </c>
      <c r="C584" s="13" t="inlineStr">
        <is>
          <t>Roth IRA</t>
        </is>
      </c>
      <c r="D584" s="13" t="inlineStr">
        <is>
          <t>HOLD</t>
        </is>
      </c>
      <c r="E584" s="14" t="n">
        <v>0.65</v>
      </c>
      <c r="F584" s="13" t="inlineStr">
        <is>
          <t>HIGH</t>
        </is>
      </c>
      <c r="G584" s="15" t="n">
        <v>333.995</v>
      </c>
      <c r="K584" s="26">
        <f>IF(H584="","",(H584-G584)/G584)</f>
        <v/>
      </c>
      <c r="L584" s="26">
        <f>IF(I584="","",(I584-G584)/G584)</f>
        <v/>
      </c>
      <c r="M584" s="26">
        <f>IF(J584="","",(J584-G584)/G584)</f>
        <v/>
      </c>
      <c r="N584" s="27">
        <f>IF(H584="","",IF(D584="HOLD",IF(ABS(K584)&lt;0.03,"YES","NO"),IF(D584="BUY",IF(K584&gt;0,"YES","NO"),IF(D584="SELL",IF(K584&lt;0,"YES","NO"),""))))</f>
        <v/>
      </c>
    </row>
    <row r="585" ht="15" customHeight="1">
      <c r="A585" s="12" t="n">
        <v>46196</v>
      </c>
      <c r="B585" s="13" t="inlineStr">
        <is>
          <t>MSFT</t>
        </is>
      </c>
      <c r="C585" s="13" t="inlineStr">
        <is>
          <t>Roth IRA,Individual</t>
        </is>
      </c>
      <c r="D585" s="13" t="inlineStr">
        <is>
          <t>HOLD</t>
        </is>
      </c>
      <c r="E585" s="14" t="n">
        <v>0.52</v>
      </c>
      <c r="F585" s="13" t="inlineStr">
        <is>
          <t>HIGH</t>
        </is>
      </c>
      <c r="G585" s="15" t="n">
        <v>373.07</v>
      </c>
      <c r="K585" s="26">
        <f>IF(H585="","",(H585-G585)/G585)</f>
        <v/>
      </c>
      <c r="L585" s="26">
        <f>IF(I585="","",(I585-G585)/G585)</f>
        <v/>
      </c>
      <c r="M585" s="26">
        <f>IF(J585="","",(J585-G585)/G585)</f>
        <v/>
      </c>
      <c r="N585" s="27">
        <f>IF(H585="","",IF(D585="HOLD",IF(ABS(K585)&lt;0.03,"YES","NO"),IF(D585="BUY",IF(K585&gt;0,"YES","NO"),IF(D585="SELL",IF(K585&lt;0,"YES","NO"),""))))</f>
        <v/>
      </c>
    </row>
    <row r="586" ht="15" customHeight="1">
      <c r="A586" s="12" t="n">
        <v>46196</v>
      </c>
      <c r="B586" s="13" t="inlineStr">
        <is>
          <t>NKE</t>
        </is>
      </c>
      <c r="C586" s="13" t="inlineStr">
        <is>
          <t>Roth IRA</t>
        </is>
      </c>
      <c r="D586" s="13" t="inlineStr">
        <is>
          <t>HOLD</t>
        </is>
      </c>
      <c r="E586" s="14" t="n">
        <v>0.42</v>
      </c>
      <c r="F586" s="13" t="inlineStr">
        <is>
          <t>HIGH</t>
        </is>
      </c>
      <c r="G586" s="15" t="n">
        <v>42.995</v>
      </c>
      <c r="K586" s="26">
        <f>IF(H586="","",(H586-G586)/G586)</f>
        <v/>
      </c>
      <c r="L586" s="26">
        <f>IF(I586="","",(I586-G586)/G586)</f>
        <v/>
      </c>
      <c r="M586" s="26">
        <f>IF(J586="","",(J586-G586)/G586)</f>
        <v/>
      </c>
      <c r="N586" s="27">
        <f>IF(H586="","",IF(D586="HOLD",IF(ABS(K586)&lt;0.03,"YES","NO"),IF(D586="BUY",IF(K586&gt;0,"YES","NO"),IF(D586="SELL",IF(K586&lt;0,"YES","NO"),""))))</f>
        <v/>
      </c>
    </row>
    <row r="587" ht="15" customHeight="1">
      <c r="A587" s="12" t="n">
        <v>46196</v>
      </c>
      <c r="B587" s="13" t="inlineStr">
        <is>
          <t>NTR</t>
        </is>
      </c>
      <c r="C587" s="13" t="inlineStr">
        <is>
          <t>Roth IRA,Individual</t>
        </is>
      </c>
      <c r="D587" s="13" t="inlineStr">
        <is>
          <t>HOLD</t>
        </is>
      </c>
      <c r="E587" s="14" t="n">
        <v>0.45</v>
      </c>
      <c r="F587" s="13" t="inlineStr">
        <is>
          <t>HIGH</t>
        </is>
      </c>
      <c r="G587" s="15" t="n">
        <v>61.85</v>
      </c>
      <c r="K587" s="26">
        <f>IF(H587="","",(H587-G587)/G587)</f>
        <v/>
      </c>
      <c r="L587" s="26">
        <f>IF(I587="","",(I587-G587)/G587)</f>
        <v/>
      </c>
      <c r="M587" s="26">
        <f>IF(J587="","",(J587-G587)/G587)</f>
        <v/>
      </c>
      <c r="N587" s="27">
        <f>IF(H587="","",IF(D587="HOLD",IF(ABS(K587)&lt;0.03,"YES","NO"),IF(D587="BUY",IF(K587&gt;0,"YES","NO"),IF(D587="SELL",IF(K587&lt;0,"YES","NO"),""))))</f>
        <v/>
      </c>
    </row>
    <row r="588" ht="15" customHeight="1">
      <c r="A588" s="12" t="n">
        <v>46196</v>
      </c>
      <c r="B588" s="13" t="inlineStr">
        <is>
          <t>PM</t>
        </is>
      </c>
      <c r="C588" s="13" t="inlineStr">
        <is>
          <t>Roth IRA</t>
        </is>
      </c>
      <c r="D588" s="13" t="inlineStr">
        <is>
          <t>HOLD</t>
        </is>
      </c>
      <c r="E588" s="14" t="n">
        <v>0.62</v>
      </c>
      <c r="F588" s="13" t="inlineStr">
        <is>
          <t>HIGH</t>
        </is>
      </c>
      <c r="G588" s="15" t="n">
        <v>177.805</v>
      </c>
      <c r="K588" s="26">
        <f>IF(H588="","",(H588-G588)/G588)</f>
        <v/>
      </c>
      <c r="L588" s="26">
        <f>IF(I588="","",(I588-G588)/G588)</f>
        <v/>
      </c>
      <c r="M588" s="26">
        <f>IF(J588="","",(J588-G588)/G588)</f>
        <v/>
      </c>
      <c r="N588" s="27">
        <f>IF(H588="","",IF(D588="HOLD",IF(ABS(K588)&lt;0.03,"YES","NO"),IF(D588="BUY",IF(K588&gt;0,"YES","NO"),IF(D588="SELL",IF(K588&lt;0,"YES","NO"),""))))</f>
        <v/>
      </c>
    </row>
    <row r="589" ht="15" customHeight="1">
      <c r="A589" s="12" t="n">
        <v>46196</v>
      </c>
      <c r="B589" s="13" t="inlineStr">
        <is>
          <t>PWR</t>
        </is>
      </c>
      <c r="C589" s="13" t="inlineStr">
        <is>
          <t>Roth IRA</t>
        </is>
      </c>
      <c r="D589" s="13" t="inlineStr">
        <is>
          <t>HOLD</t>
        </is>
      </c>
      <c r="E589" s="14" t="n">
        <v>0.62</v>
      </c>
      <c r="F589" s="13" t="inlineStr">
        <is>
          <t>HIGH</t>
        </is>
      </c>
      <c r="G589" s="15" t="n">
        <v>718.33</v>
      </c>
      <c r="K589" s="26">
        <f>IF(H589="","",(H589-G589)/G589)</f>
        <v/>
      </c>
      <c r="L589" s="26">
        <f>IF(I589="","",(I589-G589)/G589)</f>
        <v/>
      </c>
      <c r="M589" s="26">
        <f>IF(J589="","",(J589-G589)/G589)</f>
        <v/>
      </c>
      <c r="N589" s="27">
        <f>IF(H589="","",IF(D589="HOLD",IF(ABS(K589)&lt;0.03,"YES","NO"),IF(D589="BUY",IF(K589&gt;0,"YES","NO"),IF(D589="SELL",IF(K589&lt;0,"YES","NO"),""))))</f>
        <v/>
      </c>
    </row>
    <row r="590" ht="15" customHeight="1">
      <c r="A590" s="12" t="n">
        <v>46196</v>
      </c>
      <c r="B590" s="13" t="inlineStr">
        <is>
          <t>RTX</t>
        </is>
      </c>
      <c r="C590" s="13" t="inlineStr">
        <is>
          <t>Individual</t>
        </is>
      </c>
      <c r="D590" s="13" t="inlineStr">
        <is>
          <t>HOLD</t>
        </is>
      </c>
      <c r="E590" s="14" t="n">
        <v>0.58</v>
      </c>
      <c r="F590" s="13" t="inlineStr">
        <is>
          <t>HIGH</t>
        </is>
      </c>
      <c r="G590" s="15" t="n">
        <v>184.86</v>
      </c>
      <c r="K590" s="26">
        <f>IF(H590="","",(H590-G590)/G590)</f>
        <v/>
      </c>
      <c r="L590" s="26">
        <f>IF(I590="","",(I590-G590)/G590)</f>
        <v/>
      </c>
      <c r="M590" s="26">
        <f>IF(J590="","",(J590-G590)/G590)</f>
        <v/>
      </c>
      <c r="N590" s="27">
        <f>IF(H590="","",IF(D590="HOLD",IF(ABS(K590)&lt;0.03,"YES","NO"),IF(D590="BUY",IF(K590&gt;0,"YES","NO"),IF(D590="SELL",IF(K590&lt;0,"YES","NO"),""))))</f>
        <v/>
      </c>
    </row>
    <row r="591" ht="15" customHeight="1">
      <c r="A591" s="12" t="n">
        <v>46196</v>
      </c>
      <c r="B591" s="13" t="inlineStr">
        <is>
          <t>SCHD</t>
        </is>
      </c>
      <c r="C591" s="13" t="inlineStr">
        <is>
          <t>Roth IRA</t>
        </is>
      </c>
      <c r="D591" s="13" t="inlineStr">
        <is>
          <t>HOLD</t>
        </is>
      </c>
      <c r="E591" s="14" t="n">
        <v>0.63</v>
      </c>
      <c r="F591" s="13" t="inlineStr">
        <is>
          <t>HIGH</t>
        </is>
      </c>
      <c r="G591" s="15" t="n">
        <v>31.9943</v>
      </c>
      <c r="K591" s="26">
        <f>IF(H591="","",(H591-G591)/G591)</f>
        <v/>
      </c>
      <c r="L591" s="26">
        <f>IF(I591="","",(I591-G591)/G591)</f>
        <v/>
      </c>
      <c r="M591" s="26">
        <f>IF(J591="","",(J591-G591)/G591)</f>
        <v/>
      </c>
      <c r="N591" s="27">
        <f>IF(H591="","",IF(D591="HOLD",IF(ABS(K591)&lt;0.03,"YES","NO"),IF(D591="BUY",IF(K591&gt;0,"YES","NO"),IF(D591="SELL",IF(K591&lt;0,"YES","NO"),""))))</f>
        <v/>
      </c>
    </row>
    <row r="592" ht="15" customHeight="1">
      <c r="A592" s="12" t="n">
        <v>46196</v>
      </c>
      <c r="B592" s="13" t="inlineStr">
        <is>
          <t>SND</t>
        </is>
      </c>
      <c r="C592" s="13" t="inlineStr">
        <is>
          <t>Individual</t>
        </is>
      </c>
      <c r="D592" s="13" t="inlineStr">
        <is>
          <t>HOLD</t>
        </is>
      </c>
      <c r="E592" s="14" t="n">
        <v>0.45</v>
      </c>
      <c r="F592" s="13" t="inlineStr">
        <is>
          <t>MEDIUM</t>
        </is>
      </c>
      <c r="G592" s="15" t="n">
        <v>4.755</v>
      </c>
      <c r="K592" s="26">
        <f>IF(H592="","",(H592-G592)/G592)</f>
        <v/>
      </c>
      <c r="L592" s="26">
        <f>IF(I592="","",(I592-G592)/G592)</f>
        <v/>
      </c>
      <c r="M592" s="26">
        <f>IF(J592="","",(J592-G592)/G592)</f>
        <v/>
      </c>
      <c r="N592" s="27">
        <f>IF(H592="","",IF(D592="HOLD",IF(ABS(K592)&lt;0.03,"YES","NO"),IF(D592="BUY",IF(K592&gt;0,"YES","NO"),IF(D592="SELL",IF(K592&lt;0,"YES","NO"),""))))</f>
        <v/>
      </c>
    </row>
    <row r="593" ht="15" customHeight="1">
      <c r="A593" s="12" t="n">
        <v>46196</v>
      </c>
      <c r="B593" s="13" t="inlineStr">
        <is>
          <t>WMT</t>
        </is>
      </c>
      <c r="C593" s="13" t="inlineStr">
        <is>
          <t>Roth IRA,Individual</t>
        </is>
      </c>
      <c r="D593" s="13" t="inlineStr">
        <is>
          <t>HOLD</t>
        </is>
      </c>
      <c r="E593" s="14" t="n">
        <v>0.52</v>
      </c>
      <c r="F593" s="13" t="inlineStr">
        <is>
          <t>HIGH</t>
        </is>
      </c>
      <c r="G593" s="15" t="n">
        <v>119.5</v>
      </c>
      <c r="K593" s="26">
        <f>IF(H593="","",(H593-G593)/G593)</f>
        <v/>
      </c>
      <c r="L593" s="26">
        <f>IF(I593="","",(I593-G593)/G593)</f>
        <v/>
      </c>
      <c r="M593" s="26">
        <f>IF(J593="","",(J593-G593)/G593)</f>
        <v/>
      </c>
      <c r="N593" s="27">
        <f>IF(H593="","",IF(D593="HOLD",IF(ABS(K593)&lt;0.03,"YES","NO"),IF(D593="BUY",IF(K593&gt;0,"YES","NO"),IF(D593="SELL",IF(K593&lt;0,"YES","NO"),""))))</f>
        <v/>
      </c>
    </row>
    <row r="594" ht="15" customHeight="1">
      <c r="A594" s="12" t="n">
        <v>46196</v>
      </c>
      <c r="B594" s="13" t="inlineStr">
        <is>
          <t>XLU</t>
        </is>
      </c>
      <c r="C594" s="13" t="inlineStr">
        <is>
          <t>Roth IRA</t>
        </is>
      </c>
      <c r="D594" s="13" t="inlineStr">
        <is>
          <t>HOLD</t>
        </is>
      </c>
      <c r="E594" s="14" t="n">
        <v>0.55</v>
      </c>
      <c r="F594" s="13" t="inlineStr">
        <is>
          <t>HIGH</t>
        </is>
      </c>
      <c r="G594" s="15" t="n">
        <v>45.025</v>
      </c>
      <c r="K594" s="26">
        <f>IF(H594="","",(H594-G594)/G594)</f>
        <v/>
      </c>
      <c r="L594" s="26">
        <f>IF(I594="","",(I594-G594)/G594)</f>
        <v/>
      </c>
      <c r="M594" s="26">
        <f>IF(J594="","",(J594-G594)/G594)</f>
        <v/>
      </c>
      <c r="N594" s="27">
        <f>IF(H594="","",IF(D594="HOLD",IF(ABS(K594)&lt;0.03,"YES","NO"),IF(D594="BUY",IF(K594&gt;0,"YES","NO"),IF(D594="SELL",IF(K594&lt;0,"YES","NO"),""))))</f>
        <v/>
      </c>
    </row>
    <row r="595" ht="15" customHeight="1">
      <c r="A595" s="12" t="n">
        <v>46196</v>
      </c>
      <c r="B595" s="13" t="inlineStr">
        <is>
          <t>SPY</t>
        </is>
      </c>
      <c r="C595" s="13" t="inlineStr">
        <is>
          <t>Scout</t>
        </is>
      </c>
      <c r="D595" s="13" t="inlineStr">
        <is>
          <t>HOLD</t>
        </is>
      </c>
      <c r="E595" s="14" t="n">
        <v>0.52</v>
      </c>
      <c r="F595" s="13" t="inlineStr">
        <is>
          <t>HIGH</t>
        </is>
      </c>
      <c r="G595" s="15" t="n">
        <v>737.99</v>
      </c>
      <c r="K595" s="26">
        <f>IF(H595="","",(H595-G595)/G595)</f>
        <v/>
      </c>
      <c r="L595" s="26">
        <f>IF(I595="","",(I595-G595)/G595)</f>
        <v/>
      </c>
      <c r="M595" s="26">
        <f>IF(J595="","",(J595-G595)/G595)</f>
        <v/>
      </c>
      <c r="N595" s="27">
        <f>IF(H595="","",IF(D595="HOLD",IF(ABS(K595)&lt;0.03,"YES","NO"),IF(D595="BUY",IF(K595&gt;0,"YES","NO"),IF(D595="SELL",IF(K595&lt;0,"YES","NO"),""))))</f>
        <v/>
      </c>
    </row>
    <row r="596" ht="15" customHeight="1">
      <c r="A596" s="12" t="n">
        <v>46196</v>
      </c>
      <c r="B596" s="13" t="inlineStr">
        <is>
          <t>QQQ</t>
        </is>
      </c>
      <c r="C596" s="13" t="inlineStr">
        <is>
          <t>Scout</t>
        </is>
      </c>
      <c r="D596" s="13" t="inlineStr">
        <is>
          <t>HOLD</t>
        </is>
      </c>
      <c r="E596" s="14" t="n">
        <v>0.52</v>
      </c>
      <c r="F596" s="13" t="inlineStr">
        <is>
          <t>HIGH</t>
        </is>
      </c>
      <c r="G596" s="15" t="n">
        <v>719.4299999999999</v>
      </c>
      <c r="K596" s="26">
        <f>IF(H596="","",(H596-G596)/G596)</f>
        <v/>
      </c>
      <c r="L596" s="26">
        <f>IF(I596="","",(I596-G596)/G596)</f>
        <v/>
      </c>
      <c r="M596" s="26">
        <f>IF(J596="","",(J596-G596)/G596)</f>
        <v/>
      </c>
      <c r="N596" s="27">
        <f>IF(H596="","",IF(D596="HOLD",IF(ABS(K596)&lt;0.03,"YES","NO"),IF(D596="BUY",IF(K596&gt;0,"YES","NO"),IF(D596="SELL",IF(K596&lt;0,"YES","NO"),""))))</f>
        <v/>
      </c>
    </row>
    <row r="597" ht="15" customHeight="1">
      <c r="A597" s="12" t="n">
        <v>46196</v>
      </c>
      <c r="B597" s="13" t="inlineStr">
        <is>
          <t>VTI</t>
        </is>
      </c>
      <c r="C597" s="13" t="inlineStr">
        <is>
          <t>Scout</t>
        </is>
      </c>
      <c r="D597" s="13" t="inlineStr">
        <is>
          <t>HOLD</t>
        </is>
      </c>
      <c r="E597" s="14" t="n">
        <v>0.62</v>
      </c>
      <c r="F597" s="13" t="inlineStr">
        <is>
          <t>HIGH</t>
        </is>
      </c>
      <c r="G597" s="15" t="n">
        <v>365.97</v>
      </c>
      <c r="K597" s="26">
        <f>IF(H597="","",(H597-G597)/G597)</f>
        <v/>
      </c>
      <c r="L597" s="26">
        <f>IF(I597="","",(I597-G597)/G597)</f>
        <v/>
      </c>
      <c r="M597" s="26">
        <f>IF(J597="","",(J597-G597)/G597)</f>
        <v/>
      </c>
      <c r="N597" s="27">
        <f>IF(H597="","",IF(D597="HOLD",IF(ABS(K597)&lt;0.03,"YES","NO"),IF(D597="BUY",IF(K597&gt;0,"YES","NO"),IF(D597="SELL",IF(K597&lt;0,"YES","NO"),""))))</f>
        <v/>
      </c>
    </row>
    <row r="598" ht="15" customHeight="1">
      <c r="A598" s="12" t="n">
        <v>46196</v>
      </c>
      <c r="B598" s="13" t="inlineStr">
        <is>
          <t>NVDA</t>
        </is>
      </c>
      <c r="C598" s="13" t="inlineStr">
        <is>
          <t>Scout</t>
        </is>
      </c>
      <c r="D598" s="13" t="inlineStr">
        <is>
          <t>HOLD</t>
        </is>
      </c>
      <c r="E598" s="14" t="n">
        <v>0.55</v>
      </c>
      <c r="F598" s="13" t="inlineStr">
        <is>
          <t>MEDIUM</t>
        </is>
      </c>
      <c r="G598" s="15" t="n">
        <v>202.69</v>
      </c>
      <c r="K598" s="26">
        <f>IF(H598="","",(H598-G598)/G598)</f>
        <v/>
      </c>
      <c r="L598" s="26">
        <f>IF(I598="","",(I598-G598)/G598)</f>
        <v/>
      </c>
      <c r="M598" s="26">
        <f>IF(J598="","",(J598-G598)/G598)</f>
        <v/>
      </c>
      <c r="N598" s="27">
        <f>IF(H598="","",IF(D598="HOLD",IF(ABS(K598)&lt;0.03,"YES","NO"),IF(D598="BUY",IF(K598&gt;0,"YES","NO"),IF(D598="SELL",IF(K598&lt;0,"YES","NO"),""))))</f>
        <v/>
      </c>
    </row>
    <row r="599" ht="15" customHeight="1">
      <c r="A599" s="12" t="n">
        <v>46196</v>
      </c>
      <c r="B599" s="13" t="inlineStr">
        <is>
          <t>GLD</t>
        </is>
      </c>
      <c r="C599" s="13" t="inlineStr">
        <is>
          <t>Scout</t>
        </is>
      </c>
      <c r="D599" s="13" t="inlineStr">
        <is>
          <t>HOLD</t>
        </is>
      </c>
      <c r="E599" s="14" t="n">
        <v>0.52</v>
      </c>
      <c r="F599" s="13" t="inlineStr">
        <is>
          <t>HIGH</t>
        </is>
      </c>
      <c r="G599" s="15" t="n">
        <v>379.23</v>
      </c>
      <c r="K599" s="26">
        <f>IF(H599="","",(H599-G599)/G599)</f>
        <v/>
      </c>
      <c r="L599" s="26">
        <f>IF(I599="","",(I599-G599)/G599)</f>
        <v/>
      </c>
      <c r="M599" s="26">
        <f>IF(J599="","",(J599-G599)/G599)</f>
        <v/>
      </c>
      <c r="N599" s="27">
        <f>IF(H599="","",IF(D599="HOLD",IF(ABS(K599)&lt;0.03,"YES","NO"),IF(D599="BUY",IF(K599&gt;0,"YES","NO"),IF(D599="SELL",IF(K599&lt;0,"YES","NO"),""))))</f>
        <v/>
      </c>
    </row>
    <row r="600" ht="15" customHeight="1">
      <c r="K600" s="26">
        <f>IF(H600="","",(H600-G600)/G600)</f>
        <v/>
      </c>
      <c r="L600" s="26">
        <f>IF(I600="","",(I600-G600)/G600)</f>
        <v/>
      </c>
      <c r="M600" s="26">
        <f>IF(J600="","",(J600-G600)/G600)</f>
        <v/>
      </c>
      <c r="N600" s="27">
        <f>IF(H600="","",IF(D600="HOLD",IF(ABS(K600)&lt;0.03,"YES","NO"),IF(D600="BUY",IF(K600&gt;0,"YES","NO"),IF(D600="SELL",IF(K600&lt;0,"YES","NO"),""))))</f>
        <v/>
      </c>
    </row>
    <row r="601" ht="15" customHeight="1">
      <c r="K601" s="26">
        <f>IF(H601="","",(H601-G601)/G601)</f>
        <v/>
      </c>
      <c r="L601" s="26">
        <f>IF(I601="","",(I601-G601)/G601)</f>
        <v/>
      </c>
      <c r="M601" s="26">
        <f>IF(J601="","",(J601-G601)/G601)</f>
        <v/>
      </c>
      <c r="N601" s="27">
        <f>IF(H601="","",IF(D601="HOLD",IF(ABS(K601)&lt;0.03,"YES","NO"),IF(D601="BUY",IF(K601&gt;0,"YES","NO"),IF(D601="SELL",IF(K601&lt;0,"YES","NO"),""))))</f>
        <v/>
      </c>
    </row>
    <row r="602" ht="15" customHeight="1">
      <c r="K602" s="26">
        <f>IF(H602="","",(H602-G602)/G602)</f>
        <v/>
      </c>
      <c r="L602" s="26">
        <f>IF(I602="","",(I602-G602)/G602)</f>
        <v/>
      </c>
      <c r="M602" s="26">
        <f>IF(J602="","",(J602-G602)/G602)</f>
        <v/>
      </c>
      <c r="N602" s="27">
        <f>IF(H602="","",IF(D602="HOLD",IF(ABS(K602)&lt;0.03,"YES","NO"),IF(D602="BUY",IF(K602&gt;0,"YES","NO"),IF(D602="SELL",IF(K602&lt;0,"YES","NO"),""))))</f>
        <v/>
      </c>
    </row>
    <row r="603" ht="15" customHeight="1">
      <c r="K603" s="26">
        <f>IF(H603="","",(H603-G603)/G603)</f>
        <v/>
      </c>
      <c r="L603" s="26">
        <f>IF(I603="","",(I603-G603)/G603)</f>
        <v/>
      </c>
      <c r="M603" s="26">
        <f>IF(J603="","",(J603-G603)/G603)</f>
        <v/>
      </c>
      <c r="N603" s="27">
        <f>IF(H603="","",IF(D603="HOLD",IF(ABS(K603)&lt;0.03,"YES","NO"),IF(D603="BUY",IF(K603&gt;0,"YES","NO"),IF(D603="SELL",IF(K603&lt;0,"YES","NO"),""))))</f>
        <v/>
      </c>
    </row>
    <row r="604" ht="15" customHeight="1">
      <c r="K604" s="26">
        <f>IF(H604="","",(H604-G604)/G604)</f>
        <v/>
      </c>
      <c r="L604" s="26">
        <f>IF(I604="","",(I604-G604)/G604)</f>
        <v/>
      </c>
      <c r="M604" s="26">
        <f>IF(J604="","",(J604-G604)/G604)</f>
        <v/>
      </c>
      <c r="N604" s="27">
        <f>IF(H604="","",IF(D604="HOLD",IF(ABS(K604)&lt;0.03,"YES","NO"),IF(D604="BUY",IF(K604&gt;0,"YES","NO"),IF(D604="SELL",IF(K604&lt;0,"YES","NO"),""))))</f>
        <v/>
      </c>
    </row>
    <row r="605" ht="15" customHeight="1">
      <c r="K605" s="26">
        <f>IF(H605="","",(H605-G605)/G605)</f>
        <v/>
      </c>
      <c r="L605" s="26">
        <f>IF(I605="","",(I605-G605)/G605)</f>
        <v/>
      </c>
      <c r="M605" s="26">
        <f>IF(J605="","",(J605-G605)/G605)</f>
        <v/>
      </c>
      <c r="N605" s="27">
        <f>IF(H605="","",IF(D605="HOLD",IF(ABS(K605)&lt;0.03,"YES","NO"),IF(D605="BUY",IF(K605&gt;0,"YES","NO"),IF(D605="SELL",IF(K605&lt;0,"YES","NO"),""))))</f>
        <v/>
      </c>
    </row>
    <row r="606" ht="15" customHeight="1">
      <c r="K606" s="26">
        <f>IF(H606="","",(H606-G606)/G606)</f>
        <v/>
      </c>
      <c r="L606" s="26">
        <f>IF(I606="","",(I606-G606)/G606)</f>
        <v/>
      </c>
      <c r="M606" s="26">
        <f>IF(J606="","",(J606-G606)/G606)</f>
        <v/>
      </c>
      <c r="N606" s="27">
        <f>IF(H606="","",IF(D606="HOLD",IF(ABS(K606)&lt;0.03,"YES","NO"),IF(D606="BUY",IF(K606&gt;0,"YES","NO"),IF(D606="SELL",IF(K606&lt;0,"YES","NO"),""))))</f>
        <v/>
      </c>
    </row>
    <row r="607" ht="15" customHeight="1">
      <c r="K607" s="26">
        <f>IF(H607="","",(H607-G607)/G607)</f>
        <v/>
      </c>
      <c r="L607" s="26">
        <f>IF(I607="","",(I607-G607)/G607)</f>
        <v/>
      </c>
      <c r="M607" s="26">
        <f>IF(J607="","",(J607-G607)/G607)</f>
        <v/>
      </c>
      <c r="N607" s="27">
        <f>IF(H607="","",IF(D607="HOLD",IF(ABS(K607)&lt;0.03,"YES","NO"),IF(D607="BUY",IF(K607&gt;0,"YES","NO"),IF(D607="SELL",IF(K607&lt;0,"YES","NO"),""))))</f>
        <v/>
      </c>
    </row>
    <row r="608" ht="15" customHeight="1">
      <c r="K608" s="26">
        <f>IF(H608="","",(H608-G608)/G608)</f>
        <v/>
      </c>
      <c r="L608" s="26">
        <f>IF(I608="","",(I608-G608)/G608)</f>
        <v/>
      </c>
      <c r="M608" s="26">
        <f>IF(J608="","",(J608-G608)/G608)</f>
        <v/>
      </c>
      <c r="N608" s="27">
        <f>IF(H608="","",IF(D608="HOLD",IF(ABS(K608)&lt;0.03,"YES","NO"),IF(D608="BUY",IF(K608&gt;0,"YES","NO"),IF(D608="SELL",IF(K608&lt;0,"YES","NO"),""))))</f>
        <v/>
      </c>
    </row>
    <row r="609" ht="15" customHeight="1">
      <c r="K609" s="26">
        <f>IF(H609="","",(H609-G609)/G609)</f>
        <v/>
      </c>
      <c r="L609" s="26">
        <f>IF(I609="","",(I609-G609)/G609)</f>
        <v/>
      </c>
      <c r="M609" s="26">
        <f>IF(J609="","",(J609-G609)/G609)</f>
        <v/>
      </c>
      <c r="N609" s="27">
        <f>IF(H609="","",IF(D609="HOLD",IF(ABS(K609)&lt;0.03,"YES","NO"),IF(D609="BUY",IF(K609&gt;0,"YES","NO"),IF(D609="SELL",IF(K609&lt;0,"YES","NO"),""))))</f>
        <v/>
      </c>
    </row>
    <row r="610" ht="15" customHeight="1">
      <c r="K610" s="26">
        <f>IF(H610="","",(H610-G610)/G610)</f>
        <v/>
      </c>
      <c r="L610" s="26">
        <f>IF(I610="","",(I610-G610)/G610)</f>
        <v/>
      </c>
      <c r="M610" s="26">
        <f>IF(J610="","",(J610-G610)/G610)</f>
        <v/>
      </c>
      <c r="N610" s="27">
        <f>IF(H610="","",IF(D610="HOLD",IF(ABS(K610)&lt;0.03,"YES","NO"),IF(D610="BUY",IF(K610&gt;0,"YES","NO"),IF(D610="SELL",IF(K610&lt;0,"YES","NO"),""))))</f>
        <v/>
      </c>
    </row>
    <row r="611" ht="15" customHeight="1">
      <c r="K611" s="26">
        <f>IF(H611="","",(H611-G611)/G611)</f>
        <v/>
      </c>
      <c r="L611" s="26">
        <f>IF(I611="","",(I611-G611)/G611)</f>
        <v/>
      </c>
      <c r="M611" s="26">
        <f>IF(J611="","",(J611-G611)/G611)</f>
        <v/>
      </c>
      <c r="N611" s="27">
        <f>IF(H611="","",IF(D611="HOLD",IF(ABS(K611)&lt;0.03,"YES","NO"),IF(D611="BUY",IF(K611&gt;0,"YES","NO"),IF(D611="SELL",IF(K611&lt;0,"YES","NO"),""))))</f>
        <v/>
      </c>
    </row>
    <row r="612" ht="15" customHeight="1">
      <c r="K612" s="26">
        <f>IF(H612="","",(H612-G612)/G612)</f>
        <v/>
      </c>
      <c r="L612" s="26">
        <f>IF(I612="","",(I612-G612)/G612)</f>
        <v/>
      </c>
      <c r="M612" s="26">
        <f>IF(J612="","",(J612-G612)/G612)</f>
        <v/>
      </c>
      <c r="N612" s="27">
        <f>IF(H612="","",IF(D612="HOLD",IF(ABS(K612)&lt;0.03,"YES","NO"),IF(D612="BUY",IF(K612&gt;0,"YES","NO"),IF(D612="SELL",IF(K612&lt;0,"YES","NO"),""))))</f>
        <v/>
      </c>
    </row>
    <row r="613" ht="15" customHeight="1">
      <c r="K613" s="26">
        <f>IF(H613="","",(H613-G613)/G613)</f>
        <v/>
      </c>
      <c r="L613" s="26">
        <f>IF(I613="","",(I613-G613)/G613)</f>
        <v/>
      </c>
      <c r="M613" s="26">
        <f>IF(J613="","",(J613-G613)/G613)</f>
        <v/>
      </c>
      <c r="N613" s="27">
        <f>IF(H613="","",IF(D613="HOLD",IF(ABS(K613)&lt;0.03,"YES","NO"),IF(D613="BUY",IF(K613&gt;0,"YES","NO"),IF(D613="SELL",IF(K613&lt;0,"YES","NO"),""))))</f>
        <v/>
      </c>
    </row>
    <row r="614" ht="15" customHeight="1">
      <c r="K614" s="26">
        <f>IF(H614="","",(H614-G614)/G614)</f>
        <v/>
      </c>
      <c r="L614" s="26">
        <f>IF(I614="","",(I614-G614)/G614)</f>
        <v/>
      </c>
      <c r="M614" s="26">
        <f>IF(J614="","",(J614-G614)/G614)</f>
        <v/>
      </c>
      <c r="N614" s="27">
        <f>IF(H614="","",IF(D614="HOLD",IF(ABS(K614)&lt;0.03,"YES","NO"),IF(D614="BUY",IF(K614&gt;0,"YES","NO"),IF(D614="SELL",IF(K614&lt;0,"YES","NO"),""))))</f>
        <v/>
      </c>
    </row>
    <row r="615" ht="15" customHeight="1">
      <c r="K615" s="26">
        <f>IF(H615="","",(H615-G615)/G615)</f>
        <v/>
      </c>
      <c r="L615" s="26">
        <f>IF(I615="","",(I615-G615)/G615)</f>
        <v/>
      </c>
      <c r="M615" s="26">
        <f>IF(J615="","",(J615-G615)/G615)</f>
        <v/>
      </c>
      <c r="N615" s="27">
        <f>IF(H615="","",IF(D615="HOLD",IF(ABS(K615)&lt;0.03,"YES","NO"),IF(D615="BUY",IF(K615&gt;0,"YES","NO"),IF(D615="SELL",IF(K615&lt;0,"YES","NO"),""))))</f>
        <v/>
      </c>
    </row>
    <row r="616" ht="15" customHeight="1">
      <c r="K616" s="26">
        <f>IF(H616="","",(H616-G616)/G616)</f>
        <v/>
      </c>
      <c r="L616" s="26">
        <f>IF(I616="","",(I616-G616)/G616)</f>
        <v/>
      </c>
      <c r="M616" s="26">
        <f>IF(J616="","",(J616-G616)/G616)</f>
        <v/>
      </c>
      <c r="N616" s="27">
        <f>IF(H616="","",IF(D616="HOLD",IF(ABS(K616)&lt;0.03,"YES","NO"),IF(D616="BUY",IF(K616&gt;0,"YES","NO"),IF(D616="SELL",IF(K616&lt;0,"YES","NO"),""))))</f>
        <v/>
      </c>
    </row>
    <row r="617" ht="15" customHeight="1">
      <c r="K617" s="26">
        <f>IF(H617="","",(H617-G617)/G617)</f>
        <v/>
      </c>
      <c r="L617" s="26">
        <f>IF(I617="","",(I617-G617)/G617)</f>
        <v/>
      </c>
      <c r="M617" s="26">
        <f>IF(J617="","",(J617-G617)/G617)</f>
        <v/>
      </c>
      <c r="N617" s="27">
        <f>IF(H617="","",IF(D617="HOLD",IF(ABS(K617)&lt;0.03,"YES","NO"),IF(D617="BUY",IF(K617&gt;0,"YES","NO"),IF(D617="SELL",IF(K617&lt;0,"YES","NO"),""))))</f>
        <v/>
      </c>
    </row>
    <row r="618" ht="15" customHeight="1">
      <c r="K618" s="26">
        <f>IF(H618="","",(H618-G618)/G618)</f>
        <v/>
      </c>
      <c r="L618" s="26">
        <f>IF(I618="","",(I618-G618)/G618)</f>
        <v/>
      </c>
      <c r="M618" s="26">
        <f>IF(J618="","",(J618-G618)/G618)</f>
        <v/>
      </c>
      <c r="N618" s="27">
        <f>IF(H618="","",IF(D618="HOLD",IF(ABS(K618)&lt;0.03,"YES","NO"),IF(D618="BUY",IF(K618&gt;0,"YES","NO"),IF(D618="SELL",IF(K618&lt;0,"YES","NO"),""))))</f>
        <v/>
      </c>
    </row>
    <row r="619" ht="15" customHeight="1">
      <c r="K619" s="26">
        <f>IF(H619="","",(H619-G619)/G619)</f>
        <v/>
      </c>
      <c r="L619" s="26">
        <f>IF(I619="","",(I619-G619)/G619)</f>
        <v/>
      </c>
      <c r="M619" s="26">
        <f>IF(J619="","",(J619-G619)/G619)</f>
        <v/>
      </c>
      <c r="N619" s="27">
        <f>IF(H619="","",IF(D619="HOLD",IF(ABS(K619)&lt;0.03,"YES","NO"),IF(D619="BUY",IF(K619&gt;0,"YES","NO"),IF(D619="SELL",IF(K619&lt;0,"YES","NO"),""))))</f>
        <v/>
      </c>
    </row>
    <row r="620" ht="15" customHeight="1">
      <c r="K620" s="26">
        <f>IF(H620="","",(H620-G620)/G620)</f>
        <v/>
      </c>
      <c r="L620" s="26">
        <f>IF(I620="","",(I620-G620)/G620)</f>
        <v/>
      </c>
      <c r="M620" s="26">
        <f>IF(J620="","",(J620-G620)/G620)</f>
        <v/>
      </c>
      <c r="N620" s="27">
        <f>IF(H620="","",IF(D620="HOLD",IF(ABS(K620)&lt;0.03,"YES","NO"),IF(D620="BUY",IF(K620&gt;0,"YES","NO"),IF(D620="SELL",IF(K620&lt;0,"YES","NO"),""))))</f>
        <v/>
      </c>
    </row>
    <row r="621" ht="15" customHeight="1">
      <c r="K621" s="26">
        <f>IF(H621="","",(H621-G621)/G621)</f>
        <v/>
      </c>
      <c r="L621" s="26">
        <f>IF(I621="","",(I621-G621)/G621)</f>
        <v/>
      </c>
      <c r="M621" s="26">
        <f>IF(J621="","",(J621-G621)/G621)</f>
        <v/>
      </c>
      <c r="N621" s="27">
        <f>IF(H621="","",IF(D621="HOLD",IF(ABS(K621)&lt;0.03,"YES","NO"),IF(D621="BUY",IF(K621&gt;0,"YES","NO"),IF(D621="SELL",IF(K621&lt;0,"YES","NO"),""))))</f>
        <v/>
      </c>
    </row>
    <row r="622" ht="15" customHeight="1">
      <c r="K622" s="26">
        <f>IF(H622="","",(H622-G622)/G622)</f>
        <v/>
      </c>
      <c r="L622" s="26">
        <f>IF(I622="","",(I622-G622)/G622)</f>
        <v/>
      </c>
      <c r="M622" s="26">
        <f>IF(J622="","",(J622-G622)/G622)</f>
        <v/>
      </c>
      <c r="N622" s="27">
        <f>IF(H622="","",IF(D622="HOLD",IF(ABS(K622)&lt;0.03,"YES","NO"),IF(D622="BUY",IF(K622&gt;0,"YES","NO"),IF(D622="SELL",IF(K622&lt;0,"YES","NO"),""))))</f>
        <v/>
      </c>
    </row>
    <row r="623" ht="15" customHeight="1">
      <c r="K623" s="26">
        <f>IF(H623="","",(H623-G623)/G623)</f>
        <v/>
      </c>
      <c r="L623" s="26">
        <f>IF(I623="","",(I623-G623)/G623)</f>
        <v/>
      </c>
      <c r="M623" s="26">
        <f>IF(J623="","",(J623-G623)/G623)</f>
        <v/>
      </c>
      <c r="N623" s="27">
        <f>IF(H623="","",IF(D623="HOLD",IF(ABS(K623)&lt;0.03,"YES","NO"),IF(D623="BUY",IF(K623&gt;0,"YES","NO"),IF(D623="SELL",IF(K623&lt;0,"YES","NO"),""))))</f>
        <v/>
      </c>
    </row>
    <row r="624" ht="15" customHeight="1">
      <c r="K624" s="26">
        <f>IF(H624="","",(H624-G624)/G624)</f>
        <v/>
      </c>
      <c r="L624" s="26">
        <f>IF(I624="","",(I624-G624)/G624)</f>
        <v/>
      </c>
      <c r="M624" s="26">
        <f>IF(J624="","",(J624-G624)/G624)</f>
        <v/>
      </c>
      <c r="N624" s="27">
        <f>IF(H624="","",IF(D624="HOLD",IF(ABS(K624)&lt;0.03,"YES","NO"),IF(D624="BUY",IF(K624&gt;0,"YES","NO"),IF(D624="SELL",IF(K624&lt;0,"YES","NO"),""))))</f>
        <v/>
      </c>
    </row>
    <row r="625" ht="15" customHeight="1">
      <c r="K625" s="26">
        <f>IF(H625="","",(H625-G625)/G625)</f>
        <v/>
      </c>
      <c r="L625" s="26">
        <f>IF(I625="","",(I625-G625)/G625)</f>
        <v/>
      </c>
      <c r="M625" s="26">
        <f>IF(J625="","",(J625-G625)/G625)</f>
        <v/>
      </c>
      <c r="N625" s="27">
        <f>IF(H625="","",IF(D625="HOLD",IF(ABS(K625)&lt;0.03,"YES","NO"),IF(D625="BUY",IF(K625&gt;0,"YES","NO"),IF(D625="SELL",IF(K625&lt;0,"YES","NO"),""))))</f>
        <v/>
      </c>
    </row>
    <row r="626" ht="15" customHeight="1">
      <c r="K626" s="26">
        <f>IF(H626="","",(H626-G626)/G626)</f>
        <v/>
      </c>
      <c r="L626" s="26">
        <f>IF(I626="","",(I626-G626)/G626)</f>
        <v/>
      </c>
      <c r="M626" s="26">
        <f>IF(J626="","",(J626-G626)/G626)</f>
        <v/>
      </c>
      <c r="N626" s="27">
        <f>IF(H626="","",IF(D626="HOLD",IF(ABS(K626)&lt;0.03,"YES","NO"),IF(D626="BUY",IF(K626&gt;0,"YES","NO"),IF(D626="SELL",IF(K626&lt;0,"YES","NO"),""))))</f>
        <v/>
      </c>
    </row>
    <row r="627" ht="15" customHeight="1">
      <c r="K627" s="26">
        <f>IF(H627="","",(H627-G627)/G627)</f>
        <v/>
      </c>
      <c r="L627" s="26">
        <f>IF(I627="","",(I627-G627)/G627)</f>
        <v/>
      </c>
      <c r="M627" s="26">
        <f>IF(J627="","",(J627-G627)/G627)</f>
        <v/>
      </c>
      <c r="N627" s="27">
        <f>IF(H627="","",IF(D627="HOLD",IF(ABS(K627)&lt;0.03,"YES","NO"),IF(D627="BUY",IF(K627&gt;0,"YES","NO"),IF(D627="SELL",IF(K627&lt;0,"YES","NO"),""))))</f>
        <v/>
      </c>
    </row>
    <row r="628" ht="15" customHeight="1">
      <c r="K628" s="26">
        <f>IF(H628="","",(H628-G628)/G628)</f>
        <v/>
      </c>
      <c r="L628" s="26">
        <f>IF(I628="","",(I628-G628)/G628)</f>
        <v/>
      </c>
      <c r="M628" s="26">
        <f>IF(J628="","",(J628-G628)/G628)</f>
        <v/>
      </c>
      <c r="N628" s="27">
        <f>IF(H628="","",IF(D628="HOLD",IF(ABS(K628)&lt;0.03,"YES","NO"),IF(D628="BUY",IF(K628&gt;0,"YES","NO"),IF(D628="SELL",IF(K628&lt;0,"YES","NO"),""))))</f>
        <v/>
      </c>
    </row>
    <row r="629" ht="15" customHeight="1">
      <c r="K629" s="26">
        <f>IF(H629="","",(H629-G629)/G629)</f>
        <v/>
      </c>
      <c r="L629" s="26">
        <f>IF(I629="","",(I629-G629)/G629)</f>
        <v/>
      </c>
      <c r="M629" s="26">
        <f>IF(J629="","",(J629-G629)/G629)</f>
        <v/>
      </c>
      <c r="N629" s="27">
        <f>IF(H629="","",IF(D629="HOLD",IF(ABS(K629)&lt;0.03,"YES","NO"),IF(D629="BUY",IF(K629&gt;0,"YES","NO"),IF(D629="SELL",IF(K629&lt;0,"YES","NO"),""))))</f>
        <v/>
      </c>
    </row>
    <row r="630" ht="15" customHeight="1">
      <c r="K630" s="26">
        <f>IF(H630="","",(H630-G630)/G630)</f>
        <v/>
      </c>
      <c r="L630" s="26">
        <f>IF(I630="","",(I630-G630)/G630)</f>
        <v/>
      </c>
      <c r="M630" s="26">
        <f>IF(J630="","",(J630-G630)/G630)</f>
        <v/>
      </c>
      <c r="N630" s="27">
        <f>IF(H630="","",IF(D630="HOLD",IF(ABS(K630)&lt;0.03,"YES","NO"),IF(D630="BUY",IF(K630&gt;0,"YES","NO"),IF(D630="SELL",IF(K630&lt;0,"YES","NO"),""))))</f>
        <v/>
      </c>
    </row>
    <row r="631" ht="15" customHeight="1">
      <c r="K631" s="26">
        <f>IF(H631="","",(H631-G631)/G631)</f>
        <v/>
      </c>
      <c r="L631" s="26">
        <f>IF(I631="","",(I631-G631)/G631)</f>
        <v/>
      </c>
      <c r="M631" s="26">
        <f>IF(J631="","",(J631-G631)/G631)</f>
        <v/>
      </c>
      <c r="N631" s="27">
        <f>IF(H631="","",IF(D631="HOLD",IF(ABS(K631)&lt;0.03,"YES","NO"),IF(D631="BUY",IF(K631&gt;0,"YES","NO"),IF(D631="SELL",IF(K631&lt;0,"YES","NO"),""))))</f>
        <v/>
      </c>
    </row>
    <row r="632" ht="15" customHeight="1">
      <c r="K632" s="26">
        <f>IF(H632="","",(H632-G632)/G632)</f>
        <v/>
      </c>
      <c r="L632" s="26">
        <f>IF(I632="","",(I632-G632)/G632)</f>
        <v/>
      </c>
      <c r="M632" s="26">
        <f>IF(J632="","",(J632-G632)/G632)</f>
        <v/>
      </c>
      <c r="N632" s="27">
        <f>IF(H632="","",IF(D632="HOLD",IF(ABS(K632)&lt;0.03,"YES","NO"),IF(D632="BUY",IF(K632&gt;0,"YES","NO"),IF(D632="SELL",IF(K632&lt;0,"YES","NO"),""))))</f>
        <v/>
      </c>
    </row>
    <row r="633" ht="15" customHeight="1">
      <c r="K633" s="26">
        <f>IF(H633="","",(H633-G633)/G633)</f>
        <v/>
      </c>
      <c r="L633" s="26">
        <f>IF(I633="","",(I633-G633)/G633)</f>
        <v/>
      </c>
      <c r="M633" s="26">
        <f>IF(J633="","",(J633-G633)/G633)</f>
        <v/>
      </c>
      <c r="N633" s="27">
        <f>IF(H633="","",IF(D633="HOLD",IF(ABS(K633)&lt;0.03,"YES","NO"),IF(D633="BUY",IF(K633&gt;0,"YES","NO"),IF(D633="SELL",IF(K633&lt;0,"YES","NO"),""))))</f>
        <v/>
      </c>
    </row>
    <row r="634" ht="15" customHeight="1">
      <c r="K634" s="26">
        <f>IF(H634="","",(H634-G634)/G634)</f>
        <v/>
      </c>
      <c r="L634" s="26">
        <f>IF(I634="","",(I634-G634)/G634)</f>
        <v/>
      </c>
      <c r="M634" s="26">
        <f>IF(J634="","",(J634-G634)/G634)</f>
        <v/>
      </c>
      <c r="N634" s="27">
        <f>IF(H634="","",IF(D634="HOLD",IF(ABS(K634)&lt;0.03,"YES","NO"),IF(D634="BUY",IF(K634&gt;0,"YES","NO"),IF(D634="SELL",IF(K634&lt;0,"YES","NO"),""))))</f>
        <v/>
      </c>
    </row>
    <row r="635" ht="15" customHeight="1">
      <c r="K635" s="26">
        <f>IF(H635="","",(H635-G635)/G635)</f>
        <v/>
      </c>
      <c r="L635" s="26">
        <f>IF(I635="","",(I635-G635)/G635)</f>
        <v/>
      </c>
      <c r="M635" s="26">
        <f>IF(J635="","",(J635-G635)/G635)</f>
        <v/>
      </c>
      <c r="N635" s="27">
        <f>IF(H635="","",IF(D635="HOLD",IF(ABS(K635)&lt;0.03,"YES","NO"),IF(D635="BUY",IF(K635&gt;0,"YES","NO"),IF(D635="SELL",IF(K635&lt;0,"YES","NO"),""))))</f>
        <v/>
      </c>
    </row>
    <row r="636" ht="15" customHeight="1">
      <c r="K636" s="26">
        <f>IF(H636="","",(H636-G636)/G636)</f>
        <v/>
      </c>
      <c r="L636" s="26">
        <f>IF(I636="","",(I636-G636)/G636)</f>
        <v/>
      </c>
      <c r="M636" s="26">
        <f>IF(J636="","",(J636-G636)/G636)</f>
        <v/>
      </c>
      <c r="N636" s="27">
        <f>IF(H636="","",IF(D636="HOLD",IF(ABS(K636)&lt;0.03,"YES","NO"),IF(D636="BUY",IF(K636&gt;0,"YES","NO"),IF(D636="SELL",IF(K636&lt;0,"YES","NO"),""))))</f>
        <v/>
      </c>
    </row>
    <row r="637" ht="15" customHeight="1">
      <c r="K637" s="26">
        <f>IF(H637="","",(H637-G637)/G637)</f>
        <v/>
      </c>
      <c r="L637" s="26">
        <f>IF(I637="","",(I637-G637)/G637)</f>
        <v/>
      </c>
      <c r="M637" s="26">
        <f>IF(J637="","",(J637-G637)/G637)</f>
        <v/>
      </c>
      <c r="N637" s="27">
        <f>IF(H637="","",IF(D637="HOLD",IF(ABS(K637)&lt;0.03,"YES","NO"),IF(D637="BUY",IF(K637&gt;0,"YES","NO"),IF(D637="SELL",IF(K637&lt;0,"YES","NO"),""))))</f>
        <v/>
      </c>
    </row>
    <row r="638" ht="15" customHeight="1">
      <c r="K638" s="26">
        <f>IF(H638="","",(H638-G638)/G638)</f>
        <v/>
      </c>
      <c r="L638" s="26">
        <f>IF(I638="","",(I638-G638)/G638)</f>
        <v/>
      </c>
      <c r="M638" s="26">
        <f>IF(J638="","",(J638-G638)/G638)</f>
        <v/>
      </c>
      <c r="N638" s="27">
        <f>IF(H638="","",IF(D638="HOLD",IF(ABS(K638)&lt;0.03,"YES","NO"),IF(D638="BUY",IF(K638&gt;0,"YES","NO"),IF(D638="SELL",IF(K638&lt;0,"YES","NO"),""))))</f>
        <v/>
      </c>
    </row>
    <row r="639" ht="15" customHeight="1">
      <c r="K639" s="26">
        <f>IF(H639="","",(H639-G639)/G639)</f>
        <v/>
      </c>
      <c r="L639" s="26">
        <f>IF(I639="","",(I639-G639)/G639)</f>
        <v/>
      </c>
      <c r="M639" s="26">
        <f>IF(J639="","",(J639-G639)/G639)</f>
        <v/>
      </c>
      <c r="N639" s="27">
        <f>IF(H639="","",IF(D639="HOLD",IF(ABS(K639)&lt;0.03,"YES","NO"),IF(D639="BUY",IF(K639&gt;0,"YES","NO"),IF(D639="SELL",IF(K639&lt;0,"YES","NO"),""))))</f>
        <v/>
      </c>
    </row>
    <row r="640" ht="15" customHeight="1">
      <c r="K640" s="26">
        <f>IF(H640="","",(H640-G640)/G640)</f>
        <v/>
      </c>
      <c r="L640" s="26">
        <f>IF(I640="","",(I640-G640)/G640)</f>
        <v/>
      </c>
      <c r="M640" s="26">
        <f>IF(J640="","",(J640-G640)/G640)</f>
        <v/>
      </c>
      <c r="N640" s="27">
        <f>IF(H640="","",IF(D640="HOLD",IF(ABS(K640)&lt;0.03,"YES","NO"),IF(D640="BUY",IF(K640&gt;0,"YES","NO"),IF(D640="SELL",IF(K640&lt;0,"YES","NO"),""))))</f>
        <v/>
      </c>
    </row>
    <row r="641" ht="15" customHeight="1">
      <c r="K641" s="26">
        <f>IF(H641="","",(H641-G641)/G641)</f>
        <v/>
      </c>
      <c r="L641" s="26">
        <f>IF(I641="","",(I641-G641)/G641)</f>
        <v/>
      </c>
      <c r="M641" s="26">
        <f>IF(J641="","",(J641-G641)/G641)</f>
        <v/>
      </c>
      <c r="N641" s="27">
        <f>IF(H641="","",IF(D641="HOLD",IF(ABS(K641)&lt;0.03,"YES","NO"),IF(D641="BUY",IF(K641&gt;0,"YES","NO"),IF(D641="SELL",IF(K641&lt;0,"YES","NO"),""))))</f>
        <v/>
      </c>
    </row>
    <row r="642" ht="15" customHeight="1">
      <c r="K642" s="26">
        <f>IF(H642="","",(H642-G642)/G642)</f>
        <v/>
      </c>
      <c r="L642" s="26">
        <f>IF(I642="","",(I642-G642)/G642)</f>
        <v/>
      </c>
      <c r="M642" s="26">
        <f>IF(J642="","",(J642-G642)/G642)</f>
        <v/>
      </c>
      <c r="N642" s="27">
        <f>IF(H642="","",IF(D642="HOLD",IF(ABS(K642)&lt;0.03,"YES","NO"),IF(D642="BUY",IF(K642&gt;0,"YES","NO"),IF(D642="SELL",IF(K642&lt;0,"YES","NO"),""))))</f>
        <v/>
      </c>
    </row>
    <row r="643" ht="15" customHeight="1">
      <c r="K643" s="26">
        <f>IF(H643="","",(H643-G643)/G643)</f>
        <v/>
      </c>
      <c r="L643" s="26">
        <f>IF(I643="","",(I643-G643)/G643)</f>
        <v/>
      </c>
      <c r="M643" s="26">
        <f>IF(J643="","",(J643-G643)/G643)</f>
        <v/>
      </c>
      <c r="N643" s="27">
        <f>IF(H643="","",IF(D643="HOLD",IF(ABS(K643)&lt;0.03,"YES","NO"),IF(D643="BUY",IF(K643&gt;0,"YES","NO"),IF(D643="SELL",IF(K643&lt;0,"YES","NO"),""))))</f>
        <v/>
      </c>
    </row>
    <row r="644" ht="15" customHeight="1">
      <c r="K644" s="26">
        <f>IF(H644="","",(H644-G644)/G644)</f>
        <v/>
      </c>
      <c r="L644" s="26">
        <f>IF(I644="","",(I644-G644)/G644)</f>
        <v/>
      </c>
      <c r="M644" s="26">
        <f>IF(J644="","",(J644-G644)/G644)</f>
        <v/>
      </c>
      <c r="N644" s="27">
        <f>IF(H644="","",IF(D644="HOLD",IF(ABS(K644)&lt;0.03,"YES","NO"),IF(D644="BUY",IF(K644&gt;0,"YES","NO"),IF(D644="SELL",IF(K644&lt;0,"YES","NO"),""))))</f>
        <v/>
      </c>
    </row>
    <row r="645" ht="15" customHeight="1">
      <c r="K645" s="26">
        <f>IF(H645="","",(H645-G645)/G645)</f>
        <v/>
      </c>
      <c r="L645" s="26">
        <f>IF(I645="","",(I645-G645)/G645)</f>
        <v/>
      </c>
      <c r="M645" s="26">
        <f>IF(J645="","",(J645-G645)/G645)</f>
        <v/>
      </c>
      <c r="N645" s="27">
        <f>IF(H645="","",IF(D645="HOLD",IF(ABS(K645)&lt;0.03,"YES","NO"),IF(D645="BUY",IF(K645&gt;0,"YES","NO"),IF(D645="SELL",IF(K645&lt;0,"YES","NO"),""))))</f>
        <v/>
      </c>
    </row>
    <row r="646" ht="15" customHeight="1">
      <c r="K646" s="26">
        <f>IF(H646="","",(H646-G646)/G646)</f>
        <v/>
      </c>
      <c r="L646" s="26">
        <f>IF(I646="","",(I646-G646)/G646)</f>
        <v/>
      </c>
      <c r="M646" s="26">
        <f>IF(J646="","",(J646-G646)/G646)</f>
        <v/>
      </c>
      <c r="N646" s="27">
        <f>IF(H646="","",IF(D646="HOLD",IF(ABS(K646)&lt;0.03,"YES","NO"),IF(D646="BUY",IF(K646&gt;0,"YES","NO"),IF(D646="SELL",IF(K646&lt;0,"YES","NO"),""))))</f>
        <v/>
      </c>
    </row>
    <row r="647" ht="15" customHeight="1">
      <c r="K647" s="26">
        <f>IF(H647="","",(H647-G647)/G647)</f>
        <v/>
      </c>
      <c r="L647" s="26">
        <f>IF(I647="","",(I647-G647)/G647)</f>
        <v/>
      </c>
      <c r="M647" s="26">
        <f>IF(J647="","",(J647-G647)/G647)</f>
        <v/>
      </c>
      <c r="N647" s="27">
        <f>IF(H647="","",IF(D647="HOLD",IF(ABS(K647)&lt;0.03,"YES","NO"),IF(D647="BUY",IF(K647&gt;0,"YES","NO"),IF(D647="SELL",IF(K647&lt;0,"YES","NO"),""))))</f>
        <v/>
      </c>
    </row>
    <row r="648" ht="15" customHeight="1">
      <c r="K648" s="26">
        <f>IF(H648="","",(H648-G648)/G648)</f>
        <v/>
      </c>
      <c r="L648" s="26">
        <f>IF(I648="","",(I648-G648)/G648)</f>
        <v/>
      </c>
      <c r="M648" s="26">
        <f>IF(J648="","",(J648-G648)/G648)</f>
        <v/>
      </c>
      <c r="N648" s="27">
        <f>IF(H648="","",IF(D648="HOLD",IF(ABS(K648)&lt;0.03,"YES","NO"),IF(D648="BUY",IF(K648&gt;0,"YES","NO"),IF(D648="SELL",IF(K648&lt;0,"YES","NO"),""))))</f>
        <v/>
      </c>
    </row>
    <row r="649" ht="15" customHeight="1">
      <c r="K649" s="26">
        <f>IF(H649="","",(H649-G649)/G649)</f>
        <v/>
      </c>
      <c r="L649" s="26">
        <f>IF(I649="","",(I649-G649)/G649)</f>
        <v/>
      </c>
      <c r="M649" s="26">
        <f>IF(J649="","",(J649-G649)/G649)</f>
        <v/>
      </c>
      <c r="N649" s="27">
        <f>IF(H649="","",IF(D649="HOLD",IF(ABS(K649)&lt;0.03,"YES","NO"),IF(D649="BUY",IF(K649&gt;0,"YES","NO"),IF(D649="SELL",IF(K649&lt;0,"YES","NO"),""))))</f>
        <v/>
      </c>
    </row>
    <row r="650" ht="15" customHeight="1">
      <c r="K650" s="26">
        <f>IF(H650="","",(H650-G650)/G650)</f>
        <v/>
      </c>
      <c r="L650" s="26">
        <f>IF(I650="","",(I650-G650)/G650)</f>
        <v/>
      </c>
      <c r="M650" s="26">
        <f>IF(J650="","",(J650-G650)/G650)</f>
        <v/>
      </c>
      <c r="N650" s="27">
        <f>IF(H650="","",IF(D650="HOLD",IF(ABS(K650)&lt;0.03,"YES","NO"),IF(D650="BUY",IF(K650&gt;0,"YES","NO"),IF(D650="SELL",IF(K650&lt;0,"YES","NO"),""))))</f>
        <v/>
      </c>
    </row>
    <row r="651" ht="15" customHeight="1">
      <c r="K651" s="26">
        <f>IF(H651="","",(H651-G651)/G651)</f>
        <v/>
      </c>
      <c r="L651" s="26">
        <f>IF(I651="","",(I651-G651)/G651)</f>
        <v/>
      </c>
      <c r="M651" s="26">
        <f>IF(J651="","",(J651-G651)/G651)</f>
        <v/>
      </c>
      <c r="N651" s="27">
        <f>IF(H651="","",IF(D651="HOLD",IF(ABS(K651)&lt;0.03,"YES","NO"),IF(D651="BUY",IF(K651&gt;0,"YES","NO"),IF(D651="SELL",IF(K651&lt;0,"YES","NO"),""))))</f>
        <v/>
      </c>
    </row>
    <row r="652" ht="15" customHeight="1">
      <c r="K652" s="26">
        <f>IF(H652="","",(H652-G652)/G652)</f>
        <v/>
      </c>
      <c r="L652" s="26">
        <f>IF(I652="","",(I652-G652)/G652)</f>
        <v/>
      </c>
      <c r="M652" s="26">
        <f>IF(J652="","",(J652-G652)/G652)</f>
        <v/>
      </c>
      <c r="N652" s="27">
        <f>IF(H652="","",IF(D652="HOLD",IF(ABS(K652)&lt;0.03,"YES","NO"),IF(D652="BUY",IF(K652&gt;0,"YES","NO"),IF(D652="SELL",IF(K652&lt;0,"YES","NO"),""))))</f>
        <v/>
      </c>
    </row>
    <row r="653" ht="15" customHeight="1">
      <c r="K653" s="26">
        <f>IF(H653="","",(H653-G653)/G653)</f>
        <v/>
      </c>
      <c r="L653" s="26">
        <f>IF(I653="","",(I653-G653)/G653)</f>
        <v/>
      </c>
      <c r="M653" s="26">
        <f>IF(J653="","",(J653-G653)/G653)</f>
        <v/>
      </c>
      <c r="N653" s="27">
        <f>IF(H653="","",IF(D653="HOLD",IF(ABS(K653)&lt;0.03,"YES","NO"),IF(D653="BUY",IF(K653&gt;0,"YES","NO"),IF(D653="SELL",IF(K653&lt;0,"YES","NO"),""))))</f>
        <v/>
      </c>
    </row>
    <row r="654" ht="15" customHeight="1">
      <c r="K654" s="26">
        <f>IF(H654="","",(H654-G654)/G654)</f>
        <v/>
      </c>
      <c r="L654" s="26">
        <f>IF(I654="","",(I654-G654)/G654)</f>
        <v/>
      </c>
      <c r="M654" s="26">
        <f>IF(J654="","",(J654-G654)/G654)</f>
        <v/>
      </c>
      <c r="N654" s="27">
        <f>IF(H654="","",IF(D654="HOLD",IF(ABS(K654)&lt;0.03,"YES","NO"),IF(D654="BUY",IF(K654&gt;0,"YES","NO"),IF(D654="SELL",IF(K654&lt;0,"YES","NO"),""))))</f>
        <v/>
      </c>
    </row>
    <row r="655" ht="15" customHeight="1">
      <c r="K655" s="26">
        <f>IF(H655="","",(H655-G655)/G655)</f>
        <v/>
      </c>
      <c r="L655" s="26">
        <f>IF(I655="","",(I655-G655)/G655)</f>
        <v/>
      </c>
      <c r="M655" s="26">
        <f>IF(J655="","",(J655-G655)/G655)</f>
        <v/>
      </c>
      <c r="N655" s="27">
        <f>IF(H655="","",IF(D655="HOLD",IF(ABS(K655)&lt;0.03,"YES","NO"),IF(D655="BUY",IF(K655&gt;0,"YES","NO"),IF(D655="SELL",IF(K655&lt;0,"YES","NO"),""))))</f>
        <v/>
      </c>
    </row>
    <row r="656" ht="15" customHeight="1">
      <c r="K656" s="26">
        <f>IF(H656="","",(H656-G656)/G656)</f>
        <v/>
      </c>
      <c r="L656" s="26">
        <f>IF(I656="","",(I656-G656)/G656)</f>
        <v/>
      </c>
      <c r="M656" s="26">
        <f>IF(J656="","",(J656-G656)/G656)</f>
        <v/>
      </c>
      <c r="N656" s="27">
        <f>IF(H656="","",IF(D656="HOLD",IF(ABS(K656)&lt;0.03,"YES","NO"),IF(D656="BUY",IF(K656&gt;0,"YES","NO"),IF(D656="SELL",IF(K656&lt;0,"YES","NO"),""))))</f>
        <v/>
      </c>
    </row>
    <row r="657" ht="15" customHeight="1">
      <c r="K657" s="26">
        <f>IF(H657="","",(H657-G657)/G657)</f>
        <v/>
      </c>
      <c r="L657" s="26">
        <f>IF(I657="","",(I657-G657)/G657)</f>
        <v/>
      </c>
      <c r="M657" s="26">
        <f>IF(J657="","",(J657-G657)/G657)</f>
        <v/>
      </c>
      <c r="N657" s="27">
        <f>IF(H657="","",IF(D657="HOLD",IF(ABS(K657)&lt;0.03,"YES","NO"),IF(D657="BUY",IF(K657&gt;0,"YES","NO"),IF(D657="SELL",IF(K657&lt;0,"YES","NO"),""))))</f>
        <v/>
      </c>
    </row>
    <row r="658" ht="15" customHeight="1">
      <c r="K658" s="26">
        <f>IF(H658="","",(H658-G658)/G658)</f>
        <v/>
      </c>
      <c r="L658" s="26">
        <f>IF(I658="","",(I658-G658)/G658)</f>
        <v/>
      </c>
      <c r="M658" s="26">
        <f>IF(J658="","",(J658-G658)/G658)</f>
        <v/>
      </c>
      <c r="N658" s="27">
        <f>IF(H658="","",IF(D658="HOLD",IF(ABS(K658)&lt;0.03,"YES","NO"),IF(D658="BUY",IF(K658&gt;0,"YES","NO"),IF(D658="SELL",IF(K658&lt;0,"YES","NO"),""))))</f>
        <v/>
      </c>
    </row>
    <row r="659" ht="15" customHeight="1">
      <c r="K659" s="26">
        <f>IF(H659="","",(H659-G659)/G659)</f>
        <v/>
      </c>
      <c r="L659" s="26">
        <f>IF(I659="","",(I659-G659)/G659)</f>
        <v/>
      </c>
      <c r="M659" s="26">
        <f>IF(J659="","",(J659-G659)/G659)</f>
        <v/>
      </c>
      <c r="N659" s="27">
        <f>IF(H659="","",IF(D659="HOLD",IF(ABS(K659)&lt;0.03,"YES","NO"),IF(D659="BUY",IF(K659&gt;0,"YES","NO"),IF(D659="SELL",IF(K659&lt;0,"YES","NO"),""))))</f>
        <v/>
      </c>
    </row>
    <row r="660" ht="15" customHeight="1">
      <c r="K660" s="26">
        <f>IF(H660="","",(H660-G660)/G660)</f>
        <v/>
      </c>
      <c r="L660" s="26">
        <f>IF(I660="","",(I660-G660)/G660)</f>
        <v/>
      </c>
      <c r="M660" s="26">
        <f>IF(J660="","",(J660-G660)/G660)</f>
        <v/>
      </c>
      <c r="N660" s="27">
        <f>IF(H660="","",IF(D660="HOLD",IF(ABS(K660)&lt;0.03,"YES","NO"),IF(D660="BUY",IF(K660&gt;0,"YES","NO"),IF(D660="SELL",IF(K660&lt;0,"YES","NO"),""))))</f>
        <v/>
      </c>
    </row>
    <row r="661" ht="15" customHeight="1">
      <c r="K661" s="26">
        <f>IF(H661="","",(H661-G661)/G661)</f>
        <v/>
      </c>
      <c r="L661" s="26">
        <f>IF(I661="","",(I661-G661)/G661)</f>
        <v/>
      </c>
      <c r="M661" s="26">
        <f>IF(J661="","",(J661-G661)/G661)</f>
        <v/>
      </c>
      <c r="N661" s="27">
        <f>IF(H661="","",IF(D661="HOLD",IF(ABS(K661)&lt;0.03,"YES","NO"),IF(D661="BUY",IF(K661&gt;0,"YES","NO"),IF(D661="SELL",IF(K661&lt;0,"YES","NO"),""))))</f>
        <v/>
      </c>
    </row>
    <row r="662" ht="15" customHeight="1">
      <c r="K662" s="26">
        <f>IF(H662="","",(H662-G662)/G662)</f>
        <v/>
      </c>
      <c r="L662" s="26">
        <f>IF(I662="","",(I662-G662)/G662)</f>
        <v/>
      </c>
      <c r="M662" s="26">
        <f>IF(J662="","",(J662-G662)/G662)</f>
        <v/>
      </c>
      <c r="N662" s="27">
        <f>IF(H662="","",IF(D662="HOLD",IF(ABS(K662)&lt;0.03,"YES","NO"),IF(D662="BUY",IF(K662&gt;0,"YES","NO"),IF(D662="SELL",IF(K662&lt;0,"YES","NO"),""))))</f>
        <v/>
      </c>
    </row>
    <row r="663" ht="15" customHeight="1">
      <c r="K663" s="26">
        <f>IF(H663="","",(H663-G663)/G663)</f>
        <v/>
      </c>
      <c r="L663" s="26">
        <f>IF(I663="","",(I663-G663)/G663)</f>
        <v/>
      </c>
      <c r="M663" s="26">
        <f>IF(J663="","",(J663-G663)/G663)</f>
        <v/>
      </c>
      <c r="N663" s="27">
        <f>IF(H663="","",IF(D663="HOLD",IF(ABS(K663)&lt;0.03,"YES","NO"),IF(D663="BUY",IF(K663&gt;0,"YES","NO"),IF(D663="SELL",IF(K663&lt;0,"YES","NO"),""))))</f>
        <v/>
      </c>
    </row>
    <row r="664" ht="15" customHeight="1">
      <c r="K664" s="26">
        <f>IF(H664="","",(H664-G664)/G664)</f>
        <v/>
      </c>
      <c r="L664" s="26">
        <f>IF(I664="","",(I664-G664)/G664)</f>
        <v/>
      </c>
      <c r="M664" s="26">
        <f>IF(J664="","",(J664-G664)/G664)</f>
        <v/>
      </c>
      <c r="N664" s="27">
        <f>IF(H664="","",IF(D664="HOLD",IF(ABS(K664)&lt;0.03,"YES","NO"),IF(D664="BUY",IF(K664&gt;0,"YES","NO"),IF(D664="SELL",IF(K664&lt;0,"YES","NO"),""))))</f>
        <v/>
      </c>
    </row>
    <row r="665" ht="15" customHeight="1">
      <c r="K665" s="26">
        <f>IF(H665="","",(H665-G665)/G665)</f>
        <v/>
      </c>
      <c r="L665" s="26">
        <f>IF(I665="","",(I665-G665)/G665)</f>
        <v/>
      </c>
      <c r="M665" s="26">
        <f>IF(J665="","",(J665-G665)/G665)</f>
        <v/>
      </c>
      <c r="N665" s="27">
        <f>IF(H665="","",IF(D665="HOLD",IF(ABS(K665)&lt;0.03,"YES","NO"),IF(D665="BUY",IF(K665&gt;0,"YES","NO"),IF(D665="SELL",IF(K665&lt;0,"YES","NO"),""))))</f>
        <v/>
      </c>
    </row>
    <row r="666" ht="15" customHeight="1">
      <c r="K666" s="26">
        <f>IF(H666="","",(H666-G666)/G666)</f>
        <v/>
      </c>
      <c r="L666" s="26">
        <f>IF(I666="","",(I666-G666)/G666)</f>
        <v/>
      </c>
      <c r="M666" s="26">
        <f>IF(J666="","",(J666-G666)/G666)</f>
        <v/>
      </c>
      <c r="N666" s="27">
        <f>IF(H666="","",IF(D666="HOLD",IF(ABS(K666)&lt;0.03,"YES","NO"),IF(D666="BUY",IF(K666&gt;0,"YES","NO"),IF(D666="SELL",IF(K666&lt;0,"YES","NO"),""))))</f>
        <v/>
      </c>
    </row>
    <row r="667" ht="15" customHeight="1">
      <c r="K667" s="26">
        <f>IF(H667="","",(H667-G667)/G667)</f>
        <v/>
      </c>
      <c r="L667" s="26">
        <f>IF(I667="","",(I667-G667)/G667)</f>
        <v/>
      </c>
      <c r="M667" s="26">
        <f>IF(J667="","",(J667-G667)/G667)</f>
        <v/>
      </c>
      <c r="N667" s="27">
        <f>IF(H667="","",IF(D667="HOLD",IF(ABS(K667)&lt;0.03,"YES","NO"),IF(D667="BUY",IF(K667&gt;0,"YES","NO"),IF(D667="SELL",IF(K667&lt;0,"YES","NO"),""))))</f>
        <v/>
      </c>
    </row>
    <row r="668" ht="15" customHeight="1">
      <c r="K668" s="26">
        <f>IF(H668="","",(H668-G668)/G668)</f>
        <v/>
      </c>
      <c r="L668" s="26">
        <f>IF(I668="","",(I668-G668)/G668)</f>
        <v/>
      </c>
      <c r="M668" s="26">
        <f>IF(J668="","",(J668-G668)/G668)</f>
        <v/>
      </c>
      <c r="N668" s="27">
        <f>IF(H668="","",IF(D668="HOLD",IF(ABS(K668)&lt;0.03,"YES","NO"),IF(D668="BUY",IF(K668&gt;0,"YES","NO"),IF(D668="SELL",IF(K668&lt;0,"YES","NO"),""))))</f>
        <v/>
      </c>
    </row>
    <row r="669" ht="15" customHeight="1">
      <c r="K669" s="26">
        <f>IF(H669="","",(H669-G669)/G669)</f>
        <v/>
      </c>
      <c r="L669" s="26">
        <f>IF(I669="","",(I669-G669)/G669)</f>
        <v/>
      </c>
      <c r="M669" s="26">
        <f>IF(J669="","",(J669-G669)/G669)</f>
        <v/>
      </c>
      <c r="N669" s="27">
        <f>IF(H669="","",IF(D669="HOLD",IF(ABS(K669)&lt;0.03,"YES","NO"),IF(D669="BUY",IF(K669&gt;0,"YES","NO"),IF(D669="SELL",IF(K669&lt;0,"YES","NO"),""))))</f>
        <v/>
      </c>
    </row>
    <row r="670" ht="15" customHeight="1">
      <c r="K670" s="26">
        <f>IF(H670="","",(H670-G670)/G670)</f>
        <v/>
      </c>
      <c r="L670" s="26">
        <f>IF(I670="","",(I670-G670)/G670)</f>
        <v/>
      </c>
      <c r="M670" s="26">
        <f>IF(J670="","",(J670-G670)/G670)</f>
        <v/>
      </c>
      <c r="N670" s="27">
        <f>IF(H670="","",IF(D670="HOLD",IF(ABS(K670)&lt;0.03,"YES","NO"),IF(D670="BUY",IF(K670&gt;0,"YES","NO"),IF(D670="SELL",IF(K670&lt;0,"YES","NO"),""))))</f>
        <v/>
      </c>
    </row>
    <row r="671" ht="15" customHeight="1">
      <c r="K671" s="26">
        <f>IF(H671="","",(H671-G671)/G671)</f>
        <v/>
      </c>
      <c r="L671" s="26">
        <f>IF(I671="","",(I671-G671)/G671)</f>
        <v/>
      </c>
      <c r="M671" s="26">
        <f>IF(J671="","",(J671-G671)/G671)</f>
        <v/>
      </c>
      <c r="N671" s="27">
        <f>IF(H671="","",IF(D671="HOLD",IF(ABS(K671)&lt;0.03,"YES","NO"),IF(D671="BUY",IF(K671&gt;0,"YES","NO"),IF(D671="SELL",IF(K671&lt;0,"YES","NO"),""))))</f>
        <v/>
      </c>
    </row>
    <row r="672" ht="15" customHeight="1">
      <c r="K672" s="26">
        <f>IF(H672="","",(H672-G672)/G672)</f>
        <v/>
      </c>
      <c r="L672" s="26">
        <f>IF(I672="","",(I672-G672)/G672)</f>
        <v/>
      </c>
      <c r="M672" s="26">
        <f>IF(J672="","",(J672-G672)/G672)</f>
        <v/>
      </c>
      <c r="N672" s="27">
        <f>IF(H672="","",IF(D672="HOLD",IF(ABS(K672)&lt;0.03,"YES","NO"),IF(D672="BUY",IF(K672&gt;0,"YES","NO"),IF(D672="SELL",IF(K672&lt;0,"YES","NO"),""))))</f>
        <v/>
      </c>
    </row>
    <row r="673" ht="15" customHeight="1">
      <c r="K673" s="26">
        <f>IF(H673="","",(H673-G673)/G673)</f>
        <v/>
      </c>
      <c r="L673" s="26">
        <f>IF(I673="","",(I673-G673)/G673)</f>
        <v/>
      </c>
      <c r="M673" s="26">
        <f>IF(J673="","",(J673-G673)/G673)</f>
        <v/>
      </c>
      <c r="N673" s="27">
        <f>IF(H673="","",IF(D673="HOLD",IF(ABS(K673)&lt;0.03,"YES","NO"),IF(D673="BUY",IF(K673&gt;0,"YES","NO"),IF(D673="SELL",IF(K673&lt;0,"YES","NO"),""))))</f>
        <v/>
      </c>
    </row>
    <row r="674" ht="15" customHeight="1">
      <c r="K674" s="26">
        <f>IF(H674="","",(H674-G674)/G674)</f>
        <v/>
      </c>
      <c r="L674" s="26">
        <f>IF(I674="","",(I674-G674)/G674)</f>
        <v/>
      </c>
      <c r="M674" s="26">
        <f>IF(J674="","",(J674-G674)/G674)</f>
        <v/>
      </c>
      <c r="N674" s="27">
        <f>IF(H674="","",IF(D674="HOLD",IF(ABS(K674)&lt;0.03,"YES","NO"),IF(D674="BUY",IF(K674&gt;0,"YES","NO"),IF(D674="SELL",IF(K674&lt;0,"YES","NO"),""))))</f>
        <v/>
      </c>
    </row>
    <row r="675" ht="15" customHeight="1">
      <c r="K675" s="26">
        <f>IF(H675="","",(H675-G675)/G675)</f>
        <v/>
      </c>
      <c r="L675" s="26">
        <f>IF(I675="","",(I675-G675)/G675)</f>
        <v/>
      </c>
      <c r="M675" s="26">
        <f>IF(J675="","",(J675-G675)/G675)</f>
        <v/>
      </c>
      <c r="N675" s="27">
        <f>IF(H675="","",IF(D675="HOLD",IF(ABS(K675)&lt;0.03,"YES","NO"),IF(D675="BUY",IF(K675&gt;0,"YES","NO"),IF(D675="SELL",IF(K675&lt;0,"YES","NO"),""))))</f>
        <v/>
      </c>
    </row>
    <row r="676" ht="15" customHeight="1">
      <c r="K676" s="26">
        <f>IF(H676="","",(H676-G676)/G676)</f>
        <v/>
      </c>
      <c r="L676" s="26">
        <f>IF(I676="","",(I676-G676)/G676)</f>
        <v/>
      </c>
      <c r="M676" s="26">
        <f>IF(J676="","",(J676-G676)/G676)</f>
        <v/>
      </c>
      <c r="N676" s="27">
        <f>IF(H676="","",IF(D676="HOLD",IF(ABS(K676)&lt;0.03,"YES","NO"),IF(D676="BUY",IF(K676&gt;0,"YES","NO"),IF(D676="SELL",IF(K676&lt;0,"YES","NO"),""))))</f>
        <v/>
      </c>
    </row>
    <row r="677" ht="15" customHeight="1">
      <c r="K677" s="26">
        <f>IF(H677="","",(H677-G677)/G677)</f>
        <v/>
      </c>
      <c r="L677" s="26">
        <f>IF(I677="","",(I677-G677)/G677)</f>
        <v/>
      </c>
      <c r="M677" s="26">
        <f>IF(J677="","",(J677-G677)/G677)</f>
        <v/>
      </c>
      <c r="N677" s="27">
        <f>IF(H677="","",IF(D677="HOLD",IF(ABS(K677)&lt;0.03,"YES","NO"),IF(D677="BUY",IF(K677&gt;0,"YES","NO"),IF(D677="SELL",IF(K677&lt;0,"YES","NO"),""))))</f>
        <v/>
      </c>
    </row>
    <row r="678" ht="15" customHeight="1">
      <c r="K678" s="26">
        <f>IF(H678="","",(H678-G678)/G678)</f>
        <v/>
      </c>
      <c r="L678" s="26">
        <f>IF(I678="","",(I678-G678)/G678)</f>
        <v/>
      </c>
      <c r="M678" s="26">
        <f>IF(J678="","",(J678-G678)/G678)</f>
        <v/>
      </c>
      <c r="N678" s="27">
        <f>IF(H678="","",IF(D678="HOLD",IF(ABS(K678)&lt;0.03,"YES","NO"),IF(D678="BUY",IF(K678&gt;0,"YES","NO"),IF(D678="SELL",IF(K678&lt;0,"YES","NO"),""))))</f>
        <v/>
      </c>
    </row>
    <row r="679" ht="15" customHeight="1">
      <c r="K679" s="26">
        <f>IF(H679="","",(H679-G679)/G679)</f>
        <v/>
      </c>
      <c r="L679" s="26">
        <f>IF(I679="","",(I679-G679)/G679)</f>
        <v/>
      </c>
      <c r="M679" s="26">
        <f>IF(J679="","",(J679-G679)/G679)</f>
        <v/>
      </c>
      <c r="N679" s="27">
        <f>IF(H679="","",IF(D679="HOLD",IF(ABS(K679)&lt;0.03,"YES","NO"),IF(D679="BUY",IF(K679&gt;0,"YES","NO"),IF(D679="SELL",IF(K679&lt;0,"YES","NO"),""))))</f>
        <v/>
      </c>
    </row>
    <row r="680" ht="15" customHeight="1">
      <c r="K680" s="26">
        <f>IF(H680="","",(H680-G680)/G680)</f>
        <v/>
      </c>
      <c r="L680" s="26">
        <f>IF(I680="","",(I680-G680)/G680)</f>
        <v/>
      </c>
      <c r="M680" s="26">
        <f>IF(J680="","",(J680-G680)/G680)</f>
        <v/>
      </c>
      <c r="N680" s="27">
        <f>IF(H680="","",IF(D680="HOLD",IF(ABS(K680)&lt;0.03,"YES","NO"),IF(D680="BUY",IF(K680&gt;0,"YES","NO"),IF(D680="SELL",IF(K680&lt;0,"YES","NO"),""))))</f>
        <v/>
      </c>
    </row>
    <row r="681" ht="15" customHeight="1">
      <c r="K681" s="26">
        <f>IF(H681="","",(H681-G681)/G681)</f>
        <v/>
      </c>
      <c r="L681" s="26">
        <f>IF(I681="","",(I681-G681)/G681)</f>
        <v/>
      </c>
      <c r="M681" s="26">
        <f>IF(J681="","",(J681-G681)/G681)</f>
        <v/>
      </c>
      <c r="N681" s="27">
        <f>IF(H681="","",IF(D681="HOLD",IF(ABS(K681)&lt;0.03,"YES","NO"),IF(D681="BUY",IF(K681&gt;0,"YES","NO"),IF(D681="SELL",IF(K681&lt;0,"YES","NO"),""))))</f>
        <v/>
      </c>
    </row>
    <row r="682" ht="15" customHeight="1">
      <c r="K682" s="26">
        <f>IF(H682="","",(H682-G682)/G682)</f>
        <v/>
      </c>
      <c r="L682" s="26">
        <f>IF(I682="","",(I682-G682)/G682)</f>
        <v/>
      </c>
      <c r="M682" s="26">
        <f>IF(J682="","",(J682-G682)/G682)</f>
        <v/>
      </c>
      <c r="N682" s="27">
        <f>IF(H682="","",IF(D682="HOLD",IF(ABS(K682)&lt;0.03,"YES","NO"),IF(D682="BUY",IF(K682&gt;0,"YES","NO"),IF(D682="SELL",IF(K682&lt;0,"YES","NO"),""))))</f>
        <v/>
      </c>
    </row>
    <row r="683" ht="15" customHeight="1">
      <c r="K683" s="26">
        <f>IF(H683="","",(H683-G683)/G683)</f>
        <v/>
      </c>
      <c r="L683" s="26">
        <f>IF(I683="","",(I683-G683)/G683)</f>
        <v/>
      </c>
      <c r="M683" s="26">
        <f>IF(J683="","",(J683-G683)/G683)</f>
        <v/>
      </c>
      <c r="N683" s="27">
        <f>IF(H683="","",IF(D683="HOLD",IF(ABS(K683)&lt;0.03,"YES","NO"),IF(D683="BUY",IF(K683&gt;0,"YES","NO"),IF(D683="SELL",IF(K683&lt;0,"YES","NO"),""))))</f>
        <v/>
      </c>
    </row>
    <row r="684" ht="15" customHeight="1">
      <c r="K684" s="26">
        <f>IF(H684="","",(H684-G684)/G684)</f>
        <v/>
      </c>
      <c r="L684" s="26">
        <f>IF(I684="","",(I684-G684)/G684)</f>
        <v/>
      </c>
      <c r="M684" s="26">
        <f>IF(J684="","",(J684-G684)/G684)</f>
        <v/>
      </c>
      <c r="N684" s="27">
        <f>IF(H684="","",IF(D684="HOLD",IF(ABS(K684)&lt;0.03,"YES","NO"),IF(D684="BUY",IF(K684&gt;0,"YES","NO"),IF(D684="SELL",IF(K684&lt;0,"YES","NO"),""))))</f>
        <v/>
      </c>
    </row>
    <row r="685" ht="15" customHeight="1">
      <c r="K685" s="26">
        <f>IF(H685="","",(H685-G685)/G685)</f>
        <v/>
      </c>
      <c r="L685" s="26">
        <f>IF(I685="","",(I685-G685)/G685)</f>
        <v/>
      </c>
      <c r="M685" s="26">
        <f>IF(J685="","",(J685-G685)/G685)</f>
        <v/>
      </c>
      <c r="N685" s="27">
        <f>IF(H685="","",IF(D685="HOLD",IF(ABS(K685)&lt;0.03,"YES","NO"),IF(D685="BUY",IF(K685&gt;0,"YES","NO"),IF(D685="SELL",IF(K685&lt;0,"YES","NO"),""))))</f>
        <v/>
      </c>
    </row>
    <row r="686" ht="15" customHeight="1">
      <c r="K686" s="26">
        <f>IF(H686="","",(H686-G686)/G686)</f>
        <v/>
      </c>
      <c r="L686" s="26">
        <f>IF(I686="","",(I686-G686)/G686)</f>
        <v/>
      </c>
      <c r="M686" s="26">
        <f>IF(J686="","",(J686-G686)/G686)</f>
        <v/>
      </c>
      <c r="N686" s="27">
        <f>IF(H686="","",IF(D686="HOLD",IF(ABS(K686)&lt;0.03,"YES","NO"),IF(D686="BUY",IF(K686&gt;0,"YES","NO"),IF(D686="SELL",IF(K686&lt;0,"YES","NO"),""))))</f>
        <v/>
      </c>
    </row>
    <row r="687" ht="15" customHeight="1">
      <c r="K687" s="26">
        <f>IF(H687="","",(H687-G687)/G687)</f>
        <v/>
      </c>
      <c r="L687" s="26">
        <f>IF(I687="","",(I687-G687)/G687)</f>
        <v/>
      </c>
      <c r="M687" s="26">
        <f>IF(J687="","",(J687-G687)/G687)</f>
        <v/>
      </c>
      <c r="N687" s="27">
        <f>IF(H687="","",IF(D687="HOLD",IF(ABS(K687)&lt;0.03,"YES","NO"),IF(D687="BUY",IF(K687&gt;0,"YES","NO"),IF(D687="SELL",IF(K687&lt;0,"YES","NO"),""))))</f>
        <v/>
      </c>
    </row>
    <row r="688" ht="15" customHeight="1">
      <c r="K688" s="26">
        <f>IF(H688="","",(H688-G688)/G688)</f>
        <v/>
      </c>
      <c r="L688" s="26">
        <f>IF(I688="","",(I688-G688)/G688)</f>
        <v/>
      </c>
      <c r="M688" s="26">
        <f>IF(J688="","",(J688-G688)/G688)</f>
        <v/>
      </c>
      <c r="N688" s="27">
        <f>IF(H688="","",IF(D688="HOLD",IF(ABS(K688)&lt;0.03,"YES","NO"),IF(D688="BUY",IF(K688&gt;0,"YES","NO"),IF(D688="SELL",IF(K688&lt;0,"YES","NO"),""))))</f>
        <v/>
      </c>
    </row>
    <row r="689" ht="15" customHeight="1">
      <c r="K689" s="26">
        <f>IF(H689="","",(H689-G689)/G689)</f>
        <v/>
      </c>
      <c r="L689" s="26">
        <f>IF(I689="","",(I689-G689)/G689)</f>
        <v/>
      </c>
      <c r="M689" s="26">
        <f>IF(J689="","",(J689-G689)/G689)</f>
        <v/>
      </c>
      <c r="N689" s="27">
        <f>IF(H689="","",IF(D689="HOLD",IF(ABS(K689)&lt;0.03,"YES","NO"),IF(D689="BUY",IF(K689&gt;0,"YES","NO"),IF(D689="SELL",IF(K689&lt;0,"YES","NO"),""))))</f>
        <v/>
      </c>
    </row>
    <row r="690" ht="15" customHeight="1">
      <c r="K690" s="26">
        <f>IF(H690="","",(H690-G690)/G690)</f>
        <v/>
      </c>
      <c r="L690" s="26">
        <f>IF(I690="","",(I690-G690)/G690)</f>
        <v/>
      </c>
      <c r="M690" s="26">
        <f>IF(J690="","",(J690-G690)/G690)</f>
        <v/>
      </c>
      <c r="N690" s="27">
        <f>IF(H690="","",IF(D690="HOLD",IF(ABS(K690)&lt;0.03,"YES","NO"),IF(D690="BUY",IF(K690&gt;0,"YES","NO"),IF(D690="SELL",IF(K690&lt;0,"YES","NO"),""))))</f>
        <v/>
      </c>
    </row>
    <row r="691" ht="15" customHeight="1">
      <c r="K691" s="26">
        <f>IF(H691="","",(H691-G691)/G691)</f>
        <v/>
      </c>
      <c r="L691" s="26">
        <f>IF(I691="","",(I691-G691)/G691)</f>
        <v/>
      </c>
      <c r="M691" s="26">
        <f>IF(J691="","",(J691-G691)/G691)</f>
        <v/>
      </c>
      <c r="N691" s="27">
        <f>IF(H691="","",IF(D691="HOLD",IF(ABS(K691)&lt;0.03,"YES","NO"),IF(D691="BUY",IF(K691&gt;0,"YES","NO"),IF(D691="SELL",IF(K691&lt;0,"YES","NO"),""))))</f>
        <v/>
      </c>
    </row>
    <row r="692" ht="15" customHeight="1">
      <c r="K692" s="26">
        <f>IF(H692="","",(H692-G692)/G692)</f>
        <v/>
      </c>
      <c r="L692" s="26">
        <f>IF(I692="","",(I692-G692)/G692)</f>
        <v/>
      </c>
      <c r="M692" s="26">
        <f>IF(J692="","",(J692-G692)/G692)</f>
        <v/>
      </c>
      <c r="N692" s="27">
        <f>IF(H692="","",IF(D692="HOLD",IF(ABS(K692)&lt;0.03,"YES","NO"),IF(D692="BUY",IF(K692&gt;0,"YES","NO"),IF(D692="SELL",IF(K692&lt;0,"YES","NO"),""))))</f>
        <v/>
      </c>
    </row>
    <row r="693" ht="15" customHeight="1">
      <c r="K693" s="26">
        <f>IF(H693="","",(H693-G693)/G693)</f>
        <v/>
      </c>
      <c r="L693" s="26">
        <f>IF(I693="","",(I693-G693)/G693)</f>
        <v/>
      </c>
      <c r="M693" s="26">
        <f>IF(J693="","",(J693-G693)/G693)</f>
        <v/>
      </c>
      <c r="N693" s="27">
        <f>IF(H693="","",IF(D693="HOLD",IF(ABS(K693)&lt;0.03,"YES","NO"),IF(D693="BUY",IF(K693&gt;0,"YES","NO"),IF(D693="SELL",IF(K693&lt;0,"YES","NO"),""))))</f>
        <v/>
      </c>
    </row>
    <row r="694" ht="15" customHeight="1">
      <c r="K694" s="26">
        <f>IF(H694="","",(H694-G694)/G694)</f>
        <v/>
      </c>
      <c r="L694" s="26">
        <f>IF(I694="","",(I694-G694)/G694)</f>
        <v/>
      </c>
      <c r="M694" s="26">
        <f>IF(J694="","",(J694-G694)/G694)</f>
        <v/>
      </c>
      <c r="N694" s="27">
        <f>IF(H694="","",IF(D694="HOLD",IF(ABS(K694)&lt;0.03,"YES","NO"),IF(D694="BUY",IF(K694&gt;0,"YES","NO"),IF(D694="SELL",IF(K694&lt;0,"YES","NO"),""))))</f>
        <v/>
      </c>
    </row>
    <row r="695" ht="15" customHeight="1">
      <c r="K695" s="26">
        <f>IF(H695="","",(H695-G695)/G695)</f>
        <v/>
      </c>
      <c r="L695" s="26">
        <f>IF(I695="","",(I695-G695)/G695)</f>
        <v/>
      </c>
      <c r="M695" s="26">
        <f>IF(J695="","",(J695-G695)/G695)</f>
        <v/>
      </c>
      <c r="N695" s="27">
        <f>IF(H695="","",IF(D695="HOLD",IF(ABS(K695)&lt;0.03,"YES","NO"),IF(D695="BUY",IF(K695&gt;0,"YES","NO"),IF(D695="SELL",IF(K695&lt;0,"YES","NO"),""))))</f>
        <v/>
      </c>
    </row>
    <row r="696" ht="15" customHeight="1">
      <c r="K696" s="26">
        <f>IF(H696="","",(H696-G696)/G696)</f>
        <v/>
      </c>
      <c r="L696" s="26">
        <f>IF(I696="","",(I696-G696)/G696)</f>
        <v/>
      </c>
      <c r="M696" s="26">
        <f>IF(J696="","",(J696-G696)/G696)</f>
        <v/>
      </c>
      <c r="N696" s="27">
        <f>IF(H696="","",IF(D696="HOLD",IF(ABS(K696)&lt;0.03,"YES","NO"),IF(D696="BUY",IF(K696&gt;0,"YES","NO"),IF(D696="SELL",IF(K696&lt;0,"YES","NO"),""))))</f>
        <v/>
      </c>
    </row>
    <row r="697" ht="15" customHeight="1">
      <c r="K697" s="26">
        <f>IF(H697="","",(H697-G697)/G697)</f>
        <v/>
      </c>
      <c r="L697" s="26">
        <f>IF(I697="","",(I697-G697)/G697)</f>
        <v/>
      </c>
      <c r="M697" s="26">
        <f>IF(J697="","",(J697-G697)/G697)</f>
        <v/>
      </c>
      <c r="N697" s="27">
        <f>IF(H697="","",IF(D697="HOLD",IF(ABS(K697)&lt;0.03,"YES","NO"),IF(D697="BUY",IF(K697&gt;0,"YES","NO"),IF(D697="SELL",IF(K697&lt;0,"YES","NO"),""))))</f>
        <v/>
      </c>
    </row>
    <row r="698" ht="15" customHeight="1">
      <c r="K698" s="26">
        <f>IF(H698="","",(H698-G698)/G698)</f>
        <v/>
      </c>
      <c r="L698" s="26">
        <f>IF(I698="","",(I698-G698)/G698)</f>
        <v/>
      </c>
      <c r="M698" s="26">
        <f>IF(J698="","",(J698-G698)/G698)</f>
        <v/>
      </c>
      <c r="N698" s="27">
        <f>IF(H698="","",IF(D698="HOLD",IF(ABS(K698)&lt;0.03,"YES","NO"),IF(D698="BUY",IF(K698&gt;0,"YES","NO"),IF(D698="SELL",IF(K698&lt;0,"YES","NO"),""))))</f>
        <v/>
      </c>
    </row>
    <row r="699" ht="15" customHeight="1">
      <c r="K699" s="26">
        <f>IF(H699="","",(H699-G699)/G699)</f>
        <v/>
      </c>
      <c r="L699" s="26">
        <f>IF(I699="","",(I699-G699)/G699)</f>
        <v/>
      </c>
      <c r="M699" s="26">
        <f>IF(J699="","",(J699-G699)/G699)</f>
        <v/>
      </c>
      <c r="N699" s="27">
        <f>IF(H699="","",IF(D699="HOLD",IF(ABS(K699)&lt;0.03,"YES","NO"),IF(D699="BUY",IF(K699&gt;0,"YES","NO"),IF(D699="SELL",IF(K699&lt;0,"YES","NO"),""))))</f>
        <v/>
      </c>
    </row>
    <row r="700" ht="15" customHeight="1">
      <c r="K700" s="26">
        <f>IF(H700="","",(H700-G700)/G700)</f>
        <v/>
      </c>
      <c r="L700" s="26">
        <f>IF(I700="","",(I700-G700)/G700)</f>
        <v/>
      </c>
      <c r="M700" s="26">
        <f>IF(J700="","",(J700-G700)/G700)</f>
        <v/>
      </c>
      <c r="N700" s="27">
        <f>IF(H700="","",IF(D700="HOLD",IF(ABS(K700)&lt;0.03,"YES","NO"),IF(D700="BUY",IF(K700&gt;0,"YES","NO"),IF(D700="SELL",IF(K700&lt;0,"YES","NO"),""))))</f>
        <v/>
      </c>
    </row>
    <row r="701" ht="15" customHeight="1">
      <c r="K701" s="26">
        <f>IF(H701="","",(H701-G701)/G701)</f>
        <v/>
      </c>
      <c r="L701" s="26">
        <f>IF(I701="","",(I701-G701)/G701)</f>
        <v/>
      </c>
      <c r="M701" s="26">
        <f>IF(J701="","",(J701-G701)/G701)</f>
        <v/>
      </c>
      <c r="N701" s="27">
        <f>IF(H701="","",IF(D701="HOLD",IF(ABS(K701)&lt;0.03,"YES","NO"),IF(D701="BUY",IF(K701&gt;0,"YES","NO"),IF(D701="SELL",IF(K701&lt;0,"YES","NO"),""))))</f>
        <v/>
      </c>
    </row>
    <row r="702" ht="15" customHeight="1">
      <c r="K702" s="26">
        <f>IF(H702="","",(H702-G702)/G702)</f>
        <v/>
      </c>
      <c r="L702" s="26">
        <f>IF(I702="","",(I702-G702)/G702)</f>
        <v/>
      </c>
      <c r="M702" s="26">
        <f>IF(J702="","",(J702-G702)/G702)</f>
        <v/>
      </c>
      <c r="N702" s="27">
        <f>IF(H702="","",IF(D702="HOLD",IF(ABS(K702)&lt;0.03,"YES","NO"),IF(D702="BUY",IF(K702&gt;0,"YES","NO"),IF(D702="SELL",IF(K702&lt;0,"YES","NO"),""))))</f>
        <v/>
      </c>
    </row>
    <row r="703" ht="15" customHeight="1">
      <c r="K703" s="26">
        <f>IF(H703="","",(H703-G703)/G703)</f>
        <v/>
      </c>
      <c r="L703" s="26">
        <f>IF(I703="","",(I703-G703)/G703)</f>
        <v/>
      </c>
      <c r="M703" s="26">
        <f>IF(J703="","",(J703-G703)/G703)</f>
        <v/>
      </c>
      <c r="N703" s="27">
        <f>IF(H703="","",IF(D703="HOLD",IF(ABS(K703)&lt;0.03,"YES","NO"),IF(D703="BUY",IF(K703&gt;0,"YES","NO"),IF(D703="SELL",IF(K703&lt;0,"YES","NO"),""))))</f>
        <v/>
      </c>
    </row>
    <row r="704" ht="15" customHeight="1">
      <c r="K704" s="26">
        <f>IF(H704="","",(H704-G704)/G704)</f>
        <v/>
      </c>
      <c r="L704" s="26">
        <f>IF(I704="","",(I704-G704)/G704)</f>
        <v/>
      </c>
      <c r="M704" s="26">
        <f>IF(J704="","",(J704-G704)/G704)</f>
        <v/>
      </c>
      <c r="N704" s="27">
        <f>IF(H704="","",IF(D704="HOLD",IF(ABS(K704)&lt;0.03,"YES","NO"),IF(D704="BUY",IF(K704&gt;0,"YES","NO"),IF(D704="SELL",IF(K704&lt;0,"YES","NO"),""))))</f>
        <v/>
      </c>
    </row>
    <row r="705" ht="15" customHeight="1">
      <c r="K705" s="26">
        <f>IF(H705="","",(H705-G705)/G705)</f>
        <v/>
      </c>
      <c r="L705" s="26">
        <f>IF(I705="","",(I705-G705)/G705)</f>
        <v/>
      </c>
      <c r="M705" s="26">
        <f>IF(J705="","",(J705-G705)/G705)</f>
        <v/>
      </c>
      <c r="N705" s="27">
        <f>IF(H705="","",IF(D705="HOLD",IF(ABS(K705)&lt;0.03,"YES","NO"),IF(D705="BUY",IF(K705&gt;0,"YES","NO"),IF(D705="SELL",IF(K705&lt;0,"YES","NO"),""))))</f>
        <v/>
      </c>
    </row>
    <row r="706" ht="15" customHeight="1">
      <c r="K706" s="26">
        <f>IF(H706="","",(H706-G706)/G706)</f>
        <v/>
      </c>
      <c r="L706" s="26">
        <f>IF(I706="","",(I706-G706)/G706)</f>
        <v/>
      </c>
      <c r="M706" s="26">
        <f>IF(J706="","",(J706-G706)/G706)</f>
        <v/>
      </c>
      <c r="N706" s="27">
        <f>IF(H706="","",IF(D706="HOLD",IF(ABS(K706)&lt;0.03,"YES","NO"),IF(D706="BUY",IF(K706&gt;0,"YES","NO"),IF(D706="SELL",IF(K706&lt;0,"YES","NO"),""))))</f>
        <v/>
      </c>
    </row>
    <row r="707" ht="15" customHeight="1">
      <c r="K707" s="26">
        <f>IF(H707="","",(H707-G707)/G707)</f>
        <v/>
      </c>
      <c r="L707" s="26">
        <f>IF(I707="","",(I707-G707)/G707)</f>
        <v/>
      </c>
      <c r="M707" s="26">
        <f>IF(J707="","",(J707-G707)/G707)</f>
        <v/>
      </c>
      <c r="N707" s="27">
        <f>IF(H707="","",IF(D707="HOLD",IF(ABS(K707)&lt;0.03,"YES","NO"),IF(D707="BUY",IF(K707&gt;0,"YES","NO"),IF(D707="SELL",IF(K707&lt;0,"YES","NO"),""))))</f>
        <v/>
      </c>
    </row>
    <row r="708" ht="15" customHeight="1">
      <c r="K708" s="26">
        <f>IF(H708="","",(H708-G708)/G708)</f>
        <v/>
      </c>
      <c r="L708" s="26">
        <f>IF(I708="","",(I708-G708)/G708)</f>
        <v/>
      </c>
      <c r="M708" s="26">
        <f>IF(J708="","",(J708-G708)/G708)</f>
        <v/>
      </c>
      <c r="N708" s="27">
        <f>IF(H708="","",IF(D708="HOLD",IF(ABS(K708)&lt;0.03,"YES","NO"),IF(D708="BUY",IF(K708&gt;0,"YES","NO"),IF(D708="SELL",IF(K708&lt;0,"YES","NO"),""))))</f>
        <v/>
      </c>
    </row>
    <row r="709" ht="15" customHeight="1">
      <c r="K709" s="26">
        <f>IF(H709="","",(H709-G709)/G709)</f>
        <v/>
      </c>
      <c r="L709" s="26">
        <f>IF(I709="","",(I709-G709)/G709)</f>
        <v/>
      </c>
      <c r="M709" s="26">
        <f>IF(J709="","",(J709-G709)/G709)</f>
        <v/>
      </c>
      <c r="N709" s="27">
        <f>IF(H709="","",IF(D709="HOLD",IF(ABS(K709)&lt;0.03,"YES","NO"),IF(D709="BUY",IF(K709&gt;0,"YES","NO"),IF(D709="SELL",IF(K709&lt;0,"YES","NO"),""))))</f>
        <v/>
      </c>
    </row>
    <row r="710" ht="15" customHeight="1">
      <c r="K710" s="26">
        <f>IF(H710="","",(H710-G710)/G710)</f>
        <v/>
      </c>
      <c r="L710" s="26">
        <f>IF(I710="","",(I710-G710)/G710)</f>
        <v/>
      </c>
      <c r="M710" s="26">
        <f>IF(J710="","",(J710-G710)/G710)</f>
        <v/>
      </c>
      <c r="N710" s="27">
        <f>IF(H710="","",IF(D710="HOLD",IF(ABS(K710)&lt;0.03,"YES","NO"),IF(D710="BUY",IF(K710&gt;0,"YES","NO"),IF(D710="SELL",IF(K710&lt;0,"YES","NO"),""))))</f>
        <v/>
      </c>
    </row>
    <row r="711" ht="15" customHeight="1">
      <c r="K711" s="26">
        <f>IF(H711="","",(H711-G711)/G711)</f>
        <v/>
      </c>
      <c r="L711" s="26">
        <f>IF(I711="","",(I711-G711)/G711)</f>
        <v/>
      </c>
      <c r="M711" s="26">
        <f>IF(J711="","",(J711-G711)/G711)</f>
        <v/>
      </c>
      <c r="N711" s="27">
        <f>IF(H711="","",IF(D711="HOLD",IF(ABS(K711)&lt;0.03,"YES","NO"),IF(D711="BUY",IF(K711&gt;0,"YES","NO"),IF(D711="SELL",IF(K711&lt;0,"YES","NO"),""))))</f>
        <v/>
      </c>
    </row>
    <row r="712" ht="15" customHeight="1">
      <c r="K712" s="26">
        <f>IF(H712="","",(H712-G712)/G712)</f>
        <v/>
      </c>
      <c r="L712" s="26">
        <f>IF(I712="","",(I712-G712)/G712)</f>
        <v/>
      </c>
      <c r="M712" s="26">
        <f>IF(J712="","",(J712-G712)/G712)</f>
        <v/>
      </c>
      <c r="N712" s="27">
        <f>IF(H712="","",IF(D712="HOLD",IF(ABS(K712)&lt;0.03,"YES","NO"),IF(D712="BUY",IF(K712&gt;0,"YES","NO"),IF(D712="SELL",IF(K712&lt;0,"YES","NO"),""))))</f>
        <v/>
      </c>
    </row>
    <row r="713" ht="15" customHeight="1">
      <c r="K713" s="26">
        <f>IF(H713="","",(H713-G713)/G713)</f>
        <v/>
      </c>
      <c r="L713" s="26">
        <f>IF(I713="","",(I713-G713)/G713)</f>
        <v/>
      </c>
      <c r="M713" s="26">
        <f>IF(J713="","",(J713-G713)/G713)</f>
        <v/>
      </c>
      <c r="N713" s="27">
        <f>IF(H713="","",IF(D713="HOLD",IF(ABS(K713)&lt;0.03,"YES","NO"),IF(D713="BUY",IF(K713&gt;0,"YES","NO"),IF(D713="SELL",IF(K713&lt;0,"YES","NO"),""))))</f>
        <v/>
      </c>
    </row>
    <row r="714" ht="15" customHeight="1">
      <c r="K714" s="26">
        <f>IF(H714="","",(H714-G714)/G714)</f>
        <v/>
      </c>
      <c r="L714" s="26">
        <f>IF(I714="","",(I714-G714)/G714)</f>
        <v/>
      </c>
      <c r="M714" s="26">
        <f>IF(J714="","",(J714-G714)/G714)</f>
        <v/>
      </c>
      <c r="N714" s="27">
        <f>IF(H714="","",IF(D714="HOLD",IF(ABS(K714)&lt;0.03,"YES","NO"),IF(D714="BUY",IF(K714&gt;0,"YES","NO"),IF(D714="SELL",IF(K714&lt;0,"YES","NO"),""))))</f>
        <v/>
      </c>
    </row>
    <row r="715" ht="15" customHeight="1">
      <c r="K715" s="26">
        <f>IF(H715="","",(H715-G715)/G715)</f>
        <v/>
      </c>
      <c r="L715" s="26">
        <f>IF(I715="","",(I715-G715)/G715)</f>
        <v/>
      </c>
      <c r="M715" s="26">
        <f>IF(J715="","",(J715-G715)/G715)</f>
        <v/>
      </c>
      <c r="N715" s="27">
        <f>IF(H715="","",IF(D715="HOLD",IF(ABS(K715)&lt;0.03,"YES","NO"),IF(D715="BUY",IF(K715&gt;0,"YES","NO"),IF(D715="SELL",IF(K715&lt;0,"YES","NO"),""))))</f>
        <v/>
      </c>
    </row>
    <row r="716" ht="15" customHeight="1">
      <c r="K716" s="26">
        <f>IF(H716="","",(H716-G716)/G716)</f>
        <v/>
      </c>
      <c r="L716" s="26">
        <f>IF(I716="","",(I716-G716)/G716)</f>
        <v/>
      </c>
      <c r="M716" s="26">
        <f>IF(J716="","",(J716-G716)/G716)</f>
        <v/>
      </c>
      <c r="N716" s="27">
        <f>IF(H716="","",IF(D716="HOLD",IF(ABS(K716)&lt;0.03,"YES","NO"),IF(D716="BUY",IF(K716&gt;0,"YES","NO"),IF(D716="SELL",IF(K716&lt;0,"YES","NO"),""))))</f>
        <v/>
      </c>
    </row>
    <row r="717" ht="15" customHeight="1">
      <c r="K717" s="26">
        <f>IF(H717="","",(H717-G717)/G717)</f>
        <v/>
      </c>
      <c r="L717" s="26">
        <f>IF(I717="","",(I717-G717)/G717)</f>
        <v/>
      </c>
      <c r="M717" s="26">
        <f>IF(J717="","",(J717-G717)/G717)</f>
        <v/>
      </c>
      <c r="N717" s="27">
        <f>IF(H717="","",IF(D717="HOLD",IF(ABS(K717)&lt;0.03,"YES","NO"),IF(D717="BUY",IF(K717&gt;0,"YES","NO"),IF(D717="SELL",IF(K717&lt;0,"YES","NO"),""))))</f>
        <v/>
      </c>
    </row>
    <row r="718" ht="15" customHeight="1">
      <c r="K718" s="26">
        <f>IF(H718="","",(H718-G718)/G718)</f>
        <v/>
      </c>
      <c r="L718" s="26">
        <f>IF(I718="","",(I718-G718)/G718)</f>
        <v/>
      </c>
      <c r="M718" s="26">
        <f>IF(J718="","",(J718-G718)/G718)</f>
        <v/>
      </c>
      <c r="N718" s="27">
        <f>IF(H718="","",IF(D718="HOLD",IF(ABS(K718)&lt;0.03,"YES","NO"),IF(D718="BUY",IF(K718&gt;0,"YES","NO"),IF(D718="SELL",IF(K718&lt;0,"YES","NO"),""))))</f>
        <v/>
      </c>
    </row>
    <row r="719" ht="15" customHeight="1">
      <c r="K719" s="26">
        <f>IF(H719="","",(H719-G719)/G719)</f>
        <v/>
      </c>
      <c r="L719" s="26">
        <f>IF(I719="","",(I719-G719)/G719)</f>
        <v/>
      </c>
      <c r="M719" s="26">
        <f>IF(J719="","",(J719-G719)/G719)</f>
        <v/>
      </c>
      <c r="N719" s="27">
        <f>IF(H719="","",IF(D719="HOLD",IF(ABS(K719)&lt;0.03,"YES","NO"),IF(D719="BUY",IF(K719&gt;0,"YES","NO"),IF(D719="SELL",IF(K719&lt;0,"YES","NO"),""))))</f>
        <v/>
      </c>
    </row>
    <row r="720" ht="15" customHeight="1">
      <c r="K720" s="26">
        <f>IF(H720="","",(H720-G720)/G720)</f>
        <v/>
      </c>
      <c r="L720" s="26">
        <f>IF(I720="","",(I720-G720)/G720)</f>
        <v/>
      </c>
      <c r="M720" s="26">
        <f>IF(J720="","",(J720-G720)/G720)</f>
        <v/>
      </c>
      <c r="N720" s="27">
        <f>IF(H720="","",IF(D720="HOLD",IF(ABS(K720)&lt;0.03,"YES","NO"),IF(D720="BUY",IF(K720&gt;0,"YES","NO"),IF(D720="SELL",IF(K720&lt;0,"YES","NO"),""))))</f>
        <v/>
      </c>
    </row>
    <row r="721" ht="15" customHeight="1">
      <c r="K721" s="26">
        <f>IF(H721="","",(H721-G721)/G721)</f>
        <v/>
      </c>
      <c r="L721" s="26">
        <f>IF(I721="","",(I721-G721)/G721)</f>
        <v/>
      </c>
      <c r="M721" s="26">
        <f>IF(J721="","",(J721-G721)/G721)</f>
        <v/>
      </c>
      <c r="N721" s="27">
        <f>IF(H721="","",IF(D721="HOLD",IF(ABS(K721)&lt;0.03,"YES","NO"),IF(D721="BUY",IF(K721&gt;0,"YES","NO"),IF(D721="SELL",IF(K721&lt;0,"YES","NO"),""))))</f>
        <v/>
      </c>
    </row>
    <row r="722" ht="15" customHeight="1">
      <c r="K722" s="26">
        <f>IF(H722="","",(H722-G722)/G722)</f>
        <v/>
      </c>
      <c r="L722" s="26">
        <f>IF(I722="","",(I722-G722)/G722)</f>
        <v/>
      </c>
      <c r="M722" s="26">
        <f>IF(J722="","",(J722-G722)/G722)</f>
        <v/>
      </c>
      <c r="N722" s="27">
        <f>IF(H722="","",IF(D722="HOLD",IF(ABS(K722)&lt;0.03,"YES","NO"),IF(D722="BUY",IF(K722&gt;0,"YES","NO"),IF(D722="SELL",IF(K722&lt;0,"YES","NO"),""))))</f>
        <v/>
      </c>
    </row>
    <row r="723" ht="15" customHeight="1">
      <c r="K723" s="26">
        <f>IF(H723="","",(H723-G723)/G723)</f>
        <v/>
      </c>
      <c r="L723" s="26">
        <f>IF(I723="","",(I723-G723)/G723)</f>
        <v/>
      </c>
      <c r="M723" s="26">
        <f>IF(J723="","",(J723-G723)/G723)</f>
        <v/>
      </c>
      <c r="N723" s="27">
        <f>IF(H723="","",IF(D723="HOLD",IF(ABS(K723)&lt;0.03,"YES","NO"),IF(D723="BUY",IF(K723&gt;0,"YES","NO"),IF(D723="SELL",IF(K723&lt;0,"YES","NO"),""))))</f>
        <v/>
      </c>
    </row>
    <row r="724" ht="15" customHeight="1">
      <c r="K724" s="26">
        <f>IF(H724="","",(H724-G724)/G724)</f>
        <v/>
      </c>
      <c r="L724" s="26">
        <f>IF(I724="","",(I724-G724)/G724)</f>
        <v/>
      </c>
      <c r="M724" s="26">
        <f>IF(J724="","",(J724-G724)/G724)</f>
        <v/>
      </c>
      <c r="N724" s="27">
        <f>IF(H724="","",IF(D724="HOLD",IF(ABS(K724)&lt;0.03,"YES","NO"),IF(D724="BUY",IF(K724&gt;0,"YES","NO"),IF(D724="SELL",IF(K724&lt;0,"YES","NO"),""))))</f>
        <v/>
      </c>
    </row>
    <row r="725" ht="15" customHeight="1">
      <c r="K725" s="26">
        <f>IF(H725="","",(H725-G725)/G725)</f>
        <v/>
      </c>
      <c r="L725" s="26">
        <f>IF(I725="","",(I725-G725)/G725)</f>
        <v/>
      </c>
      <c r="M725" s="26">
        <f>IF(J725="","",(J725-G725)/G725)</f>
        <v/>
      </c>
      <c r="N725" s="27">
        <f>IF(H725="","",IF(D725="HOLD",IF(ABS(K725)&lt;0.03,"YES","NO"),IF(D725="BUY",IF(K725&gt;0,"YES","NO"),IF(D725="SELL",IF(K725&lt;0,"YES","NO"),""))))</f>
        <v/>
      </c>
    </row>
    <row r="726" ht="15" customHeight="1">
      <c r="K726" s="26">
        <f>IF(H726="","",(H726-G726)/G726)</f>
        <v/>
      </c>
      <c r="L726" s="26">
        <f>IF(I726="","",(I726-G726)/G726)</f>
        <v/>
      </c>
      <c r="M726" s="26">
        <f>IF(J726="","",(J726-G726)/G726)</f>
        <v/>
      </c>
      <c r="N726" s="27">
        <f>IF(H726="","",IF(D726="HOLD",IF(ABS(K726)&lt;0.03,"YES","NO"),IF(D726="BUY",IF(K726&gt;0,"YES","NO"),IF(D726="SELL",IF(K726&lt;0,"YES","NO"),""))))</f>
        <v/>
      </c>
    </row>
    <row r="727" ht="15" customHeight="1">
      <c r="K727" s="26">
        <f>IF(H727="","",(H727-G727)/G727)</f>
        <v/>
      </c>
      <c r="L727" s="26">
        <f>IF(I727="","",(I727-G727)/G727)</f>
        <v/>
      </c>
      <c r="M727" s="26">
        <f>IF(J727="","",(J727-G727)/G727)</f>
        <v/>
      </c>
      <c r="N727" s="27">
        <f>IF(H727="","",IF(D727="HOLD",IF(ABS(K727)&lt;0.03,"YES","NO"),IF(D727="BUY",IF(K727&gt;0,"YES","NO"),IF(D727="SELL",IF(K727&lt;0,"YES","NO"),""))))</f>
        <v/>
      </c>
    </row>
    <row r="728" ht="15" customHeight="1">
      <c r="K728" s="26">
        <f>IF(H728="","",(H728-G728)/G728)</f>
        <v/>
      </c>
      <c r="L728" s="26">
        <f>IF(I728="","",(I728-G728)/G728)</f>
        <v/>
      </c>
      <c r="M728" s="26">
        <f>IF(J728="","",(J728-G728)/G728)</f>
        <v/>
      </c>
      <c r="N728" s="27">
        <f>IF(H728="","",IF(D728="HOLD",IF(ABS(K728)&lt;0.03,"YES","NO"),IF(D728="BUY",IF(K728&gt;0,"YES","NO"),IF(D728="SELL",IF(K728&lt;0,"YES","NO"),""))))</f>
        <v/>
      </c>
    </row>
    <row r="729" ht="15" customHeight="1">
      <c r="K729" s="26">
        <f>IF(H729="","",(H729-G729)/G729)</f>
        <v/>
      </c>
      <c r="L729" s="26">
        <f>IF(I729="","",(I729-G729)/G729)</f>
        <v/>
      </c>
      <c r="M729" s="26">
        <f>IF(J729="","",(J729-G729)/G729)</f>
        <v/>
      </c>
      <c r="N729" s="27">
        <f>IF(H729="","",IF(D729="HOLD",IF(ABS(K729)&lt;0.03,"YES","NO"),IF(D729="BUY",IF(K729&gt;0,"YES","NO"),IF(D729="SELL",IF(K729&lt;0,"YES","NO"),""))))</f>
        <v/>
      </c>
    </row>
    <row r="730" ht="15" customHeight="1">
      <c r="K730" s="26">
        <f>IF(H730="","",(H730-G730)/G730)</f>
        <v/>
      </c>
      <c r="L730" s="26">
        <f>IF(I730="","",(I730-G730)/G730)</f>
        <v/>
      </c>
      <c r="M730" s="26">
        <f>IF(J730="","",(J730-G730)/G730)</f>
        <v/>
      </c>
      <c r="N730" s="27">
        <f>IF(H730="","",IF(D730="HOLD",IF(ABS(K730)&lt;0.03,"YES","NO"),IF(D730="BUY",IF(K730&gt;0,"YES","NO"),IF(D730="SELL",IF(K730&lt;0,"YES","NO"),""))))</f>
        <v/>
      </c>
    </row>
    <row r="731" ht="15" customHeight="1">
      <c r="K731" s="26">
        <f>IF(H731="","",(H731-G731)/G731)</f>
        <v/>
      </c>
      <c r="L731" s="26">
        <f>IF(I731="","",(I731-G731)/G731)</f>
        <v/>
      </c>
      <c r="M731" s="26">
        <f>IF(J731="","",(J731-G731)/G731)</f>
        <v/>
      </c>
      <c r="N731" s="27">
        <f>IF(H731="","",IF(D731="HOLD",IF(ABS(K731)&lt;0.03,"YES","NO"),IF(D731="BUY",IF(K731&gt;0,"YES","NO"),IF(D731="SELL",IF(K731&lt;0,"YES","NO"),""))))</f>
        <v/>
      </c>
    </row>
    <row r="732" ht="15" customHeight="1">
      <c r="K732" s="26">
        <f>IF(H732="","",(H732-G732)/G732)</f>
        <v/>
      </c>
      <c r="L732" s="26">
        <f>IF(I732="","",(I732-G732)/G732)</f>
        <v/>
      </c>
      <c r="M732" s="26">
        <f>IF(J732="","",(J732-G732)/G732)</f>
        <v/>
      </c>
      <c r="N732" s="27">
        <f>IF(H732="","",IF(D732="HOLD",IF(ABS(K732)&lt;0.03,"YES","NO"),IF(D732="BUY",IF(K732&gt;0,"YES","NO"),IF(D732="SELL",IF(K732&lt;0,"YES","NO"),""))))</f>
        <v/>
      </c>
    </row>
    <row r="733" ht="15" customHeight="1">
      <c r="K733" s="26">
        <f>IF(H733="","",(H733-G733)/G733)</f>
        <v/>
      </c>
      <c r="L733" s="26">
        <f>IF(I733="","",(I733-G733)/G733)</f>
        <v/>
      </c>
      <c r="M733" s="26">
        <f>IF(J733="","",(J733-G733)/G733)</f>
        <v/>
      </c>
      <c r="N733" s="27">
        <f>IF(H733="","",IF(D733="HOLD",IF(ABS(K733)&lt;0.03,"YES","NO"),IF(D733="BUY",IF(K733&gt;0,"YES","NO"),IF(D733="SELL",IF(K733&lt;0,"YES","NO"),""))))</f>
        <v/>
      </c>
    </row>
    <row r="734" ht="15" customHeight="1">
      <c r="K734" s="26">
        <f>IF(H734="","",(H734-G734)/G734)</f>
        <v/>
      </c>
      <c r="L734" s="26">
        <f>IF(I734="","",(I734-G734)/G734)</f>
        <v/>
      </c>
      <c r="M734" s="26">
        <f>IF(J734="","",(J734-G734)/G734)</f>
        <v/>
      </c>
      <c r="N734" s="27">
        <f>IF(H734="","",IF(D734="HOLD",IF(ABS(K734)&lt;0.03,"YES","NO"),IF(D734="BUY",IF(K734&gt;0,"YES","NO"),IF(D734="SELL",IF(K734&lt;0,"YES","NO"),""))))</f>
        <v/>
      </c>
    </row>
    <row r="735" ht="15" customHeight="1">
      <c r="K735" s="26">
        <f>IF(H735="","",(H735-G735)/G735)</f>
        <v/>
      </c>
      <c r="L735" s="26">
        <f>IF(I735="","",(I735-G735)/G735)</f>
        <v/>
      </c>
      <c r="M735" s="26">
        <f>IF(J735="","",(J735-G735)/G735)</f>
        <v/>
      </c>
      <c r="N735" s="27">
        <f>IF(H735="","",IF(D735="HOLD",IF(ABS(K735)&lt;0.03,"YES","NO"),IF(D735="BUY",IF(K735&gt;0,"YES","NO"),IF(D735="SELL",IF(K735&lt;0,"YES","NO"),""))))</f>
        <v/>
      </c>
    </row>
    <row r="736" ht="15" customHeight="1">
      <c r="K736" s="26">
        <f>IF(H736="","",(H736-G736)/G736)</f>
        <v/>
      </c>
      <c r="L736" s="26">
        <f>IF(I736="","",(I736-G736)/G736)</f>
        <v/>
      </c>
      <c r="M736" s="26">
        <f>IF(J736="","",(J736-G736)/G736)</f>
        <v/>
      </c>
      <c r="N736" s="27">
        <f>IF(H736="","",IF(D736="HOLD",IF(ABS(K736)&lt;0.03,"YES","NO"),IF(D736="BUY",IF(K736&gt;0,"YES","NO"),IF(D736="SELL",IF(K736&lt;0,"YES","NO"),""))))</f>
        <v/>
      </c>
    </row>
    <row r="737" ht="15" customHeight="1">
      <c r="K737" s="26">
        <f>IF(H737="","",(H737-G737)/G737)</f>
        <v/>
      </c>
      <c r="L737" s="26">
        <f>IF(I737="","",(I737-G737)/G737)</f>
        <v/>
      </c>
      <c r="M737" s="26">
        <f>IF(J737="","",(J737-G737)/G737)</f>
        <v/>
      </c>
      <c r="N737" s="27">
        <f>IF(H737="","",IF(D737="HOLD",IF(ABS(K737)&lt;0.03,"YES","NO"),IF(D737="BUY",IF(K737&gt;0,"YES","NO"),IF(D737="SELL",IF(K737&lt;0,"YES","NO"),""))))</f>
        <v/>
      </c>
    </row>
    <row r="738" ht="15" customHeight="1">
      <c r="K738" s="26">
        <f>IF(H738="","",(H738-G738)/G738)</f>
        <v/>
      </c>
      <c r="L738" s="26">
        <f>IF(I738="","",(I738-G738)/G738)</f>
        <v/>
      </c>
      <c r="M738" s="26">
        <f>IF(J738="","",(J738-G738)/G738)</f>
        <v/>
      </c>
      <c r="N738" s="27">
        <f>IF(H738="","",IF(D738="HOLD",IF(ABS(K738)&lt;0.03,"YES","NO"),IF(D738="BUY",IF(K738&gt;0,"YES","NO"),IF(D738="SELL",IF(K738&lt;0,"YES","NO"),""))))</f>
        <v/>
      </c>
    </row>
    <row r="739" ht="15" customHeight="1">
      <c r="K739" s="26">
        <f>IF(H739="","",(H739-G739)/G739)</f>
        <v/>
      </c>
      <c r="L739" s="26">
        <f>IF(I739="","",(I739-G739)/G739)</f>
        <v/>
      </c>
      <c r="M739" s="26">
        <f>IF(J739="","",(J739-G739)/G739)</f>
        <v/>
      </c>
      <c r="N739" s="27">
        <f>IF(H739="","",IF(D739="HOLD",IF(ABS(K739)&lt;0.03,"YES","NO"),IF(D739="BUY",IF(K739&gt;0,"YES","NO"),IF(D739="SELL",IF(K739&lt;0,"YES","NO"),""))))</f>
        <v/>
      </c>
    </row>
    <row r="740" ht="15" customHeight="1">
      <c r="K740" s="26">
        <f>IF(H740="","",(H740-G740)/G740)</f>
        <v/>
      </c>
      <c r="L740" s="26">
        <f>IF(I740="","",(I740-G740)/G740)</f>
        <v/>
      </c>
      <c r="M740" s="26">
        <f>IF(J740="","",(J740-G740)/G740)</f>
        <v/>
      </c>
      <c r="N740" s="27">
        <f>IF(H740="","",IF(D740="HOLD",IF(ABS(K740)&lt;0.03,"YES","NO"),IF(D740="BUY",IF(K740&gt;0,"YES","NO"),IF(D740="SELL",IF(K740&lt;0,"YES","NO"),""))))</f>
        <v/>
      </c>
    </row>
    <row r="741" ht="15" customHeight="1">
      <c r="K741" s="26">
        <f>IF(H741="","",(H741-G741)/G741)</f>
        <v/>
      </c>
      <c r="L741" s="26">
        <f>IF(I741="","",(I741-G741)/G741)</f>
        <v/>
      </c>
      <c r="M741" s="26">
        <f>IF(J741="","",(J741-G741)/G741)</f>
        <v/>
      </c>
      <c r="N741" s="27">
        <f>IF(H741="","",IF(D741="HOLD",IF(ABS(K741)&lt;0.03,"YES","NO"),IF(D741="BUY",IF(K741&gt;0,"YES","NO"),IF(D741="SELL",IF(K741&lt;0,"YES","NO"),""))))</f>
        <v/>
      </c>
    </row>
    <row r="742" ht="15" customHeight="1">
      <c r="K742" s="26">
        <f>IF(H742="","",(H742-G742)/G742)</f>
        <v/>
      </c>
      <c r="L742" s="26">
        <f>IF(I742="","",(I742-G742)/G742)</f>
        <v/>
      </c>
      <c r="M742" s="26">
        <f>IF(J742="","",(J742-G742)/G742)</f>
        <v/>
      </c>
      <c r="N742" s="27">
        <f>IF(H742="","",IF(D742="HOLD",IF(ABS(K742)&lt;0.03,"YES","NO"),IF(D742="BUY",IF(K742&gt;0,"YES","NO"),IF(D742="SELL",IF(K742&lt;0,"YES","NO"),""))))</f>
        <v/>
      </c>
    </row>
    <row r="743" ht="15" customHeight="1">
      <c r="K743" s="26">
        <f>IF(H743="","",(H743-G743)/G743)</f>
        <v/>
      </c>
      <c r="L743" s="26">
        <f>IF(I743="","",(I743-G743)/G743)</f>
        <v/>
      </c>
      <c r="M743" s="26">
        <f>IF(J743="","",(J743-G743)/G743)</f>
        <v/>
      </c>
      <c r="N743" s="27">
        <f>IF(H743="","",IF(D743="HOLD",IF(ABS(K743)&lt;0.03,"YES","NO"),IF(D743="BUY",IF(K743&gt;0,"YES","NO"),IF(D743="SELL",IF(K743&lt;0,"YES","NO"),""))))</f>
        <v/>
      </c>
    </row>
    <row r="744" ht="15" customHeight="1">
      <c r="K744" s="26">
        <f>IF(H744="","",(H744-G744)/G744)</f>
        <v/>
      </c>
      <c r="L744" s="26">
        <f>IF(I744="","",(I744-G744)/G744)</f>
        <v/>
      </c>
      <c r="M744" s="26">
        <f>IF(J744="","",(J744-G744)/G744)</f>
        <v/>
      </c>
      <c r="N744" s="27">
        <f>IF(H744="","",IF(D744="HOLD",IF(ABS(K744)&lt;0.03,"YES","NO"),IF(D744="BUY",IF(K744&gt;0,"YES","NO"),IF(D744="SELL",IF(K744&lt;0,"YES","NO"),""))))</f>
        <v/>
      </c>
    </row>
    <row r="745" ht="15" customHeight="1">
      <c r="K745" s="26">
        <f>IF(H745="","",(H745-G745)/G745)</f>
        <v/>
      </c>
      <c r="L745" s="26">
        <f>IF(I745="","",(I745-G745)/G745)</f>
        <v/>
      </c>
      <c r="M745" s="26">
        <f>IF(J745="","",(J745-G745)/G745)</f>
        <v/>
      </c>
      <c r="N745" s="27">
        <f>IF(H745="","",IF(D745="HOLD",IF(ABS(K745)&lt;0.03,"YES","NO"),IF(D745="BUY",IF(K745&gt;0,"YES","NO"),IF(D745="SELL",IF(K745&lt;0,"YES","NO"),""))))</f>
        <v/>
      </c>
    </row>
    <row r="746" ht="15" customHeight="1">
      <c r="K746" s="26">
        <f>IF(H746="","",(H746-G746)/G746)</f>
        <v/>
      </c>
      <c r="L746" s="26">
        <f>IF(I746="","",(I746-G746)/G746)</f>
        <v/>
      </c>
      <c r="M746" s="26">
        <f>IF(J746="","",(J746-G746)/G746)</f>
        <v/>
      </c>
      <c r="N746" s="27">
        <f>IF(H746="","",IF(D746="HOLD",IF(ABS(K746)&lt;0.03,"YES","NO"),IF(D746="BUY",IF(K746&gt;0,"YES","NO"),IF(D746="SELL",IF(K746&lt;0,"YES","NO"),""))))</f>
        <v/>
      </c>
    </row>
    <row r="747" ht="15" customHeight="1">
      <c r="K747" s="26">
        <f>IF(H747="","",(H747-G747)/G747)</f>
        <v/>
      </c>
      <c r="L747" s="26">
        <f>IF(I747="","",(I747-G747)/G747)</f>
        <v/>
      </c>
      <c r="M747" s="26">
        <f>IF(J747="","",(J747-G747)/G747)</f>
        <v/>
      </c>
      <c r="N747" s="27">
        <f>IF(H747="","",IF(D747="HOLD",IF(ABS(K747)&lt;0.03,"YES","NO"),IF(D747="BUY",IF(K747&gt;0,"YES","NO"),IF(D747="SELL",IF(K747&lt;0,"YES","NO"),""))))</f>
        <v/>
      </c>
    </row>
    <row r="748" ht="15" customHeight="1">
      <c r="K748" s="26">
        <f>IF(H748="","",(H748-G748)/G748)</f>
        <v/>
      </c>
      <c r="L748" s="26">
        <f>IF(I748="","",(I748-G748)/G748)</f>
        <v/>
      </c>
      <c r="M748" s="26">
        <f>IF(J748="","",(J748-G748)/G748)</f>
        <v/>
      </c>
      <c r="N748" s="27">
        <f>IF(H748="","",IF(D748="HOLD",IF(ABS(K748)&lt;0.03,"YES","NO"),IF(D748="BUY",IF(K748&gt;0,"YES","NO"),IF(D748="SELL",IF(K748&lt;0,"YES","NO"),""))))</f>
        <v/>
      </c>
    </row>
    <row r="749" ht="15" customHeight="1">
      <c r="K749" s="26">
        <f>IF(H749="","",(H749-G749)/G749)</f>
        <v/>
      </c>
      <c r="L749" s="26">
        <f>IF(I749="","",(I749-G749)/G749)</f>
        <v/>
      </c>
      <c r="M749" s="26">
        <f>IF(J749="","",(J749-G749)/G749)</f>
        <v/>
      </c>
      <c r="N749" s="27">
        <f>IF(H749="","",IF(D749="HOLD",IF(ABS(K749)&lt;0.03,"YES","NO"),IF(D749="BUY",IF(K749&gt;0,"YES","NO"),IF(D749="SELL",IF(K749&lt;0,"YES","NO"),""))))</f>
        <v/>
      </c>
    </row>
    <row r="750" ht="15" customHeight="1">
      <c r="K750" s="26">
        <f>IF(H750="","",(H750-G750)/G750)</f>
        <v/>
      </c>
      <c r="L750" s="26">
        <f>IF(I750="","",(I750-G750)/G750)</f>
        <v/>
      </c>
      <c r="M750" s="26">
        <f>IF(J750="","",(J750-G750)/G750)</f>
        <v/>
      </c>
      <c r="N750" s="27">
        <f>IF(H750="","",IF(D750="HOLD",IF(ABS(K750)&lt;0.03,"YES","NO"),IF(D750="BUY",IF(K750&gt;0,"YES","NO"),IF(D750="SELL",IF(K750&lt;0,"YES","NO"),""))))</f>
        <v/>
      </c>
    </row>
    <row r="751" ht="15" customHeight="1">
      <c r="K751" s="26">
        <f>IF(H751="","",(H751-G751)/G751)</f>
        <v/>
      </c>
      <c r="L751" s="26">
        <f>IF(I751="","",(I751-G751)/G751)</f>
        <v/>
      </c>
      <c r="M751" s="26">
        <f>IF(J751="","",(J751-G751)/G751)</f>
        <v/>
      </c>
      <c r="N751" s="27">
        <f>IF(H751="","",IF(D751="HOLD",IF(ABS(K751)&lt;0.03,"YES","NO"),IF(D751="BUY",IF(K751&gt;0,"YES","NO"),IF(D751="SELL",IF(K751&lt;0,"YES","NO"),""))))</f>
        <v/>
      </c>
    </row>
    <row r="752" ht="15" customHeight="1">
      <c r="K752" s="26">
        <f>IF(H752="","",(H752-G752)/G752)</f>
        <v/>
      </c>
      <c r="L752" s="26">
        <f>IF(I752="","",(I752-G752)/G752)</f>
        <v/>
      </c>
      <c r="M752" s="26">
        <f>IF(J752="","",(J752-G752)/G752)</f>
        <v/>
      </c>
      <c r="N752" s="27">
        <f>IF(H752="","",IF(D752="HOLD",IF(ABS(K752)&lt;0.03,"YES","NO"),IF(D752="BUY",IF(K752&gt;0,"YES","NO"),IF(D752="SELL",IF(K752&lt;0,"YES","NO"),""))))</f>
        <v/>
      </c>
    </row>
    <row r="753" ht="15" customHeight="1">
      <c r="K753" s="26">
        <f>IF(H753="","",(H753-G753)/G753)</f>
        <v/>
      </c>
      <c r="L753" s="26">
        <f>IF(I753="","",(I753-G753)/G753)</f>
        <v/>
      </c>
      <c r="M753" s="26">
        <f>IF(J753="","",(J753-G753)/G753)</f>
        <v/>
      </c>
      <c r="N753" s="27">
        <f>IF(H753="","",IF(D753="HOLD",IF(ABS(K753)&lt;0.03,"YES","NO"),IF(D753="BUY",IF(K753&gt;0,"YES","NO"),IF(D753="SELL",IF(K753&lt;0,"YES","NO"),""))))</f>
        <v/>
      </c>
    </row>
    <row r="754" ht="15" customHeight="1">
      <c r="K754" s="26">
        <f>IF(H754="","",(H754-G754)/G754)</f>
        <v/>
      </c>
      <c r="L754" s="26">
        <f>IF(I754="","",(I754-G754)/G754)</f>
        <v/>
      </c>
      <c r="M754" s="26">
        <f>IF(J754="","",(J754-G754)/G754)</f>
        <v/>
      </c>
      <c r="N754" s="27">
        <f>IF(H754="","",IF(D754="HOLD",IF(ABS(K754)&lt;0.03,"YES","NO"),IF(D754="BUY",IF(K754&gt;0,"YES","NO"),IF(D754="SELL",IF(K754&lt;0,"YES","NO"),""))))</f>
        <v/>
      </c>
    </row>
    <row r="755" ht="15" customHeight="1">
      <c r="K755" s="26">
        <f>IF(H755="","",(H755-G755)/G755)</f>
        <v/>
      </c>
      <c r="L755" s="26">
        <f>IF(I755="","",(I755-G755)/G755)</f>
        <v/>
      </c>
      <c r="M755" s="26">
        <f>IF(J755="","",(J755-G755)/G755)</f>
        <v/>
      </c>
      <c r="N755" s="27">
        <f>IF(H755="","",IF(D755="HOLD",IF(ABS(K755)&lt;0.03,"YES","NO"),IF(D755="BUY",IF(K755&gt;0,"YES","NO"),IF(D755="SELL",IF(K755&lt;0,"YES","NO"),""))))</f>
        <v/>
      </c>
    </row>
    <row r="756" ht="15" customHeight="1">
      <c r="K756" s="26">
        <f>IF(H756="","",(H756-G756)/G756)</f>
        <v/>
      </c>
      <c r="L756" s="26">
        <f>IF(I756="","",(I756-G756)/G756)</f>
        <v/>
      </c>
      <c r="M756" s="26">
        <f>IF(J756="","",(J756-G756)/G756)</f>
        <v/>
      </c>
      <c r="N756" s="27">
        <f>IF(H756="","",IF(D756="HOLD",IF(ABS(K756)&lt;0.03,"YES","NO"),IF(D756="BUY",IF(K756&gt;0,"YES","NO"),IF(D756="SELL",IF(K756&lt;0,"YES","NO"),""))))</f>
        <v/>
      </c>
    </row>
    <row r="757" ht="15" customHeight="1">
      <c r="K757" s="26">
        <f>IF(H757="","",(H757-G757)/G757)</f>
        <v/>
      </c>
      <c r="L757" s="26">
        <f>IF(I757="","",(I757-G757)/G757)</f>
        <v/>
      </c>
      <c r="M757" s="26">
        <f>IF(J757="","",(J757-G757)/G757)</f>
        <v/>
      </c>
      <c r="N757" s="27">
        <f>IF(H757="","",IF(D757="HOLD",IF(ABS(K757)&lt;0.03,"YES","NO"),IF(D757="BUY",IF(K757&gt;0,"YES","NO"),IF(D757="SELL",IF(K757&lt;0,"YES","NO"),""))))</f>
        <v/>
      </c>
    </row>
    <row r="758" ht="15" customHeight="1">
      <c r="K758" s="26">
        <f>IF(H758="","",(H758-G758)/G758)</f>
        <v/>
      </c>
      <c r="L758" s="26">
        <f>IF(I758="","",(I758-G758)/G758)</f>
        <v/>
      </c>
      <c r="M758" s="26">
        <f>IF(J758="","",(J758-G758)/G758)</f>
        <v/>
      </c>
      <c r="N758" s="27">
        <f>IF(H758="","",IF(D758="HOLD",IF(ABS(K758)&lt;0.03,"YES","NO"),IF(D758="BUY",IF(K758&gt;0,"YES","NO"),IF(D758="SELL",IF(K758&lt;0,"YES","NO"),""))))</f>
        <v/>
      </c>
    </row>
    <row r="759" ht="15" customHeight="1">
      <c r="K759" s="26">
        <f>IF(H759="","",(H759-G759)/G759)</f>
        <v/>
      </c>
      <c r="L759" s="26">
        <f>IF(I759="","",(I759-G759)/G759)</f>
        <v/>
      </c>
      <c r="M759" s="26">
        <f>IF(J759="","",(J759-G759)/G759)</f>
        <v/>
      </c>
      <c r="N759" s="27">
        <f>IF(H759="","",IF(D759="HOLD",IF(ABS(K759)&lt;0.03,"YES","NO"),IF(D759="BUY",IF(K759&gt;0,"YES","NO"),IF(D759="SELL",IF(K759&lt;0,"YES","NO"),""))))</f>
        <v/>
      </c>
    </row>
    <row r="760" ht="15" customHeight="1">
      <c r="K760" s="26">
        <f>IF(H760="","",(H760-G760)/G760)</f>
        <v/>
      </c>
      <c r="L760" s="26">
        <f>IF(I760="","",(I760-G760)/G760)</f>
        <v/>
      </c>
      <c r="M760" s="26">
        <f>IF(J760="","",(J760-G760)/G760)</f>
        <v/>
      </c>
      <c r="N760" s="27">
        <f>IF(H760="","",IF(D760="HOLD",IF(ABS(K760)&lt;0.03,"YES","NO"),IF(D760="BUY",IF(K760&gt;0,"YES","NO"),IF(D760="SELL",IF(K760&lt;0,"YES","NO"),""))))</f>
        <v/>
      </c>
    </row>
    <row r="761" ht="15" customHeight="1">
      <c r="K761" s="26">
        <f>IF(H761="","",(H761-G761)/G761)</f>
        <v/>
      </c>
      <c r="L761" s="26">
        <f>IF(I761="","",(I761-G761)/G761)</f>
        <v/>
      </c>
      <c r="M761" s="26">
        <f>IF(J761="","",(J761-G761)/G761)</f>
        <v/>
      </c>
      <c r="N761" s="27">
        <f>IF(H761="","",IF(D761="HOLD",IF(ABS(K761)&lt;0.03,"YES","NO"),IF(D761="BUY",IF(K761&gt;0,"YES","NO"),IF(D761="SELL",IF(K761&lt;0,"YES","NO"),""))))</f>
        <v/>
      </c>
    </row>
    <row r="762" ht="15" customHeight="1">
      <c r="K762" s="26">
        <f>IF(H762="","",(H762-G762)/G762)</f>
        <v/>
      </c>
      <c r="L762" s="26">
        <f>IF(I762="","",(I762-G762)/G762)</f>
        <v/>
      </c>
      <c r="M762" s="26">
        <f>IF(J762="","",(J762-G762)/G762)</f>
        <v/>
      </c>
      <c r="N762" s="27">
        <f>IF(H762="","",IF(D762="HOLD",IF(ABS(K762)&lt;0.03,"YES","NO"),IF(D762="BUY",IF(K762&gt;0,"YES","NO"),IF(D762="SELL",IF(K762&lt;0,"YES","NO"),""))))</f>
        <v/>
      </c>
    </row>
    <row r="763" ht="15" customHeight="1">
      <c r="K763" s="26">
        <f>IF(H763="","",(H763-G763)/G763)</f>
        <v/>
      </c>
      <c r="L763" s="26">
        <f>IF(I763="","",(I763-G763)/G763)</f>
        <v/>
      </c>
      <c r="M763" s="26">
        <f>IF(J763="","",(J763-G763)/G763)</f>
        <v/>
      </c>
      <c r="N763" s="27">
        <f>IF(H763="","",IF(D763="HOLD",IF(ABS(K763)&lt;0.03,"YES","NO"),IF(D763="BUY",IF(K763&gt;0,"YES","NO"),IF(D763="SELL",IF(K763&lt;0,"YES","NO"),""))))</f>
        <v/>
      </c>
    </row>
    <row r="764" ht="15" customHeight="1">
      <c r="K764" s="26">
        <f>IF(H764="","",(H764-G764)/G764)</f>
        <v/>
      </c>
      <c r="L764" s="26">
        <f>IF(I764="","",(I764-G764)/G764)</f>
        <v/>
      </c>
      <c r="M764" s="26">
        <f>IF(J764="","",(J764-G764)/G764)</f>
        <v/>
      </c>
      <c r="N764" s="27">
        <f>IF(H764="","",IF(D764="HOLD",IF(ABS(K764)&lt;0.03,"YES","NO"),IF(D764="BUY",IF(K764&gt;0,"YES","NO"),IF(D764="SELL",IF(K764&lt;0,"YES","NO"),""))))</f>
        <v/>
      </c>
    </row>
    <row r="765" ht="15" customHeight="1">
      <c r="K765" s="26">
        <f>IF(H765="","",(H765-G765)/G765)</f>
        <v/>
      </c>
      <c r="L765" s="26">
        <f>IF(I765="","",(I765-G765)/G765)</f>
        <v/>
      </c>
      <c r="M765" s="26">
        <f>IF(J765="","",(J765-G765)/G765)</f>
        <v/>
      </c>
      <c r="N765" s="27">
        <f>IF(H765="","",IF(D765="HOLD",IF(ABS(K765)&lt;0.03,"YES","NO"),IF(D765="BUY",IF(K765&gt;0,"YES","NO"),IF(D765="SELL",IF(K765&lt;0,"YES","NO"),""))))</f>
        <v/>
      </c>
    </row>
    <row r="766" ht="15" customHeight="1">
      <c r="K766" s="26">
        <f>IF(H766="","",(H766-G766)/G766)</f>
        <v/>
      </c>
      <c r="L766" s="26">
        <f>IF(I766="","",(I766-G766)/G766)</f>
        <v/>
      </c>
      <c r="M766" s="26">
        <f>IF(J766="","",(J766-G766)/G766)</f>
        <v/>
      </c>
      <c r="N766" s="27">
        <f>IF(H766="","",IF(D766="HOLD",IF(ABS(K766)&lt;0.03,"YES","NO"),IF(D766="BUY",IF(K766&gt;0,"YES","NO"),IF(D766="SELL",IF(K766&lt;0,"YES","NO"),""))))</f>
        <v/>
      </c>
    </row>
    <row r="767" ht="15" customHeight="1">
      <c r="K767" s="26">
        <f>IF(H767="","",(H767-G767)/G767)</f>
        <v/>
      </c>
      <c r="L767" s="26">
        <f>IF(I767="","",(I767-G767)/G767)</f>
        <v/>
      </c>
      <c r="M767" s="26">
        <f>IF(J767="","",(J767-G767)/G767)</f>
        <v/>
      </c>
      <c r="N767" s="27">
        <f>IF(H767="","",IF(D767="HOLD",IF(ABS(K767)&lt;0.03,"YES","NO"),IF(D767="BUY",IF(K767&gt;0,"YES","NO"),IF(D767="SELL",IF(K767&lt;0,"YES","NO"),""))))</f>
        <v/>
      </c>
    </row>
    <row r="768" ht="15" customHeight="1">
      <c r="K768" s="26">
        <f>IF(H768="","",(H768-G768)/G768)</f>
        <v/>
      </c>
      <c r="L768" s="26">
        <f>IF(I768="","",(I768-G768)/G768)</f>
        <v/>
      </c>
      <c r="M768" s="26">
        <f>IF(J768="","",(J768-G768)/G768)</f>
        <v/>
      </c>
      <c r="N768" s="27">
        <f>IF(H768="","",IF(D768="HOLD",IF(ABS(K768)&lt;0.03,"YES","NO"),IF(D768="BUY",IF(K768&gt;0,"YES","NO"),IF(D768="SELL",IF(K768&lt;0,"YES","NO"),""))))</f>
        <v/>
      </c>
    </row>
    <row r="769" ht="15" customHeight="1">
      <c r="K769" s="26">
        <f>IF(H769="","",(H769-G769)/G769)</f>
        <v/>
      </c>
      <c r="L769" s="26">
        <f>IF(I769="","",(I769-G769)/G769)</f>
        <v/>
      </c>
      <c r="M769" s="26">
        <f>IF(J769="","",(J769-G769)/G769)</f>
        <v/>
      </c>
      <c r="N769" s="27">
        <f>IF(H769="","",IF(D769="HOLD",IF(ABS(K769)&lt;0.03,"YES","NO"),IF(D769="BUY",IF(K769&gt;0,"YES","NO"),IF(D769="SELL",IF(K769&lt;0,"YES","NO"),""))))</f>
        <v/>
      </c>
    </row>
    <row r="770" ht="15" customHeight="1">
      <c r="K770" s="26">
        <f>IF(H770="","",(H770-G770)/G770)</f>
        <v/>
      </c>
      <c r="L770" s="26">
        <f>IF(I770="","",(I770-G770)/G770)</f>
        <v/>
      </c>
      <c r="M770" s="26">
        <f>IF(J770="","",(J770-G770)/G770)</f>
        <v/>
      </c>
      <c r="N770" s="27">
        <f>IF(H770="","",IF(D770="HOLD",IF(ABS(K770)&lt;0.03,"YES","NO"),IF(D770="BUY",IF(K770&gt;0,"YES","NO"),IF(D770="SELL",IF(K770&lt;0,"YES","NO"),""))))</f>
        <v/>
      </c>
    </row>
    <row r="771" ht="15" customHeight="1">
      <c r="K771" s="26">
        <f>IF(H771="","",(H771-G771)/G771)</f>
        <v/>
      </c>
      <c r="L771" s="26">
        <f>IF(I771="","",(I771-G771)/G771)</f>
        <v/>
      </c>
      <c r="M771" s="26">
        <f>IF(J771="","",(J771-G771)/G771)</f>
        <v/>
      </c>
      <c r="N771" s="27">
        <f>IF(H771="","",IF(D771="HOLD",IF(ABS(K771)&lt;0.03,"YES","NO"),IF(D771="BUY",IF(K771&gt;0,"YES","NO"),IF(D771="SELL",IF(K771&lt;0,"YES","NO"),""))))</f>
        <v/>
      </c>
    </row>
    <row r="772" ht="15" customHeight="1">
      <c r="K772" s="26">
        <f>IF(H772="","",(H772-G772)/G772)</f>
        <v/>
      </c>
      <c r="L772" s="26">
        <f>IF(I772="","",(I772-G772)/G772)</f>
        <v/>
      </c>
      <c r="M772" s="26">
        <f>IF(J772="","",(J772-G772)/G772)</f>
        <v/>
      </c>
      <c r="N772" s="27">
        <f>IF(H772="","",IF(D772="HOLD",IF(ABS(K772)&lt;0.03,"YES","NO"),IF(D772="BUY",IF(K772&gt;0,"YES","NO"),IF(D772="SELL",IF(K772&lt;0,"YES","NO"),""))))</f>
        <v/>
      </c>
    </row>
    <row r="773" ht="15" customHeight="1">
      <c r="K773" s="26">
        <f>IF(H773="","",(H773-G773)/G773)</f>
        <v/>
      </c>
      <c r="L773" s="26">
        <f>IF(I773="","",(I773-G773)/G773)</f>
        <v/>
      </c>
      <c r="M773" s="26">
        <f>IF(J773="","",(J773-G773)/G773)</f>
        <v/>
      </c>
      <c r="N773" s="27">
        <f>IF(H773="","",IF(D773="HOLD",IF(ABS(K773)&lt;0.03,"YES","NO"),IF(D773="BUY",IF(K773&gt;0,"YES","NO"),IF(D773="SELL",IF(K773&lt;0,"YES","NO"),""))))</f>
        <v/>
      </c>
    </row>
    <row r="774" ht="15" customHeight="1">
      <c r="K774" s="26">
        <f>IF(H774="","",(H774-G774)/G774)</f>
        <v/>
      </c>
      <c r="L774" s="26">
        <f>IF(I774="","",(I774-G774)/G774)</f>
        <v/>
      </c>
      <c r="M774" s="26">
        <f>IF(J774="","",(J774-G774)/G774)</f>
        <v/>
      </c>
      <c r="N774" s="27">
        <f>IF(H774="","",IF(D774="HOLD",IF(ABS(K774)&lt;0.03,"YES","NO"),IF(D774="BUY",IF(K774&gt;0,"YES","NO"),IF(D774="SELL",IF(K774&lt;0,"YES","NO"),""))))</f>
        <v/>
      </c>
    </row>
    <row r="775" ht="15" customHeight="1">
      <c r="K775" s="26">
        <f>IF(H775="","",(H775-G775)/G775)</f>
        <v/>
      </c>
      <c r="L775" s="26">
        <f>IF(I775="","",(I775-G775)/G775)</f>
        <v/>
      </c>
      <c r="M775" s="26">
        <f>IF(J775="","",(J775-G775)/G775)</f>
        <v/>
      </c>
      <c r="N775" s="27">
        <f>IF(H775="","",IF(D775="HOLD",IF(ABS(K775)&lt;0.03,"YES","NO"),IF(D775="BUY",IF(K775&gt;0,"YES","NO"),IF(D775="SELL",IF(K775&lt;0,"YES","NO"),""))))</f>
        <v/>
      </c>
    </row>
    <row r="776" ht="15" customHeight="1">
      <c r="K776" s="26">
        <f>IF(H776="","",(H776-G776)/G776)</f>
        <v/>
      </c>
      <c r="L776" s="26">
        <f>IF(I776="","",(I776-G776)/G776)</f>
        <v/>
      </c>
      <c r="M776" s="26">
        <f>IF(J776="","",(J776-G776)/G776)</f>
        <v/>
      </c>
      <c r="N776" s="27">
        <f>IF(H776="","",IF(D776="HOLD",IF(ABS(K776)&lt;0.03,"YES","NO"),IF(D776="BUY",IF(K776&gt;0,"YES","NO"),IF(D776="SELL",IF(K776&lt;0,"YES","NO"),""))))</f>
        <v/>
      </c>
    </row>
    <row r="777" ht="15" customHeight="1">
      <c r="K777" s="26">
        <f>IF(H777="","",(H777-G777)/G777)</f>
        <v/>
      </c>
      <c r="L777" s="26">
        <f>IF(I777="","",(I777-G777)/G777)</f>
        <v/>
      </c>
      <c r="M777" s="26">
        <f>IF(J777="","",(J777-G777)/G777)</f>
        <v/>
      </c>
      <c r="N777" s="27">
        <f>IF(H777="","",IF(D777="HOLD",IF(ABS(K777)&lt;0.03,"YES","NO"),IF(D777="BUY",IF(K777&gt;0,"YES","NO"),IF(D777="SELL",IF(K777&lt;0,"YES","NO"),""))))</f>
        <v/>
      </c>
    </row>
    <row r="778" ht="15" customHeight="1">
      <c r="K778" s="26">
        <f>IF(H778="","",(H778-G778)/G778)</f>
        <v/>
      </c>
      <c r="L778" s="26">
        <f>IF(I778="","",(I778-G778)/G778)</f>
        <v/>
      </c>
      <c r="M778" s="26">
        <f>IF(J778="","",(J778-G778)/G778)</f>
        <v/>
      </c>
      <c r="N778" s="27">
        <f>IF(H778="","",IF(D778="HOLD",IF(ABS(K778)&lt;0.03,"YES","NO"),IF(D778="BUY",IF(K778&gt;0,"YES","NO"),IF(D778="SELL",IF(K778&lt;0,"YES","NO"),""))))</f>
        <v/>
      </c>
    </row>
    <row r="779" ht="15" customHeight="1">
      <c r="K779" s="26">
        <f>IF(H779="","",(H779-G779)/G779)</f>
        <v/>
      </c>
      <c r="L779" s="26">
        <f>IF(I779="","",(I779-G779)/G779)</f>
        <v/>
      </c>
      <c r="M779" s="26">
        <f>IF(J779="","",(J779-G779)/G779)</f>
        <v/>
      </c>
      <c r="N779" s="27">
        <f>IF(H779="","",IF(D779="HOLD",IF(ABS(K779)&lt;0.03,"YES","NO"),IF(D779="BUY",IF(K779&gt;0,"YES","NO"),IF(D779="SELL",IF(K779&lt;0,"YES","NO"),""))))</f>
        <v/>
      </c>
    </row>
    <row r="780" ht="15" customHeight="1">
      <c r="K780" s="26">
        <f>IF(H780="","",(H780-G780)/G780)</f>
        <v/>
      </c>
      <c r="L780" s="26">
        <f>IF(I780="","",(I780-G780)/G780)</f>
        <v/>
      </c>
      <c r="M780" s="26">
        <f>IF(J780="","",(J780-G780)/G780)</f>
        <v/>
      </c>
      <c r="N780" s="27">
        <f>IF(H780="","",IF(D780="HOLD",IF(ABS(K780)&lt;0.03,"YES","NO"),IF(D780="BUY",IF(K780&gt;0,"YES","NO"),IF(D780="SELL",IF(K780&lt;0,"YES","NO"),""))))</f>
        <v/>
      </c>
    </row>
    <row r="781" ht="15" customHeight="1">
      <c r="K781" s="26">
        <f>IF(H781="","",(H781-G781)/G781)</f>
        <v/>
      </c>
      <c r="L781" s="26">
        <f>IF(I781="","",(I781-G781)/G781)</f>
        <v/>
      </c>
      <c r="M781" s="26">
        <f>IF(J781="","",(J781-G781)/G781)</f>
        <v/>
      </c>
      <c r="N781" s="27">
        <f>IF(H781="","",IF(D781="HOLD",IF(ABS(K781)&lt;0.03,"YES","NO"),IF(D781="BUY",IF(K781&gt;0,"YES","NO"),IF(D781="SELL",IF(K781&lt;0,"YES","NO"),""))))</f>
        <v/>
      </c>
    </row>
    <row r="782" ht="15" customHeight="1">
      <c r="K782" s="26">
        <f>IF(H782="","",(H782-G782)/G782)</f>
        <v/>
      </c>
      <c r="L782" s="26">
        <f>IF(I782="","",(I782-G782)/G782)</f>
        <v/>
      </c>
      <c r="M782" s="26">
        <f>IF(J782="","",(J782-G782)/G782)</f>
        <v/>
      </c>
      <c r="N782" s="27">
        <f>IF(H782="","",IF(D782="HOLD",IF(ABS(K782)&lt;0.03,"YES","NO"),IF(D782="BUY",IF(K782&gt;0,"YES","NO"),IF(D782="SELL",IF(K782&lt;0,"YES","NO"),""))))</f>
        <v/>
      </c>
    </row>
    <row r="783" ht="15" customHeight="1">
      <c r="K783" s="26">
        <f>IF(H783="","",(H783-G783)/G783)</f>
        <v/>
      </c>
      <c r="L783" s="26">
        <f>IF(I783="","",(I783-G783)/G783)</f>
        <v/>
      </c>
      <c r="M783" s="26">
        <f>IF(J783="","",(J783-G783)/G783)</f>
        <v/>
      </c>
      <c r="N783" s="27">
        <f>IF(H783="","",IF(D783="HOLD",IF(ABS(K783)&lt;0.03,"YES","NO"),IF(D783="BUY",IF(K783&gt;0,"YES","NO"),IF(D783="SELL",IF(K783&lt;0,"YES","NO"),""))))</f>
        <v/>
      </c>
    </row>
    <row r="784" ht="15" customHeight="1">
      <c r="K784" s="26">
        <f>IF(H784="","",(H784-G784)/G784)</f>
        <v/>
      </c>
      <c r="L784" s="26">
        <f>IF(I784="","",(I784-G784)/G784)</f>
        <v/>
      </c>
      <c r="M784" s="26">
        <f>IF(J784="","",(J784-G784)/G784)</f>
        <v/>
      </c>
      <c r="N784" s="27">
        <f>IF(H784="","",IF(D784="HOLD",IF(ABS(K784)&lt;0.03,"YES","NO"),IF(D784="BUY",IF(K784&gt;0,"YES","NO"),IF(D784="SELL",IF(K784&lt;0,"YES","NO"),""))))</f>
        <v/>
      </c>
    </row>
    <row r="785" ht="15" customHeight="1">
      <c r="K785" s="26">
        <f>IF(H785="","",(H785-G785)/G785)</f>
        <v/>
      </c>
      <c r="L785" s="26">
        <f>IF(I785="","",(I785-G785)/G785)</f>
        <v/>
      </c>
      <c r="M785" s="26">
        <f>IF(J785="","",(J785-G785)/G785)</f>
        <v/>
      </c>
      <c r="N785" s="27">
        <f>IF(H785="","",IF(D785="HOLD",IF(ABS(K785)&lt;0.03,"YES","NO"),IF(D785="BUY",IF(K785&gt;0,"YES","NO"),IF(D785="SELL",IF(K785&lt;0,"YES","NO"),""))))</f>
        <v/>
      </c>
    </row>
    <row r="786" ht="15" customHeight="1">
      <c r="K786" s="26">
        <f>IF(H786="","",(H786-G786)/G786)</f>
        <v/>
      </c>
      <c r="L786" s="26">
        <f>IF(I786="","",(I786-G786)/G786)</f>
        <v/>
      </c>
      <c r="M786" s="26">
        <f>IF(J786="","",(J786-G786)/G786)</f>
        <v/>
      </c>
      <c r="N786" s="27">
        <f>IF(H786="","",IF(D786="HOLD",IF(ABS(K786)&lt;0.03,"YES","NO"),IF(D786="BUY",IF(K786&gt;0,"YES","NO"),IF(D786="SELL",IF(K786&lt;0,"YES","NO"),""))))</f>
        <v/>
      </c>
    </row>
    <row r="787" ht="15" customHeight="1">
      <c r="K787" s="26">
        <f>IF(H787="","",(H787-G787)/G787)</f>
        <v/>
      </c>
      <c r="L787" s="26">
        <f>IF(I787="","",(I787-G787)/G787)</f>
        <v/>
      </c>
      <c r="M787" s="26">
        <f>IF(J787="","",(J787-G787)/G787)</f>
        <v/>
      </c>
      <c r="N787" s="27">
        <f>IF(H787="","",IF(D787="HOLD",IF(ABS(K787)&lt;0.03,"YES","NO"),IF(D787="BUY",IF(K787&gt;0,"YES","NO"),IF(D787="SELL",IF(K787&lt;0,"YES","NO"),""))))</f>
        <v/>
      </c>
    </row>
    <row r="788" ht="15" customHeight="1">
      <c r="K788" s="26">
        <f>IF(H788="","",(H788-G788)/G788)</f>
        <v/>
      </c>
      <c r="L788" s="26">
        <f>IF(I788="","",(I788-G788)/G788)</f>
        <v/>
      </c>
      <c r="M788" s="26">
        <f>IF(J788="","",(J788-G788)/G788)</f>
        <v/>
      </c>
      <c r="N788" s="27">
        <f>IF(H788="","",IF(D788="HOLD",IF(ABS(K788)&lt;0.03,"YES","NO"),IF(D788="BUY",IF(K788&gt;0,"YES","NO"),IF(D788="SELL",IF(K788&lt;0,"YES","NO"),""))))</f>
        <v/>
      </c>
    </row>
    <row r="789" ht="15" customHeight="1">
      <c r="K789" s="26">
        <f>IF(H789="","",(H789-G789)/G789)</f>
        <v/>
      </c>
      <c r="L789" s="26">
        <f>IF(I789="","",(I789-G789)/G789)</f>
        <v/>
      </c>
      <c r="M789" s="26">
        <f>IF(J789="","",(J789-G789)/G789)</f>
        <v/>
      </c>
      <c r="N789" s="27">
        <f>IF(H789="","",IF(D789="HOLD",IF(ABS(K789)&lt;0.03,"YES","NO"),IF(D789="BUY",IF(K789&gt;0,"YES","NO"),IF(D789="SELL",IF(K789&lt;0,"YES","NO"),""))))</f>
        <v/>
      </c>
    </row>
    <row r="790" ht="15" customHeight="1">
      <c r="K790" s="26">
        <f>IF(H790="","",(H790-G790)/G790)</f>
        <v/>
      </c>
      <c r="L790" s="26">
        <f>IF(I790="","",(I790-G790)/G790)</f>
        <v/>
      </c>
      <c r="M790" s="26">
        <f>IF(J790="","",(J790-G790)/G790)</f>
        <v/>
      </c>
      <c r="N790" s="27">
        <f>IF(H790="","",IF(D790="HOLD",IF(ABS(K790)&lt;0.03,"YES","NO"),IF(D790="BUY",IF(K790&gt;0,"YES","NO"),IF(D790="SELL",IF(K790&lt;0,"YES","NO"),""))))</f>
        <v/>
      </c>
    </row>
    <row r="791" ht="15" customHeight="1">
      <c r="K791" s="26">
        <f>IF(H791="","",(H791-G791)/G791)</f>
        <v/>
      </c>
      <c r="L791" s="26">
        <f>IF(I791="","",(I791-G791)/G791)</f>
        <v/>
      </c>
      <c r="M791" s="26">
        <f>IF(J791="","",(J791-G791)/G791)</f>
        <v/>
      </c>
      <c r="N791" s="27">
        <f>IF(H791="","",IF(D791="HOLD",IF(ABS(K791)&lt;0.03,"YES","NO"),IF(D791="BUY",IF(K791&gt;0,"YES","NO"),IF(D791="SELL",IF(K791&lt;0,"YES","NO"),""))))</f>
        <v/>
      </c>
    </row>
    <row r="792" ht="15" customHeight="1">
      <c r="K792" s="26">
        <f>IF(H792="","",(H792-G792)/G792)</f>
        <v/>
      </c>
      <c r="L792" s="26">
        <f>IF(I792="","",(I792-G792)/G792)</f>
        <v/>
      </c>
      <c r="M792" s="26">
        <f>IF(J792="","",(J792-G792)/G792)</f>
        <v/>
      </c>
      <c r="N792" s="27">
        <f>IF(H792="","",IF(D792="HOLD",IF(ABS(K792)&lt;0.03,"YES","NO"),IF(D792="BUY",IF(K792&gt;0,"YES","NO"),IF(D792="SELL",IF(K792&lt;0,"YES","NO"),""))))</f>
        <v/>
      </c>
    </row>
    <row r="793" ht="15" customHeight="1">
      <c r="K793" s="26">
        <f>IF(H793="","",(H793-G793)/G793)</f>
        <v/>
      </c>
      <c r="L793" s="26">
        <f>IF(I793="","",(I793-G793)/G793)</f>
        <v/>
      </c>
      <c r="M793" s="26">
        <f>IF(J793="","",(J793-G793)/G793)</f>
        <v/>
      </c>
      <c r="N793" s="27">
        <f>IF(H793="","",IF(D793="HOLD",IF(ABS(K793)&lt;0.03,"YES","NO"),IF(D793="BUY",IF(K793&gt;0,"YES","NO"),IF(D793="SELL",IF(K793&lt;0,"YES","NO"),""))))</f>
        <v/>
      </c>
    </row>
    <row r="794" ht="15" customHeight="1">
      <c r="K794" s="26">
        <f>IF(H794="","",(H794-G794)/G794)</f>
        <v/>
      </c>
      <c r="L794" s="26">
        <f>IF(I794="","",(I794-G794)/G794)</f>
        <v/>
      </c>
      <c r="M794" s="26">
        <f>IF(J794="","",(J794-G794)/G794)</f>
        <v/>
      </c>
      <c r="N794" s="27">
        <f>IF(H794="","",IF(D794="HOLD",IF(ABS(K794)&lt;0.03,"YES","NO"),IF(D794="BUY",IF(K794&gt;0,"YES","NO"),IF(D794="SELL",IF(K794&lt;0,"YES","NO"),""))))</f>
        <v/>
      </c>
    </row>
    <row r="795" ht="15" customHeight="1">
      <c r="K795" s="26">
        <f>IF(H795="","",(H795-G795)/G795)</f>
        <v/>
      </c>
      <c r="L795" s="26">
        <f>IF(I795="","",(I795-G795)/G795)</f>
        <v/>
      </c>
      <c r="M795" s="26">
        <f>IF(J795="","",(J795-G795)/G795)</f>
        <v/>
      </c>
      <c r="N795" s="27">
        <f>IF(H795="","",IF(D795="HOLD",IF(ABS(K795)&lt;0.03,"YES","NO"),IF(D795="BUY",IF(K795&gt;0,"YES","NO"),IF(D795="SELL",IF(K795&lt;0,"YES","NO"),""))))</f>
        <v/>
      </c>
    </row>
    <row r="796" ht="15" customHeight="1">
      <c r="K796" s="26">
        <f>IF(H796="","",(H796-G796)/G796)</f>
        <v/>
      </c>
      <c r="L796" s="26">
        <f>IF(I796="","",(I796-G796)/G796)</f>
        <v/>
      </c>
      <c r="M796" s="26">
        <f>IF(J796="","",(J796-G796)/G796)</f>
        <v/>
      </c>
      <c r="N796" s="27">
        <f>IF(H796="","",IF(D796="HOLD",IF(ABS(K796)&lt;0.03,"YES","NO"),IF(D796="BUY",IF(K796&gt;0,"YES","NO"),IF(D796="SELL",IF(K796&lt;0,"YES","NO"),""))))</f>
        <v/>
      </c>
    </row>
    <row r="797" ht="15" customHeight="1">
      <c r="K797" s="26">
        <f>IF(H797="","",(H797-G797)/G797)</f>
        <v/>
      </c>
      <c r="L797" s="26">
        <f>IF(I797="","",(I797-G797)/G797)</f>
        <v/>
      </c>
      <c r="M797" s="26">
        <f>IF(J797="","",(J797-G797)/G797)</f>
        <v/>
      </c>
      <c r="N797" s="27">
        <f>IF(H797="","",IF(D797="HOLD",IF(ABS(K797)&lt;0.03,"YES","NO"),IF(D797="BUY",IF(K797&gt;0,"YES","NO"),IF(D797="SELL",IF(K797&lt;0,"YES","NO"),""))))</f>
        <v/>
      </c>
    </row>
    <row r="798" ht="15" customHeight="1">
      <c r="K798" s="26">
        <f>IF(H798="","",(H798-G798)/G798)</f>
        <v/>
      </c>
      <c r="L798" s="26">
        <f>IF(I798="","",(I798-G798)/G798)</f>
        <v/>
      </c>
      <c r="M798" s="26">
        <f>IF(J798="","",(J798-G798)/G798)</f>
        <v/>
      </c>
      <c r="N798" s="27">
        <f>IF(H798="","",IF(D798="HOLD",IF(ABS(K798)&lt;0.03,"YES","NO"),IF(D798="BUY",IF(K798&gt;0,"YES","NO"),IF(D798="SELL",IF(K798&lt;0,"YES","NO"),""))))</f>
        <v/>
      </c>
    </row>
    <row r="799" ht="15" customHeight="1">
      <c r="K799" s="26">
        <f>IF(H799="","",(H799-G799)/G799)</f>
        <v/>
      </c>
      <c r="L799" s="26">
        <f>IF(I799="","",(I799-G799)/G799)</f>
        <v/>
      </c>
      <c r="M799" s="26">
        <f>IF(J799="","",(J799-G799)/G799)</f>
        <v/>
      </c>
      <c r="N799" s="27">
        <f>IF(H799="","",IF(D799="HOLD",IF(ABS(K799)&lt;0.03,"YES","NO"),IF(D799="BUY",IF(K799&gt;0,"YES","NO"),IF(D799="SELL",IF(K799&lt;0,"YES","NO"),""))))</f>
        <v/>
      </c>
    </row>
    <row r="800" ht="15" customHeight="1">
      <c r="K800" s="26">
        <f>IF(H800="","",(H800-G800)/G800)</f>
        <v/>
      </c>
      <c r="L800" s="26">
        <f>IF(I800="","",(I800-G800)/G800)</f>
        <v/>
      </c>
      <c r="M800" s="26">
        <f>IF(J800="","",(J800-G800)/G800)</f>
        <v/>
      </c>
      <c r="N800" s="27">
        <f>IF(H800="","",IF(D800="HOLD",IF(ABS(K800)&lt;0.03,"YES","NO"),IF(D800="BUY",IF(K800&gt;0,"YES","NO"),IF(D800="SELL",IF(K800&lt;0,"YES","NO"),""))))</f>
        <v/>
      </c>
    </row>
    <row r="801" ht="15" customHeight="1">
      <c r="K801" s="26">
        <f>IF(H801="","",(H801-G801)/G801)</f>
        <v/>
      </c>
      <c r="L801" s="26">
        <f>IF(I801="","",(I801-G801)/G801)</f>
        <v/>
      </c>
      <c r="M801" s="26">
        <f>IF(J801="","",(J801-G801)/G801)</f>
        <v/>
      </c>
      <c r="N801" s="27">
        <f>IF(H801="","",IF(D801="HOLD",IF(ABS(K801)&lt;0.03,"YES","NO"),IF(D801="BUY",IF(K801&gt;0,"YES","NO"),IF(D801="SELL",IF(K801&lt;0,"YES","NO"),""))))</f>
        <v/>
      </c>
    </row>
    <row r="802" ht="15" customHeight="1">
      <c r="K802" s="26">
        <f>IF(H802="","",(H802-G802)/G802)</f>
        <v/>
      </c>
      <c r="L802" s="26">
        <f>IF(I802="","",(I802-G802)/G802)</f>
        <v/>
      </c>
      <c r="M802" s="26">
        <f>IF(J802="","",(J802-G802)/G802)</f>
        <v/>
      </c>
      <c r="N802" s="27">
        <f>IF(H802="","",IF(D802="HOLD",IF(ABS(K802)&lt;0.03,"YES","NO"),IF(D802="BUY",IF(K802&gt;0,"YES","NO"),IF(D802="SELL",IF(K802&lt;0,"YES","NO"),""))))</f>
        <v/>
      </c>
    </row>
    <row r="803" ht="15" customHeight="1">
      <c r="K803" s="26">
        <f>IF(H803="","",(H803-G803)/G803)</f>
        <v/>
      </c>
      <c r="L803" s="26">
        <f>IF(I803="","",(I803-G803)/G803)</f>
        <v/>
      </c>
      <c r="M803" s="26">
        <f>IF(J803="","",(J803-G803)/G803)</f>
        <v/>
      </c>
      <c r="N803" s="27">
        <f>IF(H803="","",IF(D803="HOLD",IF(ABS(K803)&lt;0.03,"YES","NO"),IF(D803="BUY",IF(K803&gt;0,"YES","NO"),IF(D803="SELL",IF(K803&lt;0,"YES","NO"),""))))</f>
        <v/>
      </c>
    </row>
    <row r="804" ht="15" customHeight="1">
      <c r="K804" s="26">
        <f>IF(H804="","",(H804-G804)/G804)</f>
        <v/>
      </c>
      <c r="L804" s="26">
        <f>IF(I804="","",(I804-G804)/G804)</f>
        <v/>
      </c>
      <c r="M804" s="26">
        <f>IF(J804="","",(J804-G804)/G804)</f>
        <v/>
      </c>
      <c r="N804" s="27">
        <f>IF(H804="","",IF(D804="HOLD",IF(ABS(K804)&lt;0.03,"YES","NO"),IF(D804="BUY",IF(K804&gt;0,"YES","NO"),IF(D804="SELL",IF(K804&lt;0,"YES","NO"),""))))</f>
        <v/>
      </c>
    </row>
    <row r="805" ht="15" customHeight="1">
      <c r="K805" s="26">
        <f>IF(H805="","",(H805-G805)/G805)</f>
        <v/>
      </c>
      <c r="L805" s="26">
        <f>IF(I805="","",(I805-G805)/G805)</f>
        <v/>
      </c>
      <c r="M805" s="26">
        <f>IF(J805="","",(J805-G805)/G805)</f>
        <v/>
      </c>
      <c r="N805" s="27">
        <f>IF(H805="","",IF(D805="HOLD",IF(ABS(K805)&lt;0.03,"YES","NO"),IF(D805="BUY",IF(K805&gt;0,"YES","NO"),IF(D805="SELL",IF(K805&lt;0,"YES","NO"),""))))</f>
        <v/>
      </c>
    </row>
    <row r="806" ht="15" customHeight="1">
      <c r="K806" s="26">
        <f>IF(H806="","",(H806-G806)/G806)</f>
        <v/>
      </c>
      <c r="L806" s="26">
        <f>IF(I806="","",(I806-G806)/G806)</f>
        <v/>
      </c>
      <c r="M806" s="26">
        <f>IF(J806="","",(J806-G806)/G806)</f>
        <v/>
      </c>
      <c r="N806" s="27">
        <f>IF(H806="","",IF(D806="HOLD",IF(ABS(K806)&lt;0.03,"YES","NO"),IF(D806="BUY",IF(K806&gt;0,"YES","NO"),IF(D806="SELL",IF(K806&lt;0,"YES","NO"),""))))</f>
        <v/>
      </c>
    </row>
    <row r="807" ht="15" customHeight="1">
      <c r="K807" s="26">
        <f>IF(H807="","",(H807-G807)/G807)</f>
        <v/>
      </c>
      <c r="L807" s="26">
        <f>IF(I807="","",(I807-G807)/G807)</f>
        <v/>
      </c>
      <c r="M807" s="26">
        <f>IF(J807="","",(J807-G807)/G807)</f>
        <v/>
      </c>
      <c r="N807" s="27">
        <f>IF(H807="","",IF(D807="HOLD",IF(ABS(K807)&lt;0.03,"YES","NO"),IF(D807="BUY",IF(K807&gt;0,"YES","NO"),IF(D807="SELL",IF(K807&lt;0,"YES","NO"),""))))</f>
        <v/>
      </c>
    </row>
    <row r="808" ht="15" customHeight="1">
      <c r="K808" s="26">
        <f>IF(H808="","",(H808-G808)/G808)</f>
        <v/>
      </c>
      <c r="L808" s="26">
        <f>IF(I808="","",(I808-G808)/G808)</f>
        <v/>
      </c>
      <c r="M808" s="26">
        <f>IF(J808="","",(J808-G808)/G808)</f>
        <v/>
      </c>
      <c r="N808" s="27">
        <f>IF(H808="","",IF(D808="HOLD",IF(ABS(K808)&lt;0.03,"YES","NO"),IF(D808="BUY",IF(K808&gt;0,"YES","NO"),IF(D808="SELL",IF(K808&lt;0,"YES","NO"),""))))</f>
        <v/>
      </c>
    </row>
    <row r="809" ht="15" customHeight="1">
      <c r="K809" s="26">
        <f>IF(H809="","",(H809-G809)/G809)</f>
        <v/>
      </c>
      <c r="L809" s="26">
        <f>IF(I809="","",(I809-G809)/G809)</f>
        <v/>
      </c>
      <c r="M809" s="26">
        <f>IF(J809="","",(J809-G809)/G809)</f>
        <v/>
      </c>
      <c r="N809" s="27">
        <f>IF(H809="","",IF(D809="HOLD",IF(ABS(K809)&lt;0.03,"YES","NO"),IF(D809="BUY",IF(K809&gt;0,"YES","NO"),IF(D809="SELL",IF(K809&lt;0,"YES","NO"),""))))</f>
        <v/>
      </c>
    </row>
    <row r="810" ht="15" customHeight="1">
      <c r="K810" s="26">
        <f>IF(H810="","",(H810-G810)/G810)</f>
        <v/>
      </c>
      <c r="L810" s="26">
        <f>IF(I810="","",(I810-G810)/G810)</f>
        <v/>
      </c>
      <c r="M810" s="26">
        <f>IF(J810="","",(J810-G810)/G810)</f>
        <v/>
      </c>
      <c r="N810" s="27">
        <f>IF(H810="","",IF(D810="HOLD",IF(ABS(K810)&lt;0.03,"YES","NO"),IF(D810="BUY",IF(K810&gt;0,"YES","NO"),IF(D810="SELL",IF(K810&lt;0,"YES","NO"),""))))</f>
        <v/>
      </c>
    </row>
    <row r="811" ht="15" customHeight="1">
      <c r="K811" s="26">
        <f>IF(H811="","",(H811-G811)/G811)</f>
        <v/>
      </c>
      <c r="L811" s="26">
        <f>IF(I811="","",(I811-G811)/G811)</f>
        <v/>
      </c>
      <c r="M811" s="26">
        <f>IF(J811="","",(J811-G811)/G811)</f>
        <v/>
      </c>
      <c r="N811" s="27">
        <f>IF(H811="","",IF(D811="HOLD",IF(ABS(K811)&lt;0.03,"YES","NO"),IF(D811="BUY",IF(K811&gt;0,"YES","NO"),IF(D811="SELL",IF(K811&lt;0,"YES","NO"),""))))</f>
        <v/>
      </c>
    </row>
    <row r="812" ht="15" customHeight="1">
      <c r="K812" s="26">
        <f>IF(H812="","",(H812-G812)/G812)</f>
        <v/>
      </c>
      <c r="L812" s="26">
        <f>IF(I812="","",(I812-G812)/G812)</f>
        <v/>
      </c>
      <c r="M812" s="26">
        <f>IF(J812="","",(J812-G812)/G812)</f>
        <v/>
      </c>
      <c r="N812" s="27">
        <f>IF(H812="","",IF(D812="HOLD",IF(ABS(K812)&lt;0.03,"YES","NO"),IF(D812="BUY",IF(K812&gt;0,"YES","NO"),IF(D812="SELL",IF(K812&lt;0,"YES","NO"),""))))</f>
        <v/>
      </c>
    </row>
    <row r="813" ht="15" customHeight="1">
      <c r="K813" s="26">
        <f>IF(H813="","",(H813-G813)/G813)</f>
        <v/>
      </c>
      <c r="L813" s="26">
        <f>IF(I813="","",(I813-G813)/G813)</f>
        <v/>
      </c>
      <c r="M813" s="26">
        <f>IF(J813="","",(J813-G813)/G813)</f>
        <v/>
      </c>
      <c r="N813" s="27">
        <f>IF(H813="","",IF(D813="HOLD",IF(ABS(K813)&lt;0.03,"YES","NO"),IF(D813="BUY",IF(K813&gt;0,"YES","NO"),IF(D813="SELL",IF(K813&lt;0,"YES","NO"),""))))</f>
        <v/>
      </c>
    </row>
    <row r="814" ht="15" customHeight="1">
      <c r="K814" s="26">
        <f>IF(H814="","",(H814-G814)/G814)</f>
        <v/>
      </c>
      <c r="L814" s="26">
        <f>IF(I814="","",(I814-G814)/G814)</f>
        <v/>
      </c>
      <c r="M814" s="26">
        <f>IF(J814="","",(J814-G814)/G814)</f>
        <v/>
      </c>
      <c r="N814" s="27">
        <f>IF(H814="","",IF(D814="HOLD",IF(ABS(K814)&lt;0.03,"YES","NO"),IF(D814="BUY",IF(K814&gt;0,"YES","NO"),IF(D814="SELL",IF(K814&lt;0,"YES","NO"),""))))</f>
        <v/>
      </c>
    </row>
    <row r="815" ht="15" customHeight="1">
      <c r="K815" s="26">
        <f>IF(H815="","",(H815-G815)/G815)</f>
        <v/>
      </c>
      <c r="L815" s="26">
        <f>IF(I815="","",(I815-G815)/G815)</f>
        <v/>
      </c>
      <c r="M815" s="26">
        <f>IF(J815="","",(J815-G815)/G815)</f>
        <v/>
      </c>
      <c r="N815" s="27">
        <f>IF(H815="","",IF(D815="HOLD",IF(ABS(K815)&lt;0.03,"YES","NO"),IF(D815="BUY",IF(K815&gt;0,"YES","NO"),IF(D815="SELL",IF(K815&lt;0,"YES","NO"),""))))</f>
        <v/>
      </c>
    </row>
    <row r="816" ht="15" customHeight="1">
      <c r="K816" s="26">
        <f>IF(H816="","",(H816-G816)/G816)</f>
        <v/>
      </c>
      <c r="L816" s="26">
        <f>IF(I816="","",(I816-G816)/G816)</f>
        <v/>
      </c>
      <c r="M816" s="26">
        <f>IF(J816="","",(J816-G816)/G816)</f>
        <v/>
      </c>
      <c r="N816" s="27">
        <f>IF(H816="","",IF(D816="HOLD",IF(ABS(K816)&lt;0.03,"YES","NO"),IF(D816="BUY",IF(K816&gt;0,"YES","NO"),IF(D816="SELL",IF(K816&lt;0,"YES","NO"),""))))</f>
        <v/>
      </c>
    </row>
    <row r="817" ht="15" customHeight="1">
      <c r="K817" s="26">
        <f>IF(H817="","",(H817-G817)/G817)</f>
        <v/>
      </c>
      <c r="L817" s="26">
        <f>IF(I817="","",(I817-G817)/G817)</f>
        <v/>
      </c>
      <c r="M817" s="26">
        <f>IF(J817="","",(J817-G817)/G817)</f>
        <v/>
      </c>
      <c r="N817" s="27">
        <f>IF(H817="","",IF(D817="HOLD",IF(ABS(K817)&lt;0.03,"YES","NO"),IF(D817="BUY",IF(K817&gt;0,"YES","NO"),IF(D817="SELL",IF(K817&lt;0,"YES","NO"),""))))</f>
        <v/>
      </c>
    </row>
    <row r="818" ht="15" customHeight="1">
      <c r="K818" s="26">
        <f>IF(H818="","",(H818-G818)/G818)</f>
        <v/>
      </c>
      <c r="L818" s="26">
        <f>IF(I818="","",(I818-G818)/G818)</f>
        <v/>
      </c>
      <c r="M818" s="26">
        <f>IF(J818="","",(J818-G818)/G818)</f>
        <v/>
      </c>
      <c r="N818" s="27">
        <f>IF(H818="","",IF(D818="HOLD",IF(ABS(K818)&lt;0.03,"YES","NO"),IF(D818="BUY",IF(K818&gt;0,"YES","NO"),IF(D818="SELL",IF(K818&lt;0,"YES","NO"),""))))</f>
        <v/>
      </c>
    </row>
    <row r="819" ht="15" customHeight="1">
      <c r="K819" s="26">
        <f>IF(H819="","",(H819-G819)/G819)</f>
        <v/>
      </c>
      <c r="L819" s="26">
        <f>IF(I819="","",(I819-G819)/G819)</f>
        <v/>
      </c>
      <c r="M819" s="26">
        <f>IF(J819="","",(J819-G819)/G819)</f>
        <v/>
      </c>
      <c r="N819" s="27">
        <f>IF(H819="","",IF(D819="HOLD",IF(ABS(K819)&lt;0.03,"YES","NO"),IF(D819="BUY",IF(K819&gt;0,"YES","NO"),IF(D819="SELL",IF(K819&lt;0,"YES","NO"),""))))</f>
        <v/>
      </c>
    </row>
    <row r="820" ht="15" customHeight="1">
      <c r="K820" s="26">
        <f>IF(H820="","",(H820-G820)/G820)</f>
        <v/>
      </c>
      <c r="L820" s="26">
        <f>IF(I820="","",(I820-G820)/G820)</f>
        <v/>
      </c>
      <c r="M820" s="26">
        <f>IF(J820="","",(J820-G820)/G820)</f>
        <v/>
      </c>
      <c r="N820" s="27">
        <f>IF(H820="","",IF(D820="HOLD",IF(ABS(K820)&lt;0.03,"YES","NO"),IF(D820="BUY",IF(K820&gt;0,"YES","NO"),IF(D820="SELL",IF(K820&lt;0,"YES","NO"),""))))</f>
        <v/>
      </c>
    </row>
    <row r="821" ht="15" customHeight="1">
      <c r="K821" s="26">
        <f>IF(H821="","",(H821-G821)/G821)</f>
        <v/>
      </c>
      <c r="L821" s="26">
        <f>IF(I821="","",(I821-G821)/G821)</f>
        <v/>
      </c>
      <c r="M821" s="26">
        <f>IF(J821="","",(J821-G821)/G821)</f>
        <v/>
      </c>
      <c r="N821" s="27">
        <f>IF(H821="","",IF(D821="HOLD",IF(ABS(K821)&lt;0.03,"YES","NO"),IF(D821="BUY",IF(K821&gt;0,"YES","NO"),IF(D821="SELL",IF(K821&lt;0,"YES","NO"),""))))</f>
        <v/>
      </c>
    </row>
    <row r="822" ht="15" customHeight="1">
      <c r="K822" s="26">
        <f>IF(H822="","",(H822-G822)/G822)</f>
        <v/>
      </c>
      <c r="L822" s="26">
        <f>IF(I822="","",(I822-G822)/G822)</f>
        <v/>
      </c>
      <c r="M822" s="26">
        <f>IF(J822="","",(J822-G822)/G822)</f>
        <v/>
      </c>
      <c r="N822" s="27">
        <f>IF(H822="","",IF(D822="HOLD",IF(ABS(K822)&lt;0.03,"YES","NO"),IF(D822="BUY",IF(K822&gt;0,"YES","NO"),IF(D822="SELL",IF(K822&lt;0,"YES","NO"),""))))</f>
        <v/>
      </c>
    </row>
    <row r="823" ht="15" customHeight="1">
      <c r="K823" s="26">
        <f>IF(H823="","",(H823-G823)/G823)</f>
        <v/>
      </c>
      <c r="L823" s="26">
        <f>IF(I823="","",(I823-G823)/G823)</f>
        <v/>
      </c>
      <c r="M823" s="26">
        <f>IF(J823="","",(J823-G823)/G823)</f>
        <v/>
      </c>
      <c r="N823" s="27">
        <f>IF(H823="","",IF(D823="HOLD",IF(ABS(K823)&lt;0.03,"YES","NO"),IF(D823="BUY",IF(K823&gt;0,"YES","NO"),IF(D823="SELL",IF(K823&lt;0,"YES","NO"),""))))</f>
        <v/>
      </c>
    </row>
    <row r="824" ht="15" customHeight="1">
      <c r="K824" s="26">
        <f>IF(H824="","",(H824-G824)/G824)</f>
        <v/>
      </c>
      <c r="L824" s="26">
        <f>IF(I824="","",(I824-G824)/G824)</f>
        <v/>
      </c>
      <c r="M824" s="26">
        <f>IF(J824="","",(J824-G824)/G824)</f>
        <v/>
      </c>
      <c r="N824" s="27">
        <f>IF(H824="","",IF(D824="HOLD",IF(ABS(K824)&lt;0.03,"YES","NO"),IF(D824="BUY",IF(K824&gt;0,"YES","NO"),IF(D824="SELL",IF(K824&lt;0,"YES","NO"),""))))</f>
        <v/>
      </c>
    </row>
    <row r="825" ht="15" customHeight="1">
      <c r="K825" s="26">
        <f>IF(H825="","",(H825-G825)/G825)</f>
        <v/>
      </c>
      <c r="L825" s="26">
        <f>IF(I825="","",(I825-G825)/G825)</f>
        <v/>
      </c>
      <c r="M825" s="26">
        <f>IF(J825="","",(J825-G825)/G825)</f>
        <v/>
      </c>
      <c r="N825" s="27">
        <f>IF(H825="","",IF(D825="HOLD",IF(ABS(K825)&lt;0.03,"YES","NO"),IF(D825="BUY",IF(K825&gt;0,"YES","NO"),IF(D825="SELL",IF(K825&lt;0,"YES","NO"),""))))</f>
        <v/>
      </c>
    </row>
    <row r="826" ht="15" customHeight="1">
      <c r="K826" s="26">
        <f>IF(H826="","",(H826-G826)/G826)</f>
        <v/>
      </c>
      <c r="L826" s="26">
        <f>IF(I826="","",(I826-G826)/G826)</f>
        <v/>
      </c>
      <c r="M826" s="26">
        <f>IF(J826="","",(J826-G826)/G826)</f>
        <v/>
      </c>
      <c r="N826" s="27">
        <f>IF(H826="","",IF(D826="HOLD",IF(ABS(K826)&lt;0.03,"YES","NO"),IF(D826="BUY",IF(K826&gt;0,"YES","NO"),IF(D826="SELL",IF(K826&lt;0,"YES","NO"),""))))</f>
        <v/>
      </c>
    </row>
    <row r="827" ht="15" customHeight="1">
      <c r="K827" s="26">
        <f>IF(H827="","",(H827-G827)/G827)</f>
        <v/>
      </c>
      <c r="L827" s="26">
        <f>IF(I827="","",(I827-G827)/G827)</f>
        <v/>
      </c>
      <c r="M827" s="26">
        <f>IF(J827="","",(J827-G827)/G827)</f>
        <v/>
      </c>
      <c r="N827" s="27">
        <f>IF(H827="","",IF(D827="HOLD",IF(ABS(K827)&lt;0.03,"YES","NO"),IF(D827="BUY",IF(K827&gt;0,"YES","NO"),IF(D827="SELL",IF(K827&lt;0,"YES","NO"),""))))</f>
        <v/>
      </c>
    </row>
    <row r="828" ht="15" customHeight="1">
      <c r="K828" s="26">
        <f>IF(H828="","",(H828-G828)/G828)</f>
        <v/>
      </c>
      <c r="L828" s="26">
        <f>IF(I828="","",(I828-G828)/G828)</f>
        <v/>
      </c>
      <c r="M828" s="26">
        <f>IF(J828="","",(J828-G828)/G828)</f>
        <v/>
      </c>
      <c r="N828" s="27">
        <f>IF(H828="","",IF(D828="HOLD",IF(ABS(K828)&lt;0.03,"YES","NO"),IF(D828="BUY",IF(K828&gt;0,"YES","NO"),IF(D828="SELL",IF(K828&lt;0,"YES","NO"),""))))</f>
        <v/>
      </c>
    </row>
    <row r="829" ht="15" customHeight="1">
      <c r="K829" s="26">
        <f>IF(H829="","",(H829-G829)/G829)</f>
        <v/>
      </c>
      <c r="L829" s="26">
        <f>IF(I829="","",(I829-G829)/G829)</f>
        <v/>
      </c>
      <c r="M829" s="26">
        <f>IF(J829="","",(J829-G829)/G829)</f>
        <v/>
      </c>
      <c r="N829" s="27">
        <f>IF(H829="","",IF(D829="HOLD",IF(ABS(K829)&lt;0.03,"YES","NO"),IF(D829="BUY",IF(K829&gt;0,"YES","NO"),IF(D829="SELL",IF(K829&lt;0,"YES","NO"),""))))</f>
        <v/>
      </c>
    </row>
    <row r="830" ht="15" customHeight="1">
      <c r="K830" s="26">
        <f>IF(H830="","",(H830-G830)/G830)</f>
        <v/>
      </c>
      <c r="L830" s="26">
        <f>IF(I830="","",(I830-G830)/G830)</f>
        <v/>
      </c>
      <c r="M830" s="26">
        <f>IF(J830="","",(J830-G830)/G830)</f>
        <v/>
      </c>
      <c r="N830" s="27">
        <f>IF(H830="","",IF(D830="HOLD",IF(ABS(K830)&lt;0.03,"YES","NO"),IF(D830="BUY",IF(K830&gt;0,"YES","NO"),IF(D830="SELL",IF(K830&lt;0,"YES","NO"),""))))</f>
        <v/>
      </c>
    </row>
    <row r="831" ht="15" customHeight="1">
      <c r="K831" s="26">
        <f>IF(H831="","",(H831-G831)/G831)</f>
        <v/>
      </c>
      <c r="L831" s="26">
        <f>IF(I831="","",(I831-G831)/G831)</f>
        <v/>
      </c>
      <c r="M831" s="26">
        <f>IF(J831="","",(J831-G831)/G831)</f>
        <v/>
      </c>
      <c r="N831" s="27">
        <f>IF(H831="","",IF(D831="HOLD",IF(ABS(K831)&lt;0.03,"YES","NO"),IF(D831="BUY",IF(K831&gt;0,"YES","NO"),IF(D831="SELL",IF(K831&lt;0,"YES","NO"),""))))</f>
        <v/>
      </c>
    </row>
    <row r="832" ht="15" customHeight="1">
      <c r="K832" s="26">
        <f>IF(H832="","",(H832-G832)/G832)</f>
        <v/>
      </c>
      <c r="L832" s="26">
        <f>IF(I832="","",(I832-G832)/G832)</f>
        <v/>
      </c>
      <c r="M832" s="26">
        <f>IF(J832="","",(J832-G832)/G832)</f>
        <v/>
      </c>
      <c r="N832" s="27">
        <f>IF(H832="","",IF(D832="HOLD",IF(ABS(K832)&lt;0.03,"YES","NO"),IF(D832="BUY",IF(K832&gt;0,"YES","NO"),IF(D832="SELL",IF(K832&lt;0,"YES","NO"),""))))</f>
        <v/>
      </c>
    </row>
    <row r="833" ht="15" customHeight="1">
      <c r="K833" s="26">
        <f>IF(H833="","",(H833-G833)/G833)</f>
        <v/>
      </c>
      <c r="L833" s="26">
        <f>IF(I833="","",(I833-G833)/G833)</f>
        <v/>
      </c>
      <c r="M833" s="26">
        <f>IF(J833="","",(J833-G833)/G833)</f>
        <v/>
      </c>
      <c r="N833" s="27">
        <f>IF(H833="","",IF(D833="HOLD",IF(ABS(K833)&lt;0.03,"YES","NO"),IF(D833="BUY",IF(K833&gt;0,"YES","NO"),IF(D833="SELL",IF(K833&lt;0,"YES","NO"),""))))</f>
        <v/>
      </c>
    </row>
    <row r="834" ht="15" customHeight="1">
      <c r="K834" s="26">
        <f>IF(H834="","",(H834-G834)/G834)</f>
        <v/>
      </c>
      <c r="L834" s="26">
        <f>IF(I834="","",(I834-G834)/G834)</f>
        <v/>
      </c>
      <c r="M834" s="26">
        <f>IF(J834="","",(J834-G834)/G834)</f>
        <v/>
      </c>
      <c r="N834" s="27">
        <f>IF(H834="","",IF(D834="HOLD",IF(ABS(K834)&lt;0.03,"YES","NO"),IF(D834="BUY",IF(K834&gt;0,"YES","NO"),IF(D834="SELL",IF(K834&lt;0,"YES","NO"),""))))</f>
        <v/>
      </c>
    </row>
    <row r="835" ht="15" customHeight="1">
      <c r="K835" s="26">
        <f>IF(H835="","",(H835-G835)/G835)</f>
        <v/>
      </c>
      <c r="L835" s="26">
        <f>IF(I835="","",(I835-G835)/G835)</f>
        <v/>
      </c>
      <c r="M835" s="26">
        <f>IF(J835="","",(J835-G835)/G835)</f>
        <v/>
      </c>
      <c r="N835" s="27">
        <f>IF(H835="","",IF(D835="HOLD",IF(ABS(K835)&lt;0.03,"YES","NO"),IF(D835="BUY",IF(K835&gt;0,"YES","NO"),IF(D835="SELL",IF(K835&lt;0,"YES","NO"),""))))</f>
        <v/>
      </c>
    </row>
    <row r="836" ht="15" customHeight="1">
      <c r="K836" s="26">
        <f>IF(H836="","",(H836-G836)/G836)</f>
        <v/>
      </c>
      <c r="L836" s="26">
        <f>IF(I836="","",(I836-G836)/G836)</f>
        <v/>
      </c>
      <c r="M836" s="26">
        <f>IF(J836="","",(J836-G836)/G836)</f>
        <v/>
      </c>
      <c r="N836" s="27">
        <f>IF(H836="","",IF(D836="HOLD",IF(ABS(K836)&lt;0.03,"YES","NO"),IF(D836="BUY",IF(K836&gt;0,"YES","NO"),IF(D836="SELL",IF(K836&lt;0,"YES","NO"),""))))</f>
        <v/>
      </c>
    </row>
    <row r="837" ht="15" customHeight="1">
      <c r="K837" s="26">
        <f>IF(H837="","",(H837-G837)/G837)</f>
        <v/>
      </c>
      <c r="L837" s="26">
        <f>IF(I837="","",(I837-G837)/G837)</f>
        <v/>
      </c>
      <c r="M837" s="26">
        <f>IF(J837="","",(J837-G837)/G837)</f>
        <v/>
      </c>
      <c r="N837" s="27">
        <f>IF(H837="","",IF(D837="HOLD",IF(ABS(K837)&lt;0.03,"YES","NO"),IF(D837="BUY",IF(K837&gt;0,"YES","NO"),IF(D837="SELL",IF(K837&lt;0,"YES","NO"),""))))</f>
        <v/>
      </c>
    </row>
    <row r="838" ht="15" customHeight="1">
      <c r="K838" s="26">
        <f>IF(H838="","",(H838-G838)/G838)</f>
        <v/>
      </c>
      <c r="L838" s="26">
        <f>IF(I838="","",(I838-G838)/G838)</f>
        <v/>
      </c>
      <c r="M838" s="26">
        <f>IF(J838="","",(J838-G838)/G838)</f>
        <v/>
      </c>
      <c r="N838" s="27">
        <f>IF(H838="","",IF(D838="HOLD",IF(ABS(K838)&lt;0.03,"YES","NO"),IF(D838="BUY",IF(K838&gt;0,"YES","NO"),IF(D838="SELL",IF(K838&lt;0,"YES","NO"),""))))</f>
        <v/>
      </c>
    </row>
    <row r="839" ht="15" customHeight="1">
      <c r="K839" s="26">
        <f>IF(H839="","",(H839-G839)/G839)</f>
        <v/>
      </c>
      <c r="L839" s="26">
        <f>IF(I839="","",(I839-G839)/G839)</f>
        <v/>
      </c>
      <c r="M839" s="26">
        <f>IF(J839="","",(J839-G839)/G839)</f>
        <v/>
      </c>
      <c r="N839" s="27">
        <f>IF(H839="","",IF(D839="HOLD",IF(ABS(K839)&lt;0.03,"YES","NO"),IF(D839="BUY",IF(K839&gt;0,"YES","NO"),IF(D839="SELL",IF(K839&lt;0,"YES","NO"),""))))</f>
        <v/>
      </c>
    </row>
    <row r="840" ht="15" customHeight="1">
      <c r="K840" s="26">
        <f>IF(H840="","",(H840-G840)/G840)</f>
        <v/>
      </c>
      <c r="L840" s="26">
        <f>IF(I840="","",(I840-G840)/G840)</f>
        <v/>
      </c>
      <c r="M840" s="26">
        <f>IF(J840="","",(J840-G840)/G840)</f>
        <v/>
      </c>
      <c r="N840" s="27">
        <f>IF(H840="","",IF(D840="HOLD",IF(ABS(K840)&lt;0.03,"YES","NO"),IF(D840="BUY",IF(K840&gt;0,"YES","NO"),IF(D840="SELL",IF(K840&lt;0,"YES","NO"),""))))</f>
        <v/>
      </c>
    </row>
    <row r="841" ht="15" customHeight="1">
      <c r="K841" s="26">
        <f>IF(H841="","",(H841-G841)/G841)</f>
        <v/>
      </c>
      <c r="L841" s="26">
        <f>IF(I841="","",(I841-G841)/G841)</f>
        <v/>
      </c>
      <c r="M841" s="26">
        <f>IF(J841="","",(J841-G841)/G841)</f>
        <v/>
      </c>
      <c r="N841" s="27">
        <f>IF(H841="","",IF(D841="HOLD",IF(ABS(K841)&lt;0.03,"YES","NO"),IF(D841="BUY",IF(K841&gt;0,"YES","NO"),IF(D841="SELL",IF(K841&lt;0,"YES","NO"),""))))</f>
        <v/>
      </c>
    </row>
    <row r="842" ht="15" customHeight="1">
      <c r="K842" s="26">
        <f>IF(H842="","",(H842-G842)/G842)</f>
        <v/>
      </c>
      <c r="L842" s="26">
        <f>IF(I842="","",(I842-G842)/G842)</f>
        <v/>
      </c>
      <c r="M842" s="26">
        <f>IF(J842="","",(J842-G842)/G842)</f>
        <v/>
      </c>
      <c r="N842" s="27">
        <f>IF(H842="","",IF(D842="HOLD",IF(ABS(K842)&lt;0.03,"YES","NO"),IF(D842="BUY",IF(K842&gt;0,"YES","NO"),IF(D842="SELL",IF(K842&lt;0,"YES","NO"),""))))</f>
        <v/>
      </c>
    </row>
    <row r="843" ht="15" customHeight="1">
      <c r="K843" s="26">
        <f>IF(H843="","",(H843-G843)/G843)</f>
        <v/>
      </c>
      <c r="L843" s="26">
        <f>IF(I843="","",(I843-G843)/G843)</f>
        <v/>
      </c>
      <c r="M843" s="26">
        <f>IF(J843="","",(J843-G843)/G843)</f>
        <v/>
      </c>
      <c r="N843" s="27">
        <f>IF(H843="","",IF(D843="HOLD",IF(ABS(K843)&lt;0.03,"YES","NO"),IF(D843="BUY",IF(K843&gt;0,"YES","NO"),IF(D843="SELL",IF(K843&lt;0,"YES","NO"),""))))</f>
        <v/>
      </c>
    </row>
    <row r="844" ht="15" customHeight="1">
      <c r="K844" s="26">
        <f>IF(H844="","",(H844-G844)/G844)</f>
        <v/>
      </c>
      <c r="L844" s="26">
        <f>IF(I844="","",(I844-G844)/G844)</f>
        <v/>
      </c>
      <c r="M844" s="26">
        <f>IF(J844="","",(J844-G844)/G844)</f>
        <v/>
      </c>
      <c r="N844" s="27">
        <f>IF(H844="","",IF(D844="HOLD",IF(ABS(K844)&lt;0.03,"YES","NO"),IF(D844="BUY",IF(K844&gt;0,"YES","NO"),IF(D844="SELL",IF(K844&lt;0,"YES","NO"),""))))</f>
        <v/>
      </c>
    </row>
    <row r="845" ht="15" customHeight="1">
      <c r="K845" s="26">
        <f>IF(H845="","",(H845-G845)/G845)</f>
        <v/>
      </c>
      <c r="L845" s="26">
        <f>IF(I845="","",(I845-G845)/G845)</f>
        <v/>
      </c>
      <c r="M845" s="26">
        <f>IF(J845="","",(J845-G845)/G845)</f>
        <v/>
      </c>
      <c r="N845" s="27">
        <f>IF(H845="","",IF(D845="HOLD",IF(ABS(K845)&lt;0.03,"YES","NO"),IF(D845="BUY",IF(K845&gt;0,"YES","NO"),IF(D845="SELL",IF(K845&lt;0,"YES","NO"),""))))</f>
        <v/>
      </c>
    </row>
    <row r="846" ht="15" customHeight="1">
      <c r="K846" s="26">
        <f>IF(H846="","",(H846-G846)/G846)</f>
        <v/>
      </c>
      <c r="L846" s="26">
        <f>IF(I846="","",(I846-G846)/G846)</f>
        <v/>
      </c>
      <c r="M846" s="26">
        <f>IF(J846="","",(J846-G846)/G846)</f>
        <v/>
      </c>
      <c r="N846" s="27">
        <f>IF(H846="","",IF(D846="HOLD",IF(ABS(K846)&lt;0.03,"YES","NO"),IF(D846="BUY",IF(K846&gt;0,"YES","NO"),IF(D846="SELL",IF(K846&lt;0,"YES","NO"),""))))</f>
        <v/>
      </c>
    </row>
    <row r="847" ht="15" customHeight="1">
      <c r="K847" s="26">
        <f>IF(H847="","",(H847-G847)/G847)</f>
        <v/>
      </c>
      <c r="L847" s="26">
        <f>IF(I847="","",(I847-G847)/G847)</f>
        <v/>
      </c>
      <c r="M847" s="26">
        <f>IF(J847="","",(J847-G847)/G847)</f>
        <v/>
      </c>
      <c r="N847" s="27">
        <f>IF(H847="","",IF(D847="HOLD",IF(ABS(K847)&lt;0.03,"YES","NO"),IF(D847="BUY",IF(K847&gt;0,"YES","NO"),IF(D847="SELL",IF(K847&lt;0,"YES","NO"),""))))</f>
        <v/>
      </c>
    </row>
    <row r="848" ht="15" customHeight="1">
      <c r="K848" s="26">
        <f>IF(H848="","",(H848-G848)/G848)</f>
        <v/>
      </c>
      <c r="L848" s="26">
        <f>IF(I848="","",(I848-G848)/G848)</f>
        <v/>
      </c>
      <c r="M848" s="26">
        <f>IF(J848="","",(J848-G848)/G848)</f>
        <v/>
      </c>
      <c r="N848" s="27">
        <f>IF(H848="","",IF(D848="HOLD",IF(ABS(K848)&lt;0.03,"YES","NO"),IF(D848="BUY",IF(K848&gt;0,"YES","NO"),IF(D848="SELL",IF(K848&lt;0,"YES","NO"),""))))</f>
        <v/>
      </c>
    </row>
    <row r="849" ht="15" customHeight="1">
      <c r="K849" s="26">
        <f>IF(H849="","",(H849-G849)/G849)</f>
        <v/>
      </c>
      <c r="L849" s="26">
        <f>IF(I849="","",(I849-G849)/G849)</f>
        <v/>
      </c>
      <c r="M849" s="26">
        <f>IF(J849="","",(J849-G849)/G849)</f>
        <v/>
      </c>
      <c r="N849" s="27">
        <f>IF(H849="","",IF(D849="HOLD",IF(ABS(K849)&lt;0.03,"YES","NO"),IF(D849="BUY",IF(K849&gt;0,"YES","NO"),IF(D849="SELL",IF(K849&lt;0,"YES","NO"),""))))</f>
        <v/>
      </c>
    </row>
    <row r="850" ht="15" customHeight="1">
      <c r="K850" s="26">
        <f>IF(H850="","",(H850-G850)/G850)</f>
        <v/>
      </c>
      <c r="L850" s="26">
        <f>IF(I850="","",(I850-G850)/G850)</f>
        <v/>
      </c>
      <c r="M850" s="26">
        <f>IF(J850="","",(J850-G850)/G850)</f>
        <v/>
      </c>
      <c r="N850" s="27">
        <f>IF(H850="","",IF(D850="HOLD",IF(ABS(K850)&lt;0.03,"YES","NO"),IF(D850="BUY",IF(K850&gt;0,"YES","NO"),IF(D850="SELL",IF(K850&lt;0,"YES","NO"),""))))</f>
        <v/>
      </c>
    </row>
    <row r="851" ht="15" customHeight="1">
      <c r="K851" s="26">
        <f>IF(H851="","",(H851-G851)/G851)</f>
        <v/>
      </c>
      <c r="L851" s="26">
        <f>IF(I851="","",(I851-G851)/G851)</f>
        <v/>
      </c>
      <c r="M851" s="26">
        <f>IF(J851="","",(J851-G851)/G851)</f>
        <v/>
      </c>
      <c r="N851" s="27">
        <f>IF(H851="","",IF(D851="HOLD",IF(ABS(K851)&lt;0.03,"YES","NO"),IF(D851="BUY",IF(K851&gt;0,"YES","NO"),IF(D851="SELL",IF(K851&lt;0,"YES","NO"),""))))</f>
        <v/>
      </c>
    </row>
    <row r="852" ht="15" customHeight="1">
      <c r="K852" s="26">
        <f>IF(H852="","",(H852-G852)/G852)</f>
        <v/>
      </c>
      <c r="L852" s="26">
        <f>IF(I852="","",(I852-G852)/G852)</f>
        <v/>
      </c>
      <c r="M852" s="26">
        <f>IF(J852="","",(J852-G852)/G852)</f>
        <v/>
      </c>
      <c r="N852" s="27">
        <f>IF(H852="","",IF(D852="HOLD",IF(ABS(K852)&lt;0.03,"YES","NO"),IF(D852="BUY",IF(K852&gt;0,"YES","NO"),IF(D852="SELL",IF(K852&lt;0,"YES","NO"),""))))</f>
        <v/>
      </c>
    </row>
    <row r="853" ht="15" customHeight="1">
      <c r="K853" s="26">
        <f>IF(H853="","",(H853-G853)/G853)</f>
        <v/>
      </c>
      <c r="L853" s="26">
        <f>IF(I853="","",(I853-G853)/G853)</f>
        <v/>
      </c>
      <c r="M853" s="26">
        <f>IF(J853="","",(J853-G853)/G853)</f>
        <v/>
      </c>
      <c r="N853" s="27">
        <f>IF(H853="","",IF(D853="HOLD",IF(ABS(K853)&lt;0.03,"YES","NO"),IF(D853="BUY",IF(K853&gt;0,"YES","NO"),IF(D853="SELL",IF(K853&lt;0,"YES","NO"),""))))</f>
        <v/>
      </c>
    </row>
    <row r="854" ht="15" customHeight="1">
      <c r="K854" s="26">
        <f>IF(H854="","",(H854-G854)/G854)</f>
        <v/>
      </c>
      <c r="L854" s="26">
        <f>IF(I854="","",(I854-G854)/G854)</f>
        <v/>
      </c>
      <c r="M854" s="26">
        <f>IF(J854="","",(J854-G854)/G854)</f>
        <v/>
      </c>
      <c r="N854" s="27">
        <f>IF(H854="","",IF(D854="HOLD",IF(ABS(K854)&lt;0.03,"YES","NO"),IF(D854="BUY",IF(K854&gt;0,"YES","NO"),IF(D854="SELL",IF(K854&lt;0,"YES","NO"),""))))</f>
        <v/>
      </c>
    </row>
    <row r="855" ht="15" customHeight="1">
      <c r="K855" s="26">
        <f>IF(H855="","",(H855-G855)/G855)</f>
        <v/>
      </c>
      <c r="L855" s="26">
        <f>IF(I855="","",(I855-G855)/G855)</f>
        <v/>
      </c>
      <c r="M855" s="26">
        <f>IF(J855="","",(J855-G855)/G855)</f>
        <v/>
      </c>
      <c r="N855" s="27">
        <f>IF(H855="","",IF(D855="HOLD",IF(ABS(K855)&lt;0.03,"YES","NO"),IF(D855="BUY",IF(K855&gt;0,"YES","NO"),IF(D855="SELL",IF(K855&lt;0,"YES","NO"),""))))</f>
        <v/>
      </c>
    </row>
    <row r="856" ht="15" customHeight="1">
      <c r="K856" s="26">
        <f>IF(H856="","",(H856-G856)/G856)</f>
        <v/>
      </c>
      <c r="L856" s="26">
        <f>IF(I856="","",(I856-G856)/G856)</f>
        <v/>
      </c>
      <c r="M856" s="26">
        <f>IF(J856="","",(J856-G856)/G856)</f>
        <v/>
      </c>
      <c r="N856" s="27">
        <f>IF(H856="","",IF(D856="HOLD",IF(ABS(K856)&lt;0.03,"YES","NO"),IF(D856="BUY",IF(K856&gt;0,"YES","NO"),IF(D856="SELL",IF(K856&lt;0,"YES","NO"),""))))</f>
        <v/>
      </c>
    </row>
    <row r="857" ht="15" customHeight="1">
      <c r="K857" s="26">
        <f>IF(H857="","",(H857-G857)/G857)</f>
        <v/>
      </c>
      <c r="L857" s="26">
        <f>IF(I857="","",(I857-G857)/G857)</f>
        <v/>
      </c>
      <c r="M857" s="26">
        <f>IF(J857="","",(J857-G857)/G857)</f>
        <v/>
      </c>
      <c r="N857" s="27">
        <f>IF(H857="","",IF(D857="HOLD",IF(ABS(K857)&lt;0.03,"YES","NO"),IF(D857="BUY",IF(K857&gt;0,"YES","NO"),IF(D857="SELL",IF(K857&lt;0,"YES","NO"),""))))</f>
        <v/>
      </c>
    </row>
    <row r="858" ht="15" customHeight="1">
      <c r="K858" s="26">
        <f>IF(H858="","",(H858-G858)/G858)</f>
        <v/>
      </c>
      <c r="L858" s="26">
        <f>IF(I858="","",(I858-G858)/G858)</f>
        <v/>
      </c>
      <c r="M858" s="26">
        <f>IF(J858="","",(J858-G858)/G858)</f>
        <v/>
      </c>
      <c r="N858" s="27">
        <f>IF(H858="","",IF(D858="HOLD",IF(ABS(K858)&lt;0.03,"YES","NO"),IF(D858="BUY",IF(K858&gt;0,"YES","NO"),IF(D858="SELL",IF(K858&lt;0,"YES","NO"),""))))</f>
        <v/>
      </c>
    </row>
    <row r="859" ht="15" customHeight="1">
      <c r="K859" s="26">
        <f>IF(H859="","",(H859-G859)/G859)</f>
        <v/>
      </c>
      <c r="L859" s="26">
        <f>IF(I859="","",(I859-G859)/G859)</f>
        <v/>
      </c>
      <c r="M859" s="26">
        <f>IF(J859="","",(J859-G859)/G859)</f>
        <v/>
      </c>
      <c r="N859" s="27">
        <f>IF(H859="","",IF(D859="HOLD",IF(ABS(K859)&lt;0.03,"YES","NO"),IF(D859="BUY",IF(K859&gt;0,"YES","NO"),IF(D859="SELL",IF(K859&lt;0,"YES","NO"),""))))</f>
        <v/>
      </c>
    </row>
    <row r="860" ht="15" customHeight="1">
      <c r="K860" s="26">
        <f>IF(H860="","",(H860-G860)/G860)</f>
        <v/>
      </c>
      <c r="L860" s="26">
        <f>IF(I860="","",(I860-G860)/G860)</f>
        <v/>
      </c>
      <c r="M860" s="26">
        <f>IF(J860="","",(J860-G860)/G860)</f>
        <v/>
      </c>
      <c r="N860" s="27">
        <f>IF(H860="","",IF(D860="HOLD",IF(ABS(K860)&lt;0.03,"YES","NO"),IF(D860="BUY",IF(K860&gt;0,"YES","NO"),IF(D860="SELL",IF(K860&lt;0,"YES","NO"),""))))</f>
        <v/>
      </c>
    </row>
    <row r="861" ht="15" customHeight="1">
      <c r="K861" s="26">
        <f>IF(H861="","",(H861-G861)/G861)</f>
        <v/>
      </c>
      <c r="L861" s="26">
        <f>IF(I861="","",(I861-G861)/G861)</f>
        <v/>
      </c>
      <c r="M861" s="26">
        <f>IF(J861="","",(J861-G861)/G861)</f>
        <v/>
      </c>
      <c r="N861" s="27">
        <f>IF(H861="","",IF(D861="HOLD",IF(ABS(K861)&lt;0.03,"YES","NO"),IF(D861="BUY",IF(K861&gt;0,"YES","NO"),IF(D861="SELL",IF(K861&lt;0,"YES","NO"),""))))</f>
        <v/>
      </c>
    </row>
    <row r="862" ht="15" customHeight="1">
      <c r="K862" s="26">
        <f>IF(H862="","",(H862-G862)/G862)</f>
        <v/>
      </c>
      <c r="L862" s="26">
        <f>IF(I862="","",(I862-G862)/G862)</f>
        <v/>
      </c>
      <c r="M862" s="26">
        <f>IF(J862="","",(J862-G862)/G862)</f>
        <v/>
      </c>
      <c r="N862" s="27">
        <f>IF(H862="","",IF(D862="HOLD",IF(ABS(K862)&lt;0.03,"YES","NO"),IF(D862="BUY",IF(K862&gt;0,"YES","NO"),IF(D862="SELL",IF(K862&lt;0,"YES","NO"),""))))</f>
        <v/>
      </c>
    </row>
    <row r="863" ht="15" customHeight="1">
      <c r="K863" s="26">
        <f>IF(H863="","",(H863-G863)/G863)</f>
        <v/>
      </c>
      <c r="L863" s="26">
        <f>IF(I863="","",(I863-G863)/G863)</f>
        <v/>
      </c>
      <c r="M863" s="26">
        <f>IF(J863="","",(J863-G863)/G863)</f>
        <v/>
      </c>
      <c r="N863" s="27">
        <f>IF(H863="","",IF(D863="HOLD",IF(ABS(K863)&lt;0.03,"YES","NO"),IF(D863="BUY",IF(K863&gt;0,"YES","NO"),IF(D863="SELL",IF(K863&lt;0,"YES","NO"),""))))</f>
        <v/>
      </c>
    </row>
    <row r="864" ht="15" customHeight="1">
      <c r="K864" s="26">
        <f>IF(H864="","",(H864-G864)/G864)</f>
        <v/>
      </c>
      <c r="L864" s="26">
        <f>IF(I864="","",(I864-G864)/G864)</f>
        <v/>
      </c>
      <c r="M864" s="26">
        <f>IF(J864="","",(J864-G864)/G864)</f>
        <v/>
      </c>
      <c r="N864" s="27">
        <f>IF(H864="","",IF(D864="HOLD",IF(ABS(K864)&lt;0.03,"YES","NO"),IF(D864="BUY",IF(K864&gt;0,"YES","NO"),IF(D864="SELL",IF(K864&lt;0,"YES","NO"),""))))</f>
        <v/>
      </c>
    </row>
    <row r="865" ht="15" customHeight="1">
      <c r="K865" s="26">
        <f>IF(H865="","",(H865-G865)/G865)</f>
        <v/>
      </c>
      <c r="L865" s="26">
        <f>IF(I865="","",(I865-G865)/G865)</f>
        <v/>
      </c>
      <c r="M865" s="26">
        <f>IF(J865="","",(J865-G865)/G865)</f>
        <v/>
      </c>
      <c r="N865" s="27">
        <f>IF(H865="","",IF(D865="HOLD",IF(ABS(K865)&lt;0.03,"YES","NO"),IF(D865="BUY",IF(K865&gt;0,"YES","NO"),IF(D865="SELL",IF(K865&lt;0,"YES","NO"),""))))</f>
        <v/>
      </c>
    </row>
    <row r="866" ht="15" customHeight="1">
      <c r="K866" s="26">
        <f>IF(H866="","",(H866-G866)/G866)</f>
        <v/>
      </c>
      <c r="L866" s="26">
        <f>IF(I866="","",(I866-G866)/G866)</f>
        <v/>
      </c>
      <c r="M866" s="26">
        <f>IF(J866="","",(J866-G866)/G866)</f>
        <v/>
      </c>
      <c r="N866" s="27">
        <f>IF(H866="","",IF(D866="HOLD",IF(ABS(K866)&lt;0.03,"YES","NO"),IF(D866="BUY",IF(K866&gt;0,"YES","NO"),IF(D866="SELL",IF(K866&lt;0,"YES","NO"),""))))</f>
        <v/>
      </c>
    </row>
    <row r="867" ht="15" customHeight="1">
      <c r="K867" s="26">
        <f>IF(H867="","",(H867-G867)/G867)</f>
        <v/>
      </c>
      <c r="L867" s="26">
        <f>IF(I867="","",(I867-G867)/G867)</f>
        <v/>
      </c>
      <c r="M867" s="26">
        <f>IF(J867="","",(J867-G867)/G867)</f>
        <v/>
      </c>
      <c r="N867" s="27">
        <f>IF(H867="","",IF(D867="HOLD",IF(ABS(K867)&lt;0.03,"YES","NO"),IF(D867="BUY",IF(K867&gt;0,"YES","NO"),IF(D867="SELL",IF(K867&lt;0,"YES","NO"),""))))</f>
        <v/>
      </c>
    </row>
    <row r="868" ht="15" customHeight="1">
      <c r="K868" s="26">
        <f>IF(H868="","",(H868-G868)/G868)</f>
        <v/>
      </c>
      <c r="L868" s="26">
        <f>IF(I868="","",(I868-G868)/G868)</f>
        <v/>
      </c>
      <c r="M868" s="26">
        <f>IF(J868="","",(J868-G868)/G868)</f>
        <v/>
      </c>
      <c r="N868" s="27">
        <f>IF(H868="","",IF(D868="HOLD",IF(ABS(K868)&lt;0.03,"YES","NO"),IF(D868="BUY",IF(K868&gt;0,"YES","NO"),IF(D868="SELL",IF(K868&lt;0,"YES","NO"),""))))</f>
        <v/>
      </c>
    </row>
    <row r="869" ht="15" customHeight="1">
      <c r="K869" s="26">
        <f>IF(H869="","",(H869-G869)/G869)</f>
        <v/>
      </c>
      <c r="L869" s="26">
        <f>IF(I869="","",(I869-G869)/G869)</f>
        <v/>
      </c>
      <c r="M869" s="26">
        <f>IF(J869="","",(J869-G869)/G869)</f>
        <v/>
      </c>
      <c r="N869" s="27">
        <f>IF(H869="","",IF(D869="HOLD",IF(ABS(K869)&lt;0.03,"YES","NO"),IF(D869="BUY",IF(K869&gt;0,"YES","NO"),IF(D869="SELL",IF(K869&lt;0,"YES","NO"),""))))</f>
        <v/>
      </c>
    </row>
    <row r="870" ht="15" customHeight="1">
      <c r="K870" s="26">
        <f>IF(H870="","",(H870-G870)/G870)</f>
        <v/>
      </c>
      <c r="L870" s="26">
        <f>IF(I870="","",(I870-G870)/G870)</f>
        <v/>
      </c>
      <c r="M870" s="26">
        <f>IF(J870="","",(J870-G870)/G870)</f>
        <v/>
      </c>
      <c r="N870" s="27">
        <f>IF(H870="","",IF(D870="HOLD",IF(ABS(K870)&lt;0.03,"YES","NO"),IF(D870="BUY",IF(K870&gt;0,"YES","NO"),IF(D870="SELL",IF(K870&lt;0,"YES","NO"),""))))</f>
        <v/>
      </c>
    </row>
    <row r="871" ht="15" customHeight="1">
      <c r="K871" s="26">
        <f>IF(H871="","",(H871-G871)/G871)</f>
        <v/>
      </c>
      <c r="L871" s="26">
        <f>IF(I871="","",(I871-G871)/G871)</f>
        <v/>
      </c>
      <c r="M871" s="26">
        <f>IF(J871="","",(J871-G871)/G871)</f>
        <v/>
      </c>
      <c r="N871" s="27">
        <f>IF(H871="","",IF(D871="HOLD",IF(ABS(K871)&lt;0.03,"YES","NO"),IF(D871="BUY",IF(K871&gt;0,"YES","NO"),IF(D871="SELL",IF(K871&lt;0,"YES","NO"),""))))</f>
        <v/>
      </c>
    </row>
    <row r="872" ht="15" customHeight="1">
      <c r="K872" s="26">
        <f>IF(H872="","",(H872-G872)/G872)</f>
        <v/>
      </c>
      <c r="L872" s="26">
        <f>IF(I872="","",(I872-G872)/G872)</f>
        <v/>
      </c>
      <c r="M872" s="26">
        <f>IF(J872="","",(J872-G872)/G872)</f>
        <v/>
      </c>
      <c r="N872" s="27">
        <f>IF(H872="","",IF(D872="HOLD",IF(ABS(K872)&lt;0.03,"YES","NO"),IF(D872="BUY",IF(K872&gt;0,"YES","NO"),IF(D872="SELL",IF(K872&lt;0,"YES","NO"),""))))</f>
        <v/>
      </c>
    </row>
    <row r="873" ht="15" customHeight="1">
      <c r="K873" s="26">
        <f>IF(H873="","",(H873-G873)/G873)</f>
        <v/>
      </c>
      <c r="L873" s="26">
        <f>IF(I873="","",(I873-G873)/G873)</f>
        <v/>
      </c>
      <c r="M873" s="26">
        <f>IF(J873="","",(J873-G873)/G873)</f>
        <v/>
      </c>
      <c r="N873" s="27">
        <f>IF(H873="","",IF(D873="HOLD",IF(ABS(K873)&lt;0.03,"YES","NO"),IF(D873="BUY",IF(K873&gt;0,"YES","NO"),IF(D873="SELL",IF(K873&lt;0,"YES","NO"),""))))</f>
        <v/>
      </c>
    </row>
    <row r="874" ht="15" customHeight="1">
      <c r="K874" s="26">
        <f>IF(H874="","",(H874-G874)/G874)</f>
        <v/>
      </c>
      <c r="L874" s="26">
        <f>IF(I874="","",(I874-G874)/G874)</f>
        <v/>
      </c>
      <c r="M874" s="26">
        <f>IF(J874="","",(J874-G874)/G874)</f>
        <v/>
      </c>
      <c r="N874" s="27">
        <f>IF(H874="","",IF(D874="HOLD",IF(ABS(K874)&lt;0.03,"YES","NO"),IF(D874="BUY",IF(K874&gt;0,"YES","NO"),IF(D874="SELL",IF(K874&lt;0,"YES","NO"),""))))</f>
        <v/>
      </c>
    </row>
    <row r="875" ht="15" customHeight="1">
      <c r="K875" s="26">
        <f>IF(H875="","",(H875-G875)/G875)</f>
        <v/>
      </c>
      <c r="L875" s="26">
        <f>IF(I875="","",(I875-G875)/G875)</f>
        <v/>
      </c>
      <c r="M875" s="26">
        <f>IF(J875="","",(J875-G875)/G875)</f>
        <v/>
      </c>
      <c r="N875" s="27">
        <f>IF(H875="","",IF(D875="HOLD",IF(ABS(K875)&lt;0.03,"YES","NO"),IF(D875="BUY",IF(K875&gt;0,"YES","NO"),IF(D875="SELL",IF(K875&lt;0,"YES","NO"),""))))</f>
        <v/>
      </c>
    </row>
    <row r="876" ht="15" customHeight="1">
      <c r="K876" s="26">
        <f>IF(H876="","",(H876-G876)/G876)</f>
        <v/>
      </c>
      <c r="L876" s="26">
        <f>IF(I876="","",(I876-G876)/G876)</f>
        <v/>
      </c>
      <c r="M876" s="26">
        <f>IF(J876="","",(J876-G876)/G876)</f>
        <v/>
      </c>
      <c r="N876" s="27">
        <f>IF(H876="","",IF(D876="HOLD",IF(ABS(K876)&lt;0.03,"YES","NO"),IF(D876="BUY",IF(K876&gt;0,"YES","NO"),IF(D876="SELL",IF(K876&lt;0,"YES","NO"),""))))</f>
        <v/>
      </c>
    </row>
    <row r="877" ht="15" customHeight="1">
      <c r="K877" s="26">
        <f>IF(H877="","",(H877-G877)/G877)</f>
        <v/>
      </c>
      <c r="L877" s="26">
        <f>IF(I877="","",(I877-G877)/G877)</f>
        <v/>
      </c>
      <c r="M877" s="26">
        <f>IF(J877="","",(J877-G877)/G877)</f>
        <v/>
      </c>
      <c r="N877" s="27">
        <f>IF(H877="","",IF(D877="HOLD",IF(ABS(K877)&lt;0.03,"YES","NO"),IF(D877="BUY",IF(K877&gt;0,"YES","NO"),IF(D877="SELL",IF(K877&lt;0,"YES","NO"),""))))</f>
        <v/>
      </c>
    </row>
    <row r="878" ht="15" customHeight="1">
      <c r="K878" s="26">
        <f>IF(H878="","",(H878-G878)/G878)</f>
        <v/>
      </c>
      <c r="L878" s="26">
        <f>IF(I878="","",(I878-G878)/G878)</f>
        <v/>
      </c>
      <c r="M878" s="26">
        <f>IF(J878="","",(J878-G878)/G878)</f>
        <v/>
      </c>
      <c r="N878" s="27">
        <f>IF(H878="","",IF(D878="HOLD",IF(ABS(K878)&lt;0.03,"YES","NO"),IF(D878="BUY",IF(K878&gt;0,"YES","NO"),IF(D878="SELL",IF(K878&lt;0,"YES","NO"),""))))</f>
        <v/>
      </c>
    </row>
    <row r="879" ht="15" customHeight="1">
      <c r="K879" s="26">
        <f>IF(H879="","",(H879-G879)/G879)</f>
        <v/>
      </c>
      <c r="L879" s="26">
        <f>IF(I879="","",(I879-G879)/G879)</f>
        <v/>
      </c>
      <c r="M879" s="26">
        <f>IF(J879="","",(J879-G879)/G879)</f>
        <v/>
      </c>
      <c r="N879" s="27">
        <f>IF(H879="","",IF(D879="HOLD",IF(ABS(K879)&lt;0.03,"YES","NO"),IF(D879="BUY",IF(K879&gt;0,"YES","NO"),IF(D879="SELL",IF(K879&lt;0,"YES","NO"),""))))</f>
        <v/>
      </c>
    </row>
    <row r="880" ht="15" customHeight="1">
      <c r="K880" s="26">
        <f>IF(H880="","",(H880-G880)/G880)</f>
        <v/>
      </c>
      <c r="L880" s="26">
        <f>IF(I880="","",(I880-G880)/G880)</f>
        <v/>
      </c>
      <c r="M880" s="26">
        <f>IF(J880="","",(J880-G880)/G880)</f>
        <v/>
      </c>
      <c r="N880" s="27">
        <f>IF(H880="","",IF(D880="HOLD",IF(ABS(K880)&lt;0.03,"YES","NO"),IF(D880="BUY",IF(K880&gt;0,"YES","NO"),IF(D880="SELL",IF(K880&lt;0,"YES","NO"),""))))</f>
        <v/>
      </c>
    </row>
    <row r="881" ht="15" customHeight="1">
      <c r="K881" s="26">
        <f>IF(H881="","",(H881-G881)/G881)</f>
        <v/>
      </c>
      <c r="L881" s="26">
        <f>IF(I881="","",(I881-G881)/G881)</f>
        <v/>
      </c>
      <c r="M881" s="26">
        <f>IF(J881="","",(J881-G881)/G881)</f>
        <v/>
      </c>
      <c r="N881" s="27">
        <f>IF(H881="","",IF(D881="HOLD",IF(ABS(K881)&lt;0.03,"YES","NO"),IF(D881="BUY",IF(K881&gt;0,"YES","NO"),IF(D881="SELL",IF(K881&lt;0,"YES","NO"),""))))</f>
        <v/>
      </c>
    </row>
    <row r="882" ht="15" customHeight="1">
      <c r="K882" s="26">
        <f>IF(H882="","",(H882-G882)/G882)</f>
        <v/>
      </c>
      <c r="L882" s="26">
        <f>IF(I882="","",(I882-G882)/G882)</f>
        <v/>
      </c>
      <c r="M882" s="26">
        <f>IF(J882="","",(J882-G882)/G882)</f>
        <v/>
      </c>
      <c r="N882" s="27">
        <f>IF(H882="","",IF(D882="HOLD",IF(ABS(K882)&lt;0.03,"YES","NO"),IF(D882="BUY",IF(K882&gt;0,"YES","NO"),IF(D882="SELL",IF(K882&lt;0,"YES","NO"),""))))</f>
        <v/>
      </c>
    </row>
    <row r="883" ht="15" customHeight="1">
      <c r="K883" s="26">
        <f>IF(H883="","",(H883-G883)/G883)</f>
        <v/>
      </c>
      <c r="L883" s="26">
        <f>IF(I883="","",(I883-G883)/G883)</f>
        <v/>
      </c>
      <c r="M883" s="26">
        <f>IF(J883="","",(J883-G883)/G883)</f>
        <v/>
      </c>
      <c r="N883" s="27">
        <f>IF(H883="","",IF(D883="HOLD",IF(ABS(K883)&lt;0.03,"YES","NO"),IF(D883="BUY",IF(K883&gt;0,"YES","NO"),IF(D883="SELL",IF(K883&lt;0,"YES","NO"),""))))</f>
        <v/>
      </c>
    </row>
    <row r="884" ht="15" customHeight="1">
      <c r="K884" s="26">
        <f>IF(H884="","",(H884-G884)/G884)</f>
        <v/>
      </c>
      <c r="L884" s="26">
        <f>IF(I884="","",(I884-G884)/G884)</f>
        <v/>
      </c>
      <c r="M884" s="26">
        <f>IF(J884="","",(J884-G884)/G884)</f>
        <v/>
      </c>
      <c r="N884" s="27">
        <f>IF(H884="","",IF(D884="HOLD",IF(ABS(K884)&lt;0.03,"YES","NO"),IF(D884="BUY",IF(K884&gt;0,"YES","NO"),IF(D884="SELL",IF(K884&lt;0,"YES","NO"),""))))</f>
        <v/>
      </c>
    </row>
    <row r="885" ht="15" customHeight="1">
      <c r="K885" s="26">
        <f>IF(H885="","",(H885-G885)/G885)</f>
        <v/>
      </c>
      <c r="L885" s="26">
        <f>IF(I885="","",(I885-G885)/G885)</f>
        <v/>
      </c>
      <c r="M885" s="26">
        <f>IF(J885="","",(J885-G885)/G885)</f>
        <v/>
      </c>
      <c r="N885" s="27">
        <f>IF(H885="","",IF(D885="HOLD",IF(ABS(K885)&lt;0.03,"YES","NO"),IF(D885="BUY",IF(K885&gt;0,"YES","NO"),IF(D885="SELL",IF(K885&lt;0,"YES","NO"),""))))</f>
        <v/>
      </c>
    </row>
    <row r="886" ht="15" customHeight="1">
      <c r="K886" s="26">
        <f>IF(H886="","",(H886-G886)/G886)</f>
        <v/>
      </c>
      <c r="L886" s="26">
        <f>IF(I886="","",(I886-G886)/G886)</f>
        <v/>
      </c>
      <c r="M886" s="26">
        <f>IF(J886="","",(J886-G886)/G886)</f>
        <v/>
      </c>
      <c r="N886" s="27">
        <f>IF(H886="","",IF(D886="HOLD",IF(ABS(K886)&lt;0.03,"YES","NO"),IF(D886="BUY",IF(K886&gt;0,"YES","NO"),IF(D886="SELL",IF(K886&lt;0,"YES","NO"),""))))</f>
        <v/>
      </c>
    </row>
    <row r="887" ht="15" customHeight="1">
      <c r="K887" s="26">
        <f>IF(H887="","",(H887-G887)/G887)</f>
        <v/>
      </c>
      <c r="L887" s="26">
        <f>IF(I887="","",(I887-G887)/G887)</f>
        <v/>
      </c>
      <c r="M887" s="26">
        <f>IF(J887="","",(J887-G887)/G887)</f>
        <v/>
      </c>
      <c r="N887" s="27">
        <f>IF(H887="","",IF(D887="HOLD",IF(ABS(K887)&lt;0.03,"YES","NO"),IF(D887="BUY",IF(K887&gt;0,"YES","NO"),IF(D887="SELL",IF(K887&lt;0,"YES","NO"),""))))</f>
        <v/>
      </c>
    </row>
    <row r="888" ht="15" customHeight="1">
      <c r="K888" s="26">
        <f>IF(H888="","",(H888-G888)/G888)</f>
        <v/>
      </c>
      <c r="L888" s="26">
        <f>IF(I888="","",(I888-G888)/G888)</f>
        <v/>
      </c>
      <c r="M888" s="26">
        <f>IF(J888="","",(J888-G888)/G888)</f>
        <v/>
      </c>
      <c r="N888" s="27">
        <f>IF(H888="","",IF(D888="HOLD",IF(ABS(K888)&lt;0.03,"YES","NO"),IF(D888="BUY",IF(K888&gt;0,"YES","NO"),IF(D888="SELL",IF(K888&lt;0,"YES","NO"),""))))</f>
        <v/>
      </c>
    </row>
    <row r="889" ht="15" customHeight="1">
      <c r="K889" s="26">
        <f>IF(H889="","",(H889-G889)/G889)</f>
        <v/>
      </c>
      <c r="L889" s="26">
        <f>IF(I889="","",(I889-G889)/G889)</f>
        <v/>
      </c>
      <c r="M889" s="26">
        <f>IF(J889="","",(J889-G889)/G889)</f>
        <v/>
      </c>
      <c r="N889" s="27">
        <f>IF(H889="","",IF(D889="HOLD",IF(ABS(K889)&lt;0.03,"YES","NO"),IF(D889="BUY",IF(K889&gt;0,"YES","NO"),IF(D889="SELL",IF(K889&lt;0,"YES","NO"),""))))</f>
        <v/>
      </c>
    </row>
    <row r="890" ht="15" customHeight="1">
      <c r="K890" s="26">
        <f>IF(H890="","",(H890-G890)/G890)</f>
        <v/>
      </c>
      <c r="L890" s="26">
        <f>IF(I890="","",(I890-G890)/G890)</f>
        <v/>
      </c>
      <c r="M890" s="26">
        <f>IF(J890="","",(J890-G890)/G890)</f>
        <v/>
      </c>
      <c r="N890" s="27">
        <f>IF(H890="","",IF(D890="HOLD",IF(ABS(K890)&lt;0.03,"YES","NO"),IF(D890="BUY",IF(K890&gt;0,"YES","NO"),IF(D890="SELL",IF(K890&lt;0,"YES","NO"),""))))</f>
        <v/>
      </c>
    </row>
    <row r="891" ht="15" customHeight="1">
      <c r="K891" s="26">
        <f>IF(H891="","",(H891-G891)/G891)</f>
        <v/>
      </c>
      <c r="L891" s="26">
        <f>IF(I891="","",(I891-G891)/G891)</f>
        <v/>
      </c>
      <c r="M891" s="26">
        <f>IF(J891="","",(J891-G891)/G891)</f>
        <v/>
      </c>
      <c r="N891" s="27">
        <f>IF(H891="","",IF(D891="HOLD",IF(ABS(K891)&lt;0.03,"YES","NO"),IF(D891="BUY",IF(K891&gt;0,"YES","NO"),IF(D891="SELL",IF(K891&lt;0,"YES","NO"),""))))</f>
        <v/>
      </c>
    </row>
    <row r="892" ht="15" customHeight="1">
      <c r="K892" s="26">
        <f>IF(H892="","",(H892-G892)/G892)</f>
        <v/>
      </c>
      <c r="L892" s="26">
        <f>IF(I892="","",(I892-G892)/G892)</f>
        <v/>
      </c>
      <c r="M892" s="26">
        <f>IF(J892="","",(J892-G892)/G892)</f>
        <v/>
      </c>
      <c r="N892" s="27">
        <f>IF(H892="","",IF(D892="HOLD",IF(ABS(K892)&lt;0.03,"YES","NO"),IF(D892="BUY",IF(K892&gt;0,"YES","NO"),IF(D892="SELL",IF(K892&lt;0,"YES","NO"),""))))</f>
        <v/>
      </c>
    </row>
    <row r="893" ht="15" customHeight="1">
      <c r="K893" s="26">
        <f>IF(H893="","",(H893-G893)/G893)</f>
        <v/>
      </c>
      <c r="L893" s="26">
        <f>IF(I893="","",(I893-G893)/G893)</f>
        <v/>
      </c>
      <c r="M893" s="26">
        <f>IF(J893="","",(J893-G893)/G893)</f>
        <v/>
      </c>
      <c r="N893" s="27">
        <f>IF(H893="","",IF(D893="HOLD",IF(ABS(K893)&lt;0.03,"YES","NO"),IF(D893="BUY",IF(K893&gt;0,"YES","NO"),IF(D893="SELL",IF(K893&lt;0,"YES","NO"),""))))</f>
        <v/>
      </c>
    </row>
    <row r="894" ht="15" customHeight="1">
      <c r="K894" s="26">
        <f>IF(H894="","",(H894-G894)/G894)</f>
        <v/>
      </c>
      <c r="L894" s="26">
        <f>IF(I894="","",(I894-G894)/G894)</f>
        <v/>
      </c>
      <c r="M894" s="26">
        <f>IF(J894="","",(J894-G894)/G894)</f>
        <v/>
      </c>
      <c r="N894" s="27">
        <f>IF(H894="","",IF(D894="HOLD",IF(ABS(K894)&lt;0.03,"YES","NO"),IF(D894="BUY",IF(K894&gt;0,"YES","NO"),IF(D894="SELL",IF(K894&lt;0,"YES","NO"),""))))</f>
        <v/>
      </c>
    </row>
    <row r="895" ht="15" customHeight="1">
      <c r="K895" s="26">
        <f>IF(H895="","",(H895-G895)/G895)</f>
        <v/>
      </c>
      <c r="L895" s="26">
        <f>IF(I895="","",(I895-G895)/G895)</f>
        <v/>
      </c>
      <c r="M895" s="26">
        <f>IF(J895="","",(J895-G895)/G895)</f>
        <v/>
      </c>
      <c r="N895" s="27">
        <f>IF(H895="","",IF(D895="HOLD",IF(ABS(K895)&lt;0.03,"YES","NO"),IF(D895="BUY",IF(K895&gt;0,"YES","NO"),IF(D895="SELL",IF(K895&lt;0,"YES","NO"),""))))</f>
        <v/>
      </c>
    </row>
    <row r="896" ht="15" customHeight="1">
      <c r="K896" s="26">
        <f>IF(H896="","",(H896-G896)/G896)</f>
        <v/>
      </c>
      <c r="L896" s="26">
        <f>IF(I896="","",(I896-G896)/G896)</f>
        <v/>
      </c>
      <c r="M896" s="26">
        <f>IF(J896="","",(J896-G896)/G896)</f>
        <v/>
      </c>
      <c r="N896" s="27">
        <f>IF(H896="","",IF(D896="HOLD",IF(ABS(K896)&lt;0.03,"YES","NO"),IF(D896="BUY",IF(K896&gt;0,"YES","NO"),IF(D896="SELL",IF(K896&lt;0,"YES","NO"),""))))</f>
        <v/>
      </c>
    </row>
    <row r="897" ht="15" customHeight="1">
      <c r="K897" s="26">
        <f>IF(H897="","",(H897-G897)/G897)</f>
        <v/>
      </c>
      <c r="L897" s="26">
        <f>IF(I897="","",(I897-G897)/G897)</f>
        <v/>
      </c>
      <c r="M897" s="26">
        <f>IF(J897="","",(J897-G897)/G897)</f>
        <v/>
      </c>
      <c r="N897" s="27">
        <f>IF(H897="","",IF(D897="HOLD",IF(ABS(K897)&lt;0.03,"YES","NO"),IF(D897="BUY",IF(K897&gt;0,"YES","NO"),IF(D897="SELL",IF(K897&lt;0,"YES","NO"),""))))</f>
        <v/>
      </c>
    </row>
    <row r="898" ht="15" customHeight="1">
      <c r="K898" s="26">
        <f>IF(H898="","",(H898-G898)/G898)</f>
        <v/>
      </c>
      <c r="L898" s="26">
        <f>IF(I898="","",(I898-G898)/G898)</f>
        <v/>
      </c>
      <c r="M898" s="26">
        <f>IF(J898="","",(J898-G898)/G898)</f>
        <v/>
      </c>
      <c r="N898" s="27">
        <f>IF(H898="","",IF(D898="HOLD",IF(ABS(K898)&lt;0.03,"YES","NO"),IF(D898="BUY",IF(K898&gt;0,"YES","NO"),IF(D898="SELL",IF(K898&lt;0,"YES","NO"),""))))</f>
        <v/>
      </c>
    </row>
    <row r="899" ht="15" customHeight="1">
      <c r="K899" s="26">
        <f>IF(H899="","",(H899-G899)/G899)</f>
        <v/>
      </c>
      <c r="L899" s="26">
        <f>IF(I899="","",(I899-G899)/G899)</f>
        <v/>
      </c>
      <c r="M899" s="26">
        <f>IF(J899="","",(J899-G899)/G899)</f>
        <v/>
      </c>
      <c r="N899" s="27">
        <f>IF(H899="","",IF(D899="HOLD",IF(ABS(K899)&lt;0.03,"YES","NO"),IF(D899="BUY",IF(K899&gt;0,"YES","NO"),IF(D899="SELL",IF(K899&lt;0,"YES","NO"),""))))</f>
        <v/>
      </c>
    </row>
    <row r="900" ht="15" customHeight="1">
      <c r="K900" s="26">
        <f>IF(H900="","",(H900-G900)/G900)</f>
        <v/>
      </c>
      <c r="L900" s="26">
        <f>IF(I900="","",(I900-G900)/G900)</f>
        <v/>
      </c>
      <c r="M900" s="26">
        <f>IF(J900="","",(J900-G900)/G900)</f>
        <v/>
      </c>
      <c r="N900" s="27">
        <f>IF(H900="","",IF(D900="HOLD",IF(ABS(K900)&lt;0.03,"YES","NO"),IF(D900="BUY",IF(K900&gt;0,"YES","NO"),IF(D900="SELL",IF(K900&lt;0,"YES","NO"),""))))</f>
        <v/>
      </c>
    </row>
    <row r="901" ht="15" customHeight="1">
      <c r="K901" s="26">
        <f>IF(H901="","",(H901-G901)/G901)</f>
        <v/>
      </c>
      <c r="L901" s="26">
        <f>IF(I901="","",(I901-G901)/G901)</f>
        <v/>
      </c>
      <c r="M901" s="26">
        <f>IF(J901="","",(J901-G901)/G901)</f>
        <v/>
      </c>
      <c r="N901" s="27">
        <f>IF(H901="","",IF(D901="HOLD",IF(ABS(K901)&lt;0.03,"YES","NO"),IF(D901="BUY",IF(K901&gt;0,"YES","NO"),IF(D901="SELL",IF(K901&lt;0,"YES","NO"),""))))</f>
        <v/>
      </c>
    </row>
    <row r="902" ht="15" customHeight="1">
      <c r="K902" s="26">
        <f>IF(H902="","",(H902-G902)/G902)</f>
        <v/>
      </c>
      <c r="L902" s="26">
        <f>IF(I902="","",(I902-G902)/G902)</f>
        <v/>
      </c>
      <c r="M902" s="26">
        <f>IF(J902="","",(J902-G902)/G902)</f>
        <v/>
      </c>
      <c r="N902" s="27">
        <f>IF(H902="","",IF(D902="HOLD",IF(ABS(K902)&lt;0.03,"YES","NO"),IF(D902="BUY",IF(K902&gt;0,"YES","NO"),IF(D902="SELL",IF(K902&lt;0,"YES","NO"),""))))</f>
        <v/>
      </c>
    </row>
    <row r="903" ht="15" customHeight="1">
      <c r="K903" s="26">
        <f>IF(H903="","",(H903-G903)/G903)</f>
        <v/>
      </c>
      <c r="L903" s="26">
        <f>IF(I903="","",(I903-G903)/G903)</f>
        <v/>
      </c>
      <c r="M903" s="26">
        <f>IF(J903="","",(J903-G903)/G903)</f>
        <v/>
      </c>
      <c r="N903" s="27">
        <f>IF(H903="","",IF(D903="HOLD",IF(ABS(K903)&lt;0.03,"YES","NO"),IF(D903="BUY",IF(K903&gt;0,"YES","NO"),IF(D903="SELL",IF(K903&lt;0,"YES","NO"),""))))</f>
        <v/>
      </c>
    </row>
    <row r="904" ht="15" customHeight="1">
      <c r="K904" s="26">
        <f>IF(H904="","",(H904-G904)/G904)</f>
        <v/>
      </c>
      <c r="L904" s="26">
        <f>IF(I904="","",(I904-G904)/G904)</f>
        <v/>
      </c>
      <c r="M904" s="26">
        <f>IF(J904="","",(J904-G904)/G904)</f>
        <v/>
      </c>
      <c r="N904" s="27">
        <f>IF(H904="","",IF(D904="HOLD",IF(ABS(K904)&lt;0.03,"YES","NO"),IF(D904="BUY",IF(K904&gt;0,"YES","NO"),IF(D904="SELL",IF(K904&lt;0,"YES","NO"),""))))</f>
        <v/>
      </c>
    </row>
    <row r="905" ht="15" customHeight="1">
      <c r="K905" s="26">
        <f>IF(H905="","",(H905-G905)/G905)</f>
        <v/>
      </c>
      <c r="L905" s="26">
        <f>IF(I905="","",(I905-G905)/G905)</f>
        <v/>
      </c>
      <c r="M905" s="26">
        <f>IF(J905="","",(J905-G905)/G905)</f>
        <v/>
      </c>
      <c r="N905" s="27">
        <f>IF(H905="","",IF(D905="HOLD",IF(ABS(K905)&lt;0.03,"YES","NO"),IF(D905="BUY",IF(K905&gt;0,"YES","NO"),IF(D905="SELL",IF(K905&lt;0,"YES","NO"),""))))</f>
        <v/>
      </c>
    </row>
    <row r="906" ht="15" customHeight="1">
      <c r="K906" s="26">
        <f>IF(H906="","",(H906-G906)/G906)</f>
        <v/>
      </c>
      <c r="L906" s="26">
        <f>IF(I906="","",(I906-G906)/G906)</f>
        <v/>
      </c>
      <c r="M906" s="26">
        <f>IF(J906="","",(J906-G906)/G906)</f>
        <v/>
      </c>
      <c r="N906" s="27">
        <f>IF(H906="","",IF(D906="HOLD",IF(ABS(K906)&lt;0.03,"YES","NO"),IF(D906="BUY",IF(K906&gt;0,"YES","NO"),IF(D906="SELL",IF(K906&lt;0,"YES","NO"),""))))</f>
        <v/>
      </c>
    </row>
    <row r="907" ht="15" customHeight="1">
      <c r="K907" s="26">
        <f>IF(H907="","",(H907-G907)/G907)</f>
        <v/>
      </c>
      <c r="L907" s="26">
        <f>IF(I907="","",(I907-G907)/G907)</f>
        <v/>
      </c>
      <c r="M907" s="26">
        <f>IF(J907="","",(J907-G907)/G907)</f>
        <v/>
      </c>
      <c r="N907" s="27">
        <f>IF(H907="","",IF(D907="HOLD",IF(ABS(K907)&lt;0.03,"YES","NO"),IF(D907="BUY",IF(K907&gt;0,"YES","NO"),IF(D907="SELL",IF(K907&lt;0,"YES","NO"),""))))</f>
        <v/>
      </c>
    </row>
    <row r="908" ht="15" customHeight="1">
      <c r="K908" s="26">
        <f>IF(H908="","",(H908-G908)/G908)</f>
        <v/>
      </c>
      <c r="L908" s="26">
        <f>IF(I908="","",(I908-G908)/G908)</f>
        <v/>
      </c>
      <c r="M908" s="26">
        <f>IF(J908="","",(J908-G908)/G908)</f>
        <v/>
      </c>
      <c r="N908" s="27">
        <f>IF(H908="","",IF(D908="HOLD",IF(ABS(K908)&lt;0.03,"YES","NO"),IF(D908="BUY",IF(K908&gt;0,"YES","NO"),IF(D908="SELL",IF(K908&lt;0,"YES","NO"),""))))</f>
        <v/>
      </c>
    </row>
    <row r="909" ht="15" customHeight="1">
      <c r="K909" s="26">
        <f>IF(H909="","",(H909-G909)/G909)</f>
        <v/>
      </c>
      <c r="L909" s="26">
        <f>IF(I909="","",(I909-G909)/G909)</f>
        <v/>
      </c>
      <c r="M909" s="26">
        <f>IF(J909="","",(J909-G909)/G909)</f>
        <v/>
      </c>
      <c r="N909" s="27">
        <f>IF(H909="","",IF(D909="HOLD",IF(ABS(K909)&lt;0.03,"YES","NO"),IF(D909="BUY",IF(K909&gt;0,"YES","NO"),IF(D909="SELL",IF(K909&lt;0,"YES","NO"),""))))</f>
        <v/>
      </c>
    </row>
    <row r="910" ht="15" customHeight="1">
      <c r="K910" s="26">
        <f>IF(H910="","",(H910-G910)/G910)</f>
        <v/>
      </c>
      <c r="L910" s="26">
        <f>IF(I910="","",(I910-G910)/G910)</f>
        <v/>
      </c>
      <c r="M910" s="26">
        <f>IF(J910="","",(J910-G910)/G910)</f>
        <v/>
      </c>
      <c r="N910" s="27">
        <f>IF(H910="","",IF(D910="HOLD",IF(ABS(K910)&lt;0.03,"YES","NO"),IF(D910="BUY",IF(K910&gt;0,"YES","NO"),IF(D910="SELL",IF(K910&lt;0,"YES","NO"),""))))</f>
        <v/>
      </c>
    </row>
    <row r="911" ht="15" customHeight="1">
      <c r="K911" s="26">
        <f>IF(H911="","",(H911-G911)/G911)</f>
        <v/>
      </c>
      <c r="L911" s="26">
        <f>IF(I911="","",(I911-G911)/G911)</f>
        <v/>
      </c>
      <c r="M911" s="26">
        <f>IF(J911="","",(J911-G911)/G911)</f>
        <v/>
      </c>
      <c r="N911" s="27">
        <f>IF(H911="","",IF(D911="HOLD",IF(ABS(K911)&lt;0.03,"YES","NO"),IF(D911="BUY",IF(K911&gt;0,"YES","NO"),IF(D911="SELL",IF(K911&lt;0,"YES","NO"),""))))</f>
        <v/>
      </c>
    </row>
    <row r="912" ht="15" customHeight="1">
      <c r="K912" s="26">
        <f>IF(H912="","",(H912-G912)/G912)</f>
        <v/>
      </c>
      <c r="L912" s="26">
        <f>IF(I912="","",(I912-G912)/G912)</f>
        <v/>
      </c>
      <c r="M912" s="26">
        <f>IF(J912="","",(J912-G912)/G912)</f>
        <v/>
      </c>
      <c r="N912" s="27">
        <f>IF(H912="","",IF(D912="HOLD",IF(ABS(K912)&lt;0.03,"YES","NO"),IF(D912="BUY",IF(K912&gt;0,"YES","NO"),IF(D912="SELL",IF(K912&lt;0,"YES","NO"),""))))</f>
        <v/>
      </c>
    </row>
    <row r="913" ht="15" customHeight="1">
      <c r="K913" s="26">
        <f>IF(H913="","",(H913-G913)/G913)</f>
        <v/>
      </c>
      <c r="L913" s="26">
        <f>IF(I913="","",(I913-G913)/G913)</f>
        <v/>
      </c>
      <c r="M913" s="26">
        <f>IF(J913="","",(J913-G913)/G913)</f>
        <v/>
      </c>
      <c r="N913" s="27">
        <f>IF(H913="","",IF(D913="HOLD",IF(ABS(K913)&lt;0.03,"YES","NO"),IF(D913="BUY",IF(K913&gt;0,"YES","NO"),IF(D913="SELL",IF(K913&lt;0,"YES","NO"),""))))</f>
        <v/>
      </c>
    </row>
    <row r="914" ht="15" customHeight="1">
      <c r="K914" s="26">
        <f>IF(H914="","",(H914-G914)/G914)</f>
        <v/>
      </c>
      <c r="L914" s="26">
        <f>IF(I914="","",(I914-G914)/G914)</f>
        <v/>
      </c>
      <c r="M914" s="26">
        <f>IF(J914="","",(J914-G914)/G914)</f>
        <v/>
      </c>
      <c r="N914" s="27">
        <f>IF(H914="","",IF(D914="HOLD",IF(ABS(K914)&lt;0.03,"YES","NO"),IF(D914="BUY",IF(K914&gt;0,"YES","NO"),IF(D914="SELL",IF(K914&lt;0,"YES","NO"),""))))</f>
        <v/>
      </c>
    </row>
    <row r="915" ht="15" customHeight="1">
      <c r="K915" s="26">
        <f>IF(H915="","",(H915-G915)/G915)</f>
        <v/>
      </c>
      <c r="L915" s="26">
        <f>IF(I915="","",(I915-G915)/G915)</f>
        <v/>
      </c>
      <c r="M915" s="26">
        <f>IF(J915="","",(J915-G915)/G915)</f>
        <v/>
      </c>
      <c r="N915" s="27">
        <f>IF(H915="","",IF(D915="HOLD",IF(ABS(K915)&lt;0.03,"YES","NO"),IF(D915="BUY",IF(K915&gt;0,"YES","NO"),IF(D915="SELL",IF(K915&lt;0,"YES","NO"),""))))</f>
        <v/>
      </c>
    </row>
    <row r="916" ht="15" customHeight="1">
      <c r="K916" s="26">
        <f>IF(H916="","",(H916-G916)/G916)</f>
        <v/>
      </c>
      <c r="L916" s="26">
        <f>IF(I916="","",(I916-G916)/G916)</f>
        <v/>
      </c>
      <c r="M916" s="26">
        <f>IF(J916="","",(J916-G916)/G916)</f>
        <v/>
      </c>
      <c r="N916" s="27">
        <f>IF(H916="","",IF(D916="HOLD",IF(ABS(K916)&lt;0.03,"YES","NO"),IF(D916="BUY",IF(K916&gt;0,"YES","NO"),IF(D916="SELL",IF(K916&lt;0,"YES","NO"),""))))</f>
        <v/>
      </c>
    </row>
    <row r="917" ht="15" customHeight="1">
      <c r="K917" s="26">
        <f>IF(H917="","",(H917-G917)/G917)</f>
        <v/>
      </c>
      <c r="L917" s="26">
        <f>IF(I917="","",(I917-G917)/G917)</f>
        <v/>
      </c>
      <c r="M917" s="26">
        <f>IF(J917="","",(J917-G917)/G917)</f>
        <v/>
      </c>
      <c r="N917" s="27">
        <f>IF(H917="","",IF(D917="HOLD",IF(ABS(K917)&lt;0.03,"YES","NO"),IF(D917="BUY",IF(K917&gt;0,"YES","NO"),IF(D917="SELL",IF(K917&lt;0,"YES","NO"),""))))</f>
        <v/>
      </c>
    </row>
    <row r="918" ht="15" customHeight="1">
      <c r="K918" s="26">
        <f>IF(H918="","",(H918-G918)/G918)</f>
        <v/>
      </c>
      <c r="L918" s="26">
        <f>IF(I918="","",(I918-G918)/G918)</f>
        <v/>
      </c>
      <c r="M918" s="26">
        <f>IF(J918="","",(J918-G918)/G918)</f>
        <v/>
      </c>
      <c r="N918" s="27">
        <f>IF(H918="","",IF(D918="HOLD",IF(ABS(K918)&lt;0.03,"YES","NO"),IF(D918="BUY",IF(K918&gt;0,"YES","NO"),IF(D918="SELL",IF(K918&lt;0,"YES","NO"),""))))</f>
        <v/>
      </c>
    </row>
    <row r="919" ht="15" customHeight="1">
      <c r="K919" s="26">
        <f>IF(H919="","",(H919-G919)/G919)</f>
        <v/>
      </c>
      <c r="L919" s="26">
        <f>IF(I919="","",(I919-G919)/G919)</f>
        <v/>
      </c>
      <c r="M919" s="26">
        <f>IF(J919="","",(J919-G919)/G919)</f>
        <v/>
      </c>
      <c r="N919" s="27">
        <f>IF(H919="","",IF(D919="HOLD",IF(ABS(K919)&lt;0.03,"YES","NO"),IF(D919="BUY",IF(K919&gt;0,"YES","NO"),IF(D919="SELL",IF(K919&lt;0,"YES","NO"),""))))</f>
        <v/>
      </c>
    </row>
    <row r="920" ht="15" customHeight="1">
      <c r="K920" s="26">
        <f>IF(H920="","",(H920-G920)/G920)</f>
        <v/>
      </c>
      <c r="L920" s="26">
        <f>IF(I920="","",(I920-G920)/G920)</f>
        <v/>
      </c>
      <c r="M920" s="26">
        <f>IF(J920="","",(J920-G920)/G920)</f>
        <v/>
      </c>
      <c r="N920" s="27">
        <f>IF(H920="","",IF(D920="HOLD",IF(ABS(K920)&lt;0.03,"YES","NO"),IF(D920="BUY",IF(K920&gt;0,"YES","NO"),IF(D920="SELL",IF(K920&lt;0,"YES","NO"),""))))</f>
        <v/>
      </c>
    </row>
    <row r="921" ht="15" customHeight="1">
      <c r="K921" s="26">
        <f>IF(H921="","",(H921-G921)/G921)</f>
        <v/>
      </c>
      <c r="L921" s="26">
        <f>IF(I921="","",(I921-G921)/G921)</f>
        <v/>
      </c>
      <c r="M921" s="26">
        <f>IF(J921="","",(J921-G921)/G921)</f>
        <v/>
      </c>
      <c r="N921" s="27">
        <f>IF(H921="","",IF(D921="HOLD",IF(ABS(K921)&lt;0.03,"YES","NO"),IF(D921="BUY",IF(K921&gt;0,"YES","NO"),IF(D921="SELL",IF(K921&lt;0,"YES","NO"),""))))</f>
        <v/>
      </c>
    </row>
    <row r="922" ht="15" customHeight="1">
      <c r="K922" s="26">
        <f>IF(H922="","",(H922-G922)/G922)</f>
        <v/>
      </c>
      <c r="L922" s="26">
        <f>IF(I922="","",(I922-G922)/G922)</f>
        <v/>
      </c>
      <c r="M922" s="26">
        <f>IF(J922="","",(J922-G922)/G922)</f>
        <v/>
      </c>
      <c r="N922" s="27">
        <f>IF(H922="","",IF(D922="HOLD",IF(ABS(K922)&lt;0.03,"YES","NO"),IF(D922="BUY",IF(K922&gt;0,"YES","NO"),IF(D922="SELL",IF(K922&lt;0,"YES","NO"),""))))</f>
        <v/>
      </c>
    </row>
    <row r="923" ht="15" customHeight="1">
      <c r="K923" s="26">
        <f>IF(H923="","",(H923-G923)/G923)</f>
        <v/>
      </c>
      <c r="L923" s="26">
        <f>IF(I923="","",(I923-G923)/G923)</f>
        <v/>
      </c>
      <c r="M923" s="26">
        <f>IF(J923="","",(J923-G923)/G923)</f>
        <v/>
      </c>
      <c r="N923" s="27">
        <f>IF(H923="","",IF(D923="HOLD",IF(ABS(K923)&lt;0.03,"YES","NO"),IF(D923="BUY",IF(K923&gt;0,"YES","NO"),IF(D923="SELL",IF(K923&lt;0,"YES","NO"),""))))</f>
        <v/>
      </c>
    </row>
    <row r="924" ht="15" customHeight="1">
      <c r="K924" s="26">
        <f>IF(H924="","",(H924-G924)/G924)</f>
        <v/>
      </c>
      <c r="L924" s="26">
        <f>IF(I924="","",(I924-G924)/G924)</f>
        <v/>
      </c>
      <c r="M924" s="26">
        <f>IF(J924="","",(J924-G924)/G924)</f>
        <v/>
      </c>
      <c r="N924" s="27">
        <f>IF(H924="","",IF(D924="HOLD",IF(ABS(K924)&lt;0.03,"YES","NO"),IF(D924="BUY",IF(K924&gt;0,"YES","NO"),IF(D924="SELL",IF(K924&lt;0,"YES","NO"),""))))</f>
        <v/>
      </c>
    </row>
    <row r="925" ht="15" customHeight="1">
      <c r="K925" s="26">
        <f>IF(H925="","",(H925-G925)/G925)</f>
        <v/>
      </c>
      <c r="L925" s="26">
        <f>IF(I925="","",(I925-G925)/G925)</f>
        <v/>
      </c>
      <c r="M925" s="26">
        <f>IF(J925="","",(J925-G925)/G925)</f>
        <v/>
      </c>
      <c r="N925" s="27">
        <f>IF(H925="","",IF(D925="HOLD",IF(ABS(K925)&lt;0.03,"YES","NO"),IF(D925="BUY",IF(K925&gt;0,"YES","NO"),IF(D925="SELL",IF(K925&lt;0,"YES","NO"),""))))</f>
        <v/>
      </c>
    </row>
    <row r="926" ht="15" customHeight="1">
      <c r="K926" s="26">
        <f>IF(H926="","",(H926-G926)/G926)</f>
        <v/>
      </c>
      <c r="L926" s="26">
        <f>IF(I926="","",(I926-G926)/G926)</f>
        <v/>
      </c>
      <c r="M926" s="26">
        <f>IF(J926="","",(J926-G926)/G926)</f>
        <v/>
      </c>
      <c r="N926" s="27">
        <f>IF(H926="","",IF(D926="HOLD",IF(ABS(K926)&lt;0.03,"YES","NO"),IF(D926="BUY",IF(K926&gt;0,"YES","NO"),IF(D926="SELL",IF(K926&lt;0,"YES","NO"),""))))</f>
        <v/>
      </c>
    </row>
    <row r="927" ht="15" customHeight="1">
      <c r="K927" s="26">
        <f>IF(H927="","",(H927-G927)/G927)</f>
        <v/>
      </c>
      <c r="L927" s="26">
        <f>IF(I927="","",(I927-G927)/G927)</f>
        <v/>
      </c>
      <c r="M927" s="26">
        <f>IF(J927="","",(J927-G927)/G927)</f>
        <v/>
      </c>
      <c r="N927" s="27">
        <f>IF(H927="","",IF(D927="HOLD",IF(ABS(K927)&lt;0.03,"YES","NO"),IF(D927="BUY",IF(K927&gt;0,"YES","NO"),IF(D927="SELL",IF(K927&lt;0,"YES","NO"),""))))</f>
        <v/>
      </c>
    </row>
    <row r="928" ht="15" customHeight="1">
      <c r="K928" s="26">
        <f>IF(H928="","",(H928-G928)/G928)</f>
        <v/>
      </c>
      <c r="L928" s="26">
        <f>IF(I928="","",(I928-G928)/G928)</f>
        <v/>
      </c>
      <c r="M928" s="26">
        <f>IF(J928="","",(J928-G928)/G928)</f>
        <v/>
      </c>
      <c r="N928" s="27">
        <f>IF(H928="","",IF(D928="HOLD",IF(ABS(K928)&lt;0.03,"YES","NO"),IF(D928="BUY",IF(K928&gt;0,"YES","NO"),IF(D928="SELL",IF(K928&lt;0,"YES","NO"),""))))</f>
        <v/>
      </c>
    </row>
    <row r="929" ht="15" customHeight="1">
      <c r="K929" s="26">
        <f>IF(H929="","",(H929-G929)/G929)</f>
        <v/>
      </c>
      <c r="L929" s="26">
        <f>IF(I929="","",(I929-G929)/G929)</f>
        <v/>
      </c>
      <c r="M929" s="26">
        <f>IF(J929="","",(J929-G929)/G929)</f>
        <v/>
      </c>
      <c r="N929" s="27">
        <f>IF(H929="","",IF(D929="HOLD",IF(ABS(K929)&lt;0.03,"YES","NO"),IF(D929="BUY",IF(K929&gt;0,"YES","NO"),IF(D929="SELL",IF(K929&lt;0,"YES","NO"),""))))</f>
        <v/>
      </c>
    </row>
    <row r="930" ht="15" customHeight="1">
      <c r="K930" s="26">
        <f>IF(H930="","",(H930-G930)/G930)</f>
        <v/>
      </c>
      <c r="L930" s="26">
        <f>IF(I930="","",(I930-G930)/G930)</f>
        <v/>
      </c>
      <c r="M930" s="26">
        <f>IF(J930="","",(J930-G930)/G930)</f>
        <v/>
      </c>
      <c r="N930" s="27">
        <f>IF(H930="","",IF(D930="HOLD",IF(ABS(K930)&lt;0.03,"YES","NO"),IF(D930="BUY",IF(K930&gt;0,"YES","NO"),IF(D930="SELL",IF(K930&lt;0,"YES","NO"),""))))</f>
        <v/>
      </c>
    </row>
    <row r="931" ht="15" customHeight="1">
      <c r="K931" s="26">
        <f>IF(H931="","",(H931-G931)/G931)</f>
        <v/>
      </c>
      <c r="L931" s="26">
        <f>IF(I931="","",(I931-G931)/G931)</f>
        <v/>
      </c>
      <c r="M931" s="26">
        <f>IF(J931="","",(J931-G931)/G931)</f>
        <v/>
      </c>
      <c r="N931" s="27">
        <f>IF(H931="","",IF(D931="HOLD",IF(ABS(K931)&lt;0.03,"YES","NO"),IF(D931="BUY",IF(K931&gt;0,"YES","NO"),IF(D931="SELL",IF(K931&lt;0,"YES","NO"),""))))</f>
        <v/>
      </c>
    </row>
    <row r="932" ht="15" customHeight="1">
      <c r="K932" s="26">
        <f>IF(H932="","",(H932-G932)/G932)</f>
        <v/>
      </c>
      <c r="L932" s="26">
        <f>IF(I932="","",(I932-G932)/G932)</f>
        <v/>
      </c>
      <c r="M932" s="26">
        <f>IF(J932="","",(J932-G932)/G932)</f>
        <v/>
      </c>
      <c r="N932" s="27">
        <f>IF(H932="","",IF(D932="HOLD",IF(ABS(K932)&lt;0.03,"YES","NO"),IF(D932="BUY",IF(K932&gt;0,"YES","NO"),IF(D932="SELL",IF(K932&lt;0,"YES","NO"),""))))</f>
        <v/>
      </c>
    </row>
    <row r="933" ht="15" customHeight="1">
      <c r="K933" s="26">
        <f>IF(H933="","",(H933-G933)/G933)</f>
        <v/>
      </c>
      <c r="L933" s="26">
        <f>IF(I933="","",(I933-G933)/G933)</f>
        <v/>
      </c>
      <c r="M933" s="26">
        <f>IF(J933="","",(J933-G933)/G933)</f>
        <v/>
      </c>
      <c r="N933" s="27">
        <f>IF(H933="","",IF(D933="HOLD",IF(ABS(K933)&lt;0.03,"YES","NO"),IF(D933="BUY",IF(K933&gt;0,"YES","NO"),IF(D933="SELL",IF(K933&lt;0,"YES","NO"),""))))</f>
        <v/>
      </c>
    </row>
    <row r="934" ht="15" customHeight="1">
      <c r="K934" s="26">
        <f>IF(H934="","",(H934-G934)/G934)</f>
        <v/>
      </c>
      <c r="L934" s="26">
        <f>IF(I934="","",(I934-G934)/G934)</f>
        <v/>
      </c>
      <c r="M934" s="26">
        <f>IF(J934="","",(J934-G934)/G934)</f>
        <v/>
      </c>
      <c r="N934" s="27">
        <f>IF(H934="","",IF(D934="HOLD",IF(ABS(K934)&lt;0.03,"YES","NO"),IF(D934="BUY",IF(K934&gt;0,"YES","NO"),IF(D934="SELL",IF(K934&lt;0,"YES","NO"),""))))</f>
        <v/>
      </c>
    </row>
    <row r="935" ht="15" customHeight="1">
      <c r="K935" s="26">
        <f>IF(H935="","",(H935-G935)/G935)</f>
        <v/>
      </c>
      <c r="L935" s="26">
        <f>IF(I935="","",(I935-G935)/G935)</f>
        <v/>
      </c>
      <c r="M935" s="26">
        <f>IF(J935="","",(J935-G935)/G935)</f>
        <v/>
      </c>
      <c r="N935" s="27">
        <f>IF(H935="","",IF(D935="HOLD",IF(ABS(K935)&lt;0.03,"YES","NO"),IF(D935="BUY",IF(K935&gt;0,"YES","NO"),IF(D935="SELL",IF(K935&lt;0,"YES","NO"),""))))</f>
        <v/>
      </c>
    </row>
    <row r="936" ht="15" customHeight="1">
      <c r="K936" s="26">
        <f>IF(H936="","",(H936-G936)/G936)</f>
        <v/>
      </c>
      <c r="L936" s="26">
        <f>IF(I936="","",(I936-G936)/G936)</f>
        <v/>
      </c>
      <c r="M936" s="26">
        <f>IF(J936="","",(J936-G936)/G936)</f>
        <v/>
      </c>
      <c r="N936" s="27">
        <f>IF(H936="","",IF(D936="HOLD",IF(ABS(K936)&lt;0.03,"YES","NO"),IF(D936="BUY",IF(K936&gt;0,"YES","NO"),IF(D936="SELL",IF(K936&lt;0,"YES","NO"),""))))</f>
        <v/>
      </c>
    </row>
    <row r="937" ht="15" customHeight="1">
      <c r="K937" s="26">
        <f>IF(H937="","",(H937-G937)/G937)</f>
        <v/>
      </c>
      <c r="L937" s="26">
        <f>IF(I937="","",(I937-G937)/G937)</f>
        <v/>
      </c>
      <c r="M937" s="26">
        <f>IF(J937="","",(J937-G937)/G937)</f>
        <v/>
      </c>
      <c r="N937" s="27">
        <f>IF(H937="","",IF(D937="HOLD",IF(ABS(K937)&lt;0.03,"YES","NO"),IF(D937="BUY",IF(K937&gt;0,"YES","NO"),IF(D937="SELL",IF(K937&lt;0,"YES","NO"),""))))</f>
        <v/>
      </c>
    </row>
    <row r="938" ht="15" customHeight="1">
      <c r="K938" s="26">
        <f>IF(H938="","",(H938-G938)/G938)</f>
        <v/>
      </c>
      <c r="L938" s="26">
        <f>IF(I938="","",(I938-G938)/G938)</f>
        <v/>
      </c>
      <c r="M938" s="26">
        <f>IF(J938="","",(J938-G938)/G938)</f>
        <v/>
      </c>
      <c r="N938" s="27">
        <f>IF(H938="","",IF(D938="HOLD",IF(ABS(K938)&lt;0.03,"YES","NO"),IF(D938="BUY",IF(K938&gt;0,"YES","NO"),IF(D938="SELL",IF(K938&lt;0,"YES","NO"),""))))</f>
        <v/>
      </c>
    </row>
    <row r="939" ht="15" customHeight="1">
      <c r="K939" s="26">
        <f>IF(H939="","",(H939-G939)/G939)</f>
        <v/>
      </c>
      <c r="L939" s="26">
        <f>IF(I939="","",(I939-G939)/G939)</f>
        <v/>
      </c>
      <c r="M939" s="26">
        <f>IF(J939="","",(J939-G939)/G939)</f>
        <v/>
      </c>
      <c r="N939" s="27">
        <f>IF(H939="","",IF(D939="HOLD",IF(ABS(K939)&lt;0.03,"YES","NO"),IF(D939="BUY",IF(K939&gt;0,"YES","NO"),IF(D939="SELL",IF(K939&lt;0,"YES","NO"),""))))</f>
        <v/>
      </c>
    </row>
    <row r="940" ht="15" customHeight="1">
      <c r="K940" s="26">
        <f>IF(H940="","",(H940-G940)/G940)</f>
        <v/>
      </c>
      <c r="L940" s="26">
        <f>IF(I940="","",(I940-G940)/G940)</f>
        <v/>
      </c>
      <c r="M940" s="26">
        <f>IF(J940="","",(J940-G940)/G940)</f>
        <v/>
      </c>
      <c r="N940" s="27">
        <f>IF(H940="","",IF(D940="HOLD",IF(ABS(K940)&lt;0.03,"YES","NO"),IF(D940="BUY",IF(K940&gt;0,"YES","NO"),IF(D940="SELL",IF(K940&lt;0,"YES","NO"),""))))</f>
        <v/>
      </c>
    </row>
    <row r="941" ht="15" customHeight="1">
      <c r="K941" s="26">
        <f>IF(H941="","",(H941-G941)/G941)</f>
        <v/>
      </c>
      <c r="L941" s="26">
        <f>IF(I941="","",(I941-G941)/G941)</f>
        <v/>
      </c>
      <c r="M941" s="26">
        <f>IF(J941="","",(J941-G941)/G941)</f>
        <v/>
      </c>
      <c r="N941" s="27">
        <f>IF(H941="","",IF(D941="HOLD",IF(ABS(K941)&lt;0.03,"YES","NO"),IF(D941="BUY",IF(K941&gt;0,"YES","NO"),IF(D941="SELL",IF(K941&lt;0,"YES","NO"),""))))</f>
        <v/>
      </c>
    </row>
    <row r="942" ht="15" customHeight="1">
      <c r="K942" s="26">
        <f>IF(H942="","",(H942-G942)/G942)</f>
        <v/>
      </c>
      <c r="L942" s="26">
        <f>IF(I942="","",(I942-G942)/G942)</f>
        <v/>
      </c>
      <c r="M942" s="26">
        <f>IF(J942="","",(J942-G942)/G942)</f>
        <v/>
      </c>
      <c r="N942" s="27">
        <f>IF(H942="","",IF(D942="HOLD",IF(ABS(K942)&lt;0.03,"YES","NO"),IF(D942="BUY",IF(K942&gt;0,"YES","NO"),IF(D942="SELL",IF(K942&lt;0,"YES","NO"),""))))</f>
        <v/>
      </c>
    </row>
    <row r="943" ht="15" customHeight="1">
      <c r="K943" s="26">
        <f>IF(H943="","",(H943-G943)/G943)</f>
        <v/>
      </c>
      <c r="L943" s="26">
        <f>IF(I943="","",(I943-G943)/G943)</f>
        <v/>
      </c>
      <c r="M943" s="26">
        <f>IF(J943="","",(J943-G943)/G943)</f>
        <v/>
      </c>
      <c r="N943" s="27">
        <f>IF(H943="","",IF(D943="HOLD",IF(ABS(K943)&lt;0.03,"YES","NO"),IF(D943="BUY",IF(K943&gt;0,"YES","NO"),IF(D943="SELL",IF(K943&lt;0,"YES","NO"),""))))</f>
        <v/>
      </c>
    </row>
    <row r="944" ht="15" customHeight="1">
      <c r="K944" s="26">
        <f>IF(H944="","",(H944-G944)/G944)</f>
        <v/>
      </c>
      <c r="L944" s="26">
        <f>IF(I944="","",(I944-G944)/G944)</f>
        <v/>
      </c>
      <c r="M944" s="26">
        <f>IF(J944="","",(J944-G944)/G944)</f>
        <v/>
      </c>
      <c r="N944" s="27">
        <f>IF(H944="","",IF(D944="HOLD",IF(ABS(K944)&lt;0.03,"YES","NO"),IF(D944="BUY",IF(K944&gt;0,"YES","NO"),IF(D944="SELL",IF(K944&lt;0,"YES","NO"),""))))</f>
        <v/>
      </c>
    </row>
    <row r="945" ht="15" customHeight="1">
      <c r="K945" s="26">
        <f>IF(H945="","",(H945-G945)/G945)</f>
        <v/>
      </c>
      <c r="L945" s="26">
        <f>IF(I945="","",(I945-G945)/G945)</f>
        <v/>
      </c>
      <c r="M945" s="26">
        <f>IF(J945="","",(J945-G945)/G945)</f>
        <v/>
      </c>
      <c r="N945" s="27">
        <f>IF(H945="","",IF(D945="HOLD",IF(ABS(K945)&lt;0.03,"YES","NO"),IF(D945="BUY",IF(K945&gt;0,"YES","NO"),IF(D945="SELL",IF(K945&lt;0,"YES","NO"),""))))</f>
        <v/>
      </c>
    </row>
    <row r="946" ht="15" customHeight="1">
      <c r="K946" s="26">
        <f>IF(H946="","",(H946-G946)/G946)</f>
        <v/>
      </c>
      <c r="L946" s="26">
        <f>IF(I946="","",(I946-G946)/G946)</f>
        <v/>
      </c>
      <c r="M946" s="26">
        <f>IF(J946="","",(J946-G946)/G946)</f>
        <v/>
      </c>
      <c r="N946" s="27">
        <f>IF(H946="","",IF(D946="HOLD",IF(ABS(K946)&lt;0.03,"YES","NO"),IF(D946="BUY",IF(K946&gt;0,"YES","NO"),IF(D946="SELL",IF(K946&lt;0,"YES","NO"),""))))</f>
        <v/>
      </c>
    </row>
    <row r="947" ht="15" customHeight="1">
      <c r="K947" s="26">
        <f>IF(H947="","",(H947-G947)/G947)</f>
        <v/>
      </c>
      <c r="L947" s="26">
        <f>IF(I947="","",(I947-G947)/G947)</f>
        <v/>
      </c>
      <c r="M947" s="26">
        <f>IF(J947="","",(J947-G947)/G947)</f>
        <v/>
      </c>
      <c r="N947" s="27">
        <f>IF(H947="","",IF(D947="HOLD",IF(ABS(K947)&lt;0.03,"YES","NO"),IF(D947="BUY",IF(K947&gt;0,"YES","NO"),IF(D947="SELL",IF(K947&lt;0,"YES","NO"),""))))</f>
        <v/>
      </c>
    </row>
    <row r="948" ht="15" customHeight="1">
      <c r="K948" s="26">
        <f>IF(H948="","",(H948-G948)/G948)</f>
        <v/>
      </c>
      <c r="L948" s="26">
        <f>IF(I948="","",(I948-G948)/G948)</f>
        <v/>
      </c>
      <c r="M948" s="26">
        <f>IF(J948="","",(J948-G948)/G948)</f>
        <v/>
      </c>
      <c r="N948" s="27">
        <f>IF(H948="","",IF(D948="HOLD",IF(ABS(K948)&lt;0.03,"YES","NO"),IF(D948="BUY",IF(K948&gt;0,"YES","NO"),IF(D948="SELL",IF(K948&lt;0,"YES","NO"),""))))</f>
        <v/>
      </c>
    </row>
    <row r="949" ht="15" customHeight="1">
      <c r="K949" s="26">
        <f>IF(H949="","",(H949-G949)/G949)</f>
        <v/>
      </c>
      <c r="L949" s="26">
        <f>IF(I949="","",(I949-G949)/G949)</f>
        <v/>
      </c>
      <c r="M949" s="26">
        <f>IF(J949="","",(J949-G949)/G949)</f>
        <v/>
      </c>
      <c r="N949" s="27">
        <f>IF(H949="","",IF(D949="HOLD",IF(ABS(K949)&lt;0.03,"YES","NO"),IF(D949="BUY",IF(K949&gt;0,"YES","NO"),IF(D949="SELL",IF(K949&lt;0,"YES","NO"),""))))</f>
        <v/>
      </c>
    </row>
    <row r="950" ht="15" customHeight="1">
      <c r="K950" s="26">
        <f>IF(H950="","",(H950-G950)/G950)</f>
        <v/>
      </c>
      <c r="L950" s="26">
        <f>IF(I950="","",(I950-G950)/G950)</f>
        <v/>
      </c>
      <c r="M950" s="26">
        <f>IF(J950="","",(J950-G950)/G950)</f>
        <v/>
      </c>
      <c r="N950" s="27">
        <f>IF(H950="","",IF(D950="HOLD",IF(ABS(K950)&lt;0.03,"YES","NO"),IF(D950="BUY",IF(K950&gt;0,"YES","NO"),IF(D950="SELL",IF(K950&lt;0,"YES","NO"),""))))</f>
        <v/>
      </c>
    </row>
    <row r="951" ht="15" customHeight="1">
      <c r="K951" s="26">
        <f>IF(H951="","",(H951-G951)/G951)</f>
        <v/>
      </c>
      <c r="L951" s="26">
        <f>IF(I951="","",(I951-G951)/G951)</f>
        <v/>
      </c>
      <c r="M951" s="26">
        <f>IF(J951="","",(J951-G951)/G951)</f>
        <v/>
      </c>
      <c r="N951" s="27">
        <f>IF(H951="","",IF(D951="HOLD",IF(ABS(K951)&lt;0.03,"YES","NO"),IF(D951="BUY",IF(K951&gt;0,"YES","NO"),IF(D951="SELL",IF(K951&lt;0,"YES","NO"),""))))</f>
        <v/>
      </c>
    </row>
    <row r="952" ht="15" customHeight="1">
      <c r="K952" s="26">
        <f>IF(H952="","",(H952-G952)/G952)</f>
        <v/>
      </c>
      <c r="L952" s="26">
        <f>IF(I952="","",(I952-G952)/G952)</f>
        <v/>
      </c>
      <c r="M952" s="26">
        <f>IF(J952="","",(J952-G952)/G952)</f>
        <v/>
      </c>
      <c r="N952" s="27">
        <f>IF(H952="","",IF(D952="HOLD",IF(ABS(K952)&lt;0.03,"YES","NO"),IF(D952="BUY",IF(K952&gt;0,"YES","NO"),IF(D952="SELL",IF(K952&lt;0,"YES","NO"),""))))</f>
        <v/>
      </c>
    </row>
    <row r="953" ht="15" customHeight="1">
      <c r="K953" s="26">
        <f>IF(H953="","",(H953-G953)/G953)</f>
        <v/>
      </c>
      <c r="L953" s="26">
        <f>IF(I953="","",(I953-G953)/G953)</f>
        <v/>
      </c>
      <c r="M953" s="26">
        <f>IF(J953="","",(J953-G953)/G953)</f>
        <v/>
      </c>
      <c r="N953" s="27">
        <f>IF(H953="","",IF(D953="HOLD",IF(ABS(K953)&lt;0.03,"YES","NO"),IF(D953="BUY",IF(K953&gt;0,"YES","NO"),IF(D953="SELL",IF(K953&lt;0,"YES","NO"),""))))</f>
        <v/>
      </c>
    </row>
    <row r="954" ht="15" customHeight="1">
      <c r="K954" s="26">
        <f>IF(H954="","",(H954-G954)/G954)</f>
        <v/>
      </c>
      <c r="L954" s="26">
        <f>IF(I954="","",(I954-G954)/G954)</f>
        <v/>
      </c>
      <c r="M954" s="26">
        <f>IF(J954="","",(J954-G954)/G954)</f>
        <v/>
      </c>
      <c r="N954" s="27">
        <f>IF(H954="","",IF(D954="HOLD",IF(ABS(K954)&lt;0.03,"YES","NO"),IF(D954="BUY",IF(K954&gt;0,"YES","NO"),IF(D954="SELL",IF(K954&lt;0,"YES","NO"),""))))</f>
        <v/>
      </c>
    </row>
    <row r="955" ht="15" customHeight="1">
      <c r="K955" s="26">
        <f>IF(H955="","",(H955-G955)/G955)</f>
        <v/>
      </c>
      <c r="L955" s="26">
        <f>IF(I955="","",(I955-G955)/G955)</f>
        <v/>
      </c>
      <c r="M955" s="26">
        <f>IF(J955="","",(J955-G955)/G955)</f>
        <v/>
      </c>
      <c r="N955" s="27">
        <f>IF(H955="","",IF(D955="HOLD",IF(ABS(K955)&lt;0.03,"YES","NO"),IF(D955="BUY",IF(K955&gt;0,"YES","NO"),IF(D955="SELL",IF(K955&lt;0,"YES","NO"),""))))</f>
        <v/>
      </c>
    </row>
    <row r="956" ht="15" customHeight="1">
      <c r="K956" s="26">
        <f>IF(H956="","",(H956-G956)/G956)</f>
        <v/>
      </c>
      <c r="L956" s="26">
        <f>IF(I956="","",(I956-G956)/G956)</f>
        <v/>
      </c>
      <c r="M956" s="26">
        <f>IF(J956="","",(J956-G956)/G956)</f>
        <v/>
      </c>
      <c r="N956" s="27">
        <f>IF(H956="","",IF(D956="HOLD",IF(ABS(K956)&lt;0.03,"YES","NO"),IF(D956="BUY",IF(K956&gt;0,"YES","NO"),IF(D956="SELL",IF(K956&lt;0,"YES","NO"),""))))</f>
        <v/>
      </c>
    </row>
    <row r="957" ht="15" customHeight="1">
      <c r="K957" s="26">
        <f>IF(H957="","",(H957-G957)/G957)</f>
        <v/>
      </c>
      <c r="L957" s="26">
        <f>IF(I957="","",(I957-G957)/G957)</f>
        <v/>
      </c>
      <c r="M957" s="26">
        <f>IF(J957="","",(J957-G957)/G957)</f>
        <v/>
      </c>
      <c r="N957" s="27">
        <f>IF(H957="","",IF(D957="HOLD",IF(ABS(K957)&lt;0.03,"YES","NO"),IF(D957="BUY",IF(K957&gt;0,"YES","NO"),IF(D957="SELL",IF(K957&lt;0,"YES","NO"),""))))</f>
        <v/>
      </c>
    </row>
    <row r="958" ht="15" customHeight="1">
      <c r="K958" s="26">
        <f>IF(H958="","",(H958-G958)/G958)</f>
        <v/>
      </c>
      <c r="L958" s="26">
        <f>IF(I958="","",(I958-G958)/G958)</f>
        <v/>
      </c>
      <c r="M958" s="26">
        <f>IF(J958="","",(J958-G958)/G958)</f>
        <v/>
      </c>
      <c r="N958" s="27">
        <f>IF(H958="","",IF(D958="HOLD",IF(ABS(K958)&lt;0.03,"YES","NO"),IF(D958="BUY",IF(K958&gt;0,"YES","NO"),IF(D958="SELL",IF(K958&lt;0,"YES","NO"),""))))</f>
        <v/>
      </c>
    </row>
    <row r="959" ht="15" customHeight="1">
      <c r="K959" s="26">
        <f>IF(H959="","",(H959-G959)/G959)</f>
        <v/>
      </c>
      <c r="L959" s="26">
        <f>IF(I959="","",(I959-G959)/G959)</f>
        <v/>
      </c>
      <c r="M959" s="26">
        <f>IF(J959="","",(J959-G959)/G959)</f>
        <v/>
      </c>
      <c r="N959" s="27">
        <f>IF(H959="","",IF(D959="HOLD",IF(ABS(K959)&lt;0.03,"YES","NO"),IF(D959="BUY",IF(K959&gt;0,"YES","NO"),IF(D959="SELL",IF(K959&lt;0,"YES","NO"),""))))</f>
        <v/>
      </c>
    </row>
    <row r="960" ht="15" customHeight="1">
      <c r="K960" s="26">
        <f>IF(H960="","",(H960-G960)/G960)</f>
        <v/>
      </c>
      <c r="L960" s="26">
        <f>IF(I960="","",(I960-G960)/G960)</f>
        <v/>
      </c>
      <c r="M960" s="26">
        <f>IF(J960="","",(J960-G960)/G960)</f>
        <v/>
      </c>
      <c r="N960" s="27">
        <f>IF(H960="","",IF(D960="HOLD",IF(ABS(K960)&lt;0.03,"YES","NO"),IF(D960="BUY",IF(K960&gt;0,"YES","NO"),IF(D960="SELL",IF(K960&lt;0,"YES","NO"),""))))</f>
        <v/>
      </c>
    </row>
    <row r="961" ht="15" customHeight="1">
      <c r="K961" s="26">
        <f>IF(H961="","",(H961-G961)/G961)</f>
        <v/>
      </c>
      <c r="L961" s="26">
        <f>IF(I961="","",(I961-G961)/G961)</f>
        <v/>
      </c>
      <c r="M961" s="26">
        <f>IF(J961="","",(J961-G961)/G961)</f>
        <v/>
      </c>
      <c r="N961" s="27">
        <f>IF(H961="","",IF(D961="HOLD",IF(ABS(K961)&lt;0.03,"YES","NO"),IF(D961="BUY",IF(K961&gt;0,"YES","NO"),IF(D961="SELL",IF(K961&lt;0,"YES","NO"),""))))</f>
        <v/>
      </c>
    </row>
    <row r="962" ht="15" customHeight="1">
      <c r="K962" s="26">
        <f>IF(H962="","",(H962-G962)/G962)</f>
        <v/>
      </c>
      <c r="L962" s="26">
        <f>IF(I962="","",(I962-G962)/G962)</f>
        <v/>
      </c>
      <c r="M962" s="26">
        <f>IF(J962="","",(J962-G962)/G962)</f>
        <v/>
      </c>
      <c r="N962" s="27">
        <f>IF(H962="","",IF(D962="HOLD",IF(ABS(K962)&lt;0.03,"YES","NO"),IF(D962="BUY",IF(K962&gt;0,"YES","NO"),IF(D962="SELL",IF(K962&lt;0,"YES","NO"),""))))</f>
        <v/>
      </c>
    </row>
    <row r="963" ht="15" customHeight="1">
      <c r="K963" s="26">
        <f>IF(H963="","",(H963-G963)/G963)</f>
        <v/>
      </c>
      <c r="L963" s="26">
        <f>IF(I963="","",(I963-G963)/G963)</f>
        <v/>
      </c>
      <c r="M963" s="26">
        <f>IF(J963="","",(J963-G963)/G963)</f>
        <v/>
      </c>
      <c r="N963" s="27">
        <f>IF(H963="","",IF(D963="HOLD",IF(ABS(K963)&lt;0.03,"YES","NO"),IF(D963="BUY",IF(K963&gt;0,"YES","NO"),IF(D963="SELL",IF(K963&lt;0,"YES","NO"),""))))</f>
        <v/>
      </c>
    </row>
    <row r="964" ht="15" customHeight="1">
      <c r="K964" s="26">
        <f>IF(H964="","",(H964-G964)/G964)</f>
        <v/>
      </c>
      <c r="L964" s="26">
        <f>IF(I964="","",(I964-G964)/G964)</f>
        <v/>
      </c>
      <c r="M964" s="26">
        <f>IF(J964="","",(J964-G964)/G964)</f>
        <v/>
      </c>
      <c r="N964" s="27">
        <f>IF(H964="","",IF(D964="HOLD",IF(ABS(K964)&lt;0.03,"YES","NO"),IF(D964="BUY",IF(K964&gt;0,"YES","NO"),IF(D964="SELL",IF(K964&lt;0,"YES","NO"),""))))</f>
        <v/>
      </c>
    </row>
    <row r="965" ht="15" customHeight="1">
      <c r="K965" s="26">
        <f>IF(H965="","",(H965-G965)/G965)</f>
        <v/>
      </c>
      <c r="L965" s="26">
        <f>IF(I965="","",(I965-G965)/G965)</f>
        <v/>
      </c>
      <c r="M965" s="26">
        <f>IF(J965="","",(J965-G965)/G965)</f>
        <v/>
      </c>
      <c r="N965" s="27">
        <f>IF(H965="","",IF(D965="HOLD",IF(ABS(K965)&lt;0.03,"YES","NO"),IF(D965="BUY",IF(K965&gt;0,"YES","NO"),IF(D965="SELL",IF(K965&lt;0,"YES","NO"),""))))</f>
        <v/>
      </c>
    </row>
    <row r="966" ht="15" customHeight="1">
      <c r="K966" s="26">
        <f>IF(H966="","",(H966-G966)/G966)</f>
        <v/>
      </c>
      <c r="L966" s="26">
        <f>IF(I966="","",(I966-G966)/G966)</f>
        <v/>
      </c>
      <c r="M966" s="26">
        <f>IF(J966="","",(J966-G966)/G966)</f>
        <v/>
      </c>
      <c r="N966" s="27">
        <f>IF(H966="","",IF(D966="HOLD",IF(ABS(K966)&lt;0.03,"YES","NO"),IF(D966="BUY",IF(K966&gt;0,"YES","NO"),IF(D966="SELL",IF(K966&lt;0,"YES","NO"),""))))</f>
        <v/>
      </c>
    </row>
    <row r="967" ht="15" customHeight="1">
      <c r="K967" s="26">
        <f>IF(H967="","",(H967-G967)/G967)</f>
        <v/>
      </c>
      <c r="L967" s="26">
        <f>IF(I967="","",(I967-G967)/G967)</f>
        <v/>
      </c>
      <c r="M967" s="26">
        <f>IF(J967="","",(J967-G967)/G967)</f>
        <v/>
      </c>
      <c r="N967" s="27">
        <f>IF(H967="","",IF(D967="HOLD",IF(ABS(K967)&lt;0.03,"YES","NO"),IF(D967="BUY",IF(K967&gt;0,"YES","NO"),IF(D967="SELL",IF(K967&lt;0,"YES","NO"),""))))</f>
        <v/>
      </c>
    </row>
    <row r="968" ht="15" customHeight="1">
      <c r="K968" s="26">
        <f>IF(H968="","",(H968-G968)/G968)</f>
        <v/>
      </c>
      <c r="L968" s="26">
        <f>IF(I968="","",(I968-G968)/G968)</f>
        <v/>
      </c>
      <c r="M968" s="26">
        <f>IF(J968="","",(J968-G968)/G968)</f>
        <v/>
      </c>
      <c r="N968" s="27">
        <f>IF(H968="","",IF(D968="HOLD",IF(ABS(K968)&lt;0.03,"YES","NO"),IF(D968="BUY",IF(K968&gt;0,"YES","NO"),IF(D968="SELL",IF(K968&lt;0,"YES","NO"),""))))</f>
        <v/>
      </c>
    </row>
    <row r="969" ht="15" customHeight="1">
      <c r="K969" s="26">
        <f>IF(H969="","",(H969-G969)/G969)</f>
        <v/>
      </c>
      <c r="L969" s="26">
        <f>IF(I969="","",(I969-G969)/G969)</f>
        <v/>
      </c>
      <c r="M969" s="26">
        <f>IF(J969="","",(J969-G969)/G969)</f>
        <v/>
      </c>
      <c r="N969" s="27">
        <f>IF(H969="","",IF(D969="HOLD",IF(ABS(K969)&lt;0.03,"YES","NO"),IF(D969="BUY",IF(K969&gt;0,"YES","NO"),IF(D969="SELL",IF(K969&lt;0,"YES","NO"),""))))</f>
        <v/>
      </c>
    </row>
    <row r="970" ht="15" customHeight="1">
      <c r="K970" s="26">
        <f>IF(H970="","",(H970-G970)/G970)</f>
        <v/>
      </c>
      <c r="L970" s="26">
        <f>IF(I970="","",(I970-G970)/G970)</f>
        <v/>
      </c>
      <c r="M970" s="26">
        <f>IF(J970="","",(J970-G970)/G970)</f>
        <v/>
      </c>
      <c r="N970" s="27">
        <f>IF(H970="","",IF(D970="HOLD",IF(ABS(K970)&lt;0.03,"YES","NO"),IF(D970="BUY",IF(K970&gt;0,"YES","NO"),IF(D970="SELL",IF(K970&lt;0,"YES","NO"),""))))</f>
        <v/>
      </c>
    </row>
    <row r="971" ht="15" customHeight="1">
      <c r="K971" s="26">
        <f>IF(H971="","",(H971-G971)/G971)</f>
        <v/>
      </c>
      <c r="L971" s="26">
        <f>IF(I971="","",(I971-G971)/G971)</f>
        <v/>
      </c>
      <c r="M971" s="26">
        <f>IF(J971="","",(J971-G971)/G971)</f>
        <v/>
      </c>
      <c r="N971" s="27">
        <f>IF(H971="","",IF(D971="HOLD",IF(ABS(K971)&lt;0.03,"YES","NO"),IF(D971="BUY",IF(K971&gt;0,"YES","NO"),IF(D971="SELL",IF(K971&lt;0,"YES","NO"),""))))</f>
        <v/>
      </c>
    </row>
    <row r="972" ht="15" customHeight="1">
      <c r="K972" s="26">
        <f>IF(H972="","",(H972-G972)/G972)</f>
        <v/>
      </c>
      <c r="L972" s="26">
        <f>IF(I972="","",(I972-G972)/G972)</f>
        <v/>
      </c>
      <c r="M972" s="26">
        <f>IF(J972="","",(J972-G972)/G972)</f>
        <v/>
      </c>
      <c r="N972" s="27">
        <f>IF(H972="","",IF(D972="HOLD",IF(ABS(K972)&lt;0.03,"YES","NO"),IF(D972="BUY",IF(K972&gt;0,"YES","NO"),IF(D972="SELL",IF(K972&lt;0,"YES","NO"),""))))</f>
        <v/>
      </c>
    </row>
    <row r="973" ht="15" customHeight="1">
      <c r="K973" s="26">
        <f>IF(H973="","",(H973-G973)/G973)</f>
        <v/>
      </c>
      <c r="L973" s="26">
        <f>IF(I973="","",(I973-G973)/G973)</f>
        <v/>
      </c>
      <c r="M973" s="26">
        <f>IF(J973="","",(J973-G973)/G973)</f>
        <v/>
      </c>
      <c r="N973" s="27">
        <f>IF(H973="","",IF(D973="HOLD",IF(ABS(K973)&lt;0.03,"YES","NO"),IF(D973="BUY",IF(K973&gt;0,"YES","NO"),IF(D973="SELL",IF(K973&lt;0,"YES","NO"),""))))</f>
        <v/>
      </c>
    </row>
    <row r="974" ht="15" customHeight="1">
      <c r="K974" s="26">
        <f>IF(H974="","",(H974-G974)/G974)</f>
        <v/>
      </c>
      <c r="L974" s="26">
        <f>IF(I974="","",(I974-G974)/G974)</f>
        <v/>
      </c>
      <c r="M974" s="26">
        <f>IF(J974="","",(J974-G974)/G974)</f>
        <v/>
      </c>
      <c r="N974" s="27">
        <f>IF(H974="","",IF(D974="HOLD",IF(ABS(K974)&lt;0.03,"YES","NO"),IF(D974="BUY",IF(K974&gt;0,"YES","NO"),IF(D974="SELL",IF(K974&lt;0,"YES","NO"),""))))</f>
        <v/>
      </c>
    </row>
    <row r="975" ht="15" customHeight="1">
      <c r="K975" s="26">
        <f>IF(H975="","",(H975-G975)/G975)</f>
        <v/>
      </c>
      <c r="L975" s="26">
        <f>IF(I975="","",(I975-G975)/G975)</f>
        <v/>
      </c>
      <c r="M975" s="26">
        <f>IF(J975="","",(J975-G975)/G975)</f>
        <v/>
      </c>
      <c r="N975" s="27">
        <f>IF(H975="","",IF(D975="HOLD",IF(ABS(K975)&lt;0.03,"YES","NO"),IF(D975="BUY",IF(K975&gt;0,"YES","NO"),IF(D975="SELL",IF(K975&lt;0,"YES","NO"),""))))</f>
        <v/>
      </c>
    </row>
    <row r="976" ht="15" customHeight="1">
      <c r="K976" s="26">
        <f>IF(H976="","",(H976-G976)/G976)</f>
        <v/>
      </c>
      <c r="L976" s="26">
        <f>IF(I976="","",(I976-G976)/G976)</f>
        <v/>
      </c>
      <c r="M976" s="26">
        <f>IF(J976="","",(J976-G976)/G976)</f>
        <v/>
      </c>
      <c r="N976" s="27">
        <f>IF(H976="","",IF(D976="HOLD",IF(ABS(K976)&lt;0.03,"YES","NO"),IF(D976="BUY",IF(K976&gt;0,"YES","NO"),IF(D976="SELL",IF(K976&lt;0,"YES","NO"),""))))</f>
        <v/>
      </c>
    </row>
    <row r="977" ht="15" customHeight="1">
      <c r="K977" s="26">
        <f>IF(H977="","",(H977-G977)/G977)</f>
        <v/>
      </c>
      <c r="L977" s="26">
        <f>IF(I977="","",(I977-G977)/G977)</f>
        <v/>
      </c>
      <c r="M977" s="26">
        <f>IF(J977="","",(J977-G977)/G977)</f>
        <v/>
      </c>
      <c r="N977" s="27">
        <f>IF(H977="","",IF(D977="HOLD",IF(ABS(K977)&lt;0.03,"YES","NO"),IF(D977="BUY",IF(K977&gt;0,"YES","NO"),IF(D977="SELL",IF(K977&lt;0,"YES","NO"),""))))</f>
        <v/>
      </c>
    </row>
    <row r="978" ht="15" customHeight="1">
      <c r="K978" s="26">
        <f>IF(H978="","",(H978-G978)/G978)</f>
        <v/>
      </c>
      <c r="L978" s="26">
        <f>IF(I978="","",(I978-G978)/G978)</f>
        <v/>
      </c>
      <c r="M978" s="26">
        <f>IF(J978="","",(J978-G978)/G978)</f>
        <v/>
      </c>
      <c r="N978" s="27">
        <f>IF(H978="","",IF(D978="HOLD",IF(ABS(K978)&lt;0.03,"YES","NO"),IF(D978="BUY",IF(K978&gt;0,"YES","NO"),IF(D978="SELL",IF(K978&lt;0,"YES","NO"),""))))</f>
        <v/>
      </c>
    </row>
    <row r="979" ht="15" customHeight="1">
      <c r="K979" s="26">
        <f>IF(H979="","",(H979-G979)/G979)</f>
        <v/>
      </c>
      <c r="L979" s="26">
        <f>IF(I979="","",(I979-G979)/G979)</f>
        <v/>
      </c>
      <c r="M979" s="26">
        <f>IF(J979="","",(J979-G979)/G979)</f>
        <v/>
      </c>
      <c r="N979" s="27">
        <f>IF(H979="","",IF(D979="HOLD",IF(ABS(K979)&lt;0.03,"YES","NO"),IF(D979="BUY",IF(K979&gt;0,"YES","NO"),IF(D979="SELL",IF(K979&lt;0,"YES","NO"),""))))</f>
        <v/>
      </c>
    </row>
    <row r="980" ht="15" customHeight="1">
      <c r="K980" s="26">
        <f>IF(H980="","",(H980-G980)/G980)</f>
        <v/>
      </c>
      <c r="L980" s="26">
        <f>IF(I980="","",(I980-G980)/G980)</f>
        <v/>
      </c>
      <c r="M980" s="26">
        <f>IF(J980="","",(J980-G980)/G980)</f>
        <v/>
      </c>
      <c r="N980" s="27">
        <f>IF(H980="","",IF(D980="HOLD",IF(ABS(K980)&lt;0.03,"YES","NO"),IF(D980="BUY",IF(K980&gt;0,"YES","NO"),IF(D980="SELL",IF(K980&lt;0,"YES","NO"),""))))</f>
        <v/>
      </c>
    </row>
    <row r="981" ht="15" customHeight="1">
      <c r="K981" s="26">
        <f>IF(H981="","",(H981-G981)/G981)</f>
        <v/>
      </c>
      <c r="L981" s="26">
        <f>IF(I981="","",(I981-G981)/G981)</f>
        <v/>
      </c>
      <c r="M981" s="26">
        <f>IF(J981="","",(J981-G981)/G981)</f>
        <v/>
      </c>
      <c r="N981" s="27">
        <f>IF(H981="","",IF(D981="HOLD",IF(ABS(K981)&lt;0.03,"YES","NO"),IF(D981="BUY",IF(K981&gt;0,"YES","NO"),IF(D981="SELL",IF(K981&lt;0,"YES","NO"),""))))</f>
        <v/>
      </c>
    </row>
    <row r="982" ht="15" customHeight="1">
      <c r="K982" s="26">
        <f>IF(H982="","",(H982-G982)/G982)</f>
        <v/>
      </c>
      <c r="L982" s="26">
        <f>IF(I982="","",(I982-G982)/G982)</f>
        <v/>
      </c>
      <c r="M982" s="26">
        <f>IF(J982="","",(J982-G982)/G982)</f>
        <v/>
      </c>
      <c r="N982" s="27">
        <f>IF(H982="","",IF(D982="HOLD",IF(ABS(K982)&lt;0.03,"YES","NO"),IF(D982="BUY",IF(K982&gt;0,"YES","NO"),IF(D982="SELL",IF(K982&lt;0,"YES","NO"),""))))</f>
        <v/>
      </c>
    </row>
    <row r="983" ht="15" customHeight="1">
      <c r="K983" s="26">
        <f>IF(H983="","",(H983-G983)/G983)</f>
        <v/>
      </c>
      <c r="L983" s="26">
        <f>IF(I983="","",(I983-G983)/G983)</f>
        <v/>
      </c>
      <c r="M983" s="26">
        <f>IF(J983="","",(J983-G983)/G983)</f>
        <v/>
      </c>
      <c r="N983" s="27">
        <f>IF(H983="","",IF(D983="HOLD",IF(ABS(K983)&lt;0.03,"YES","NO"),IF(D983="BUY",IF(K983&gt;0,"YES","NO"),IF(D983="SELL",IF(K983&lt;0,"YES","NO"),""))))</f>
        <v/>
      </c>
    </row>
    <row r="984" ht="15" customHeight="1">
      <c r="K984" s="26">
        <f>IF(H984="","",(H984-G984)/G984)</f>
        <v/>
      </c>
      <c r="L984" s="26">
        <f>IF(I984="","",(I984-G984)/G984)</f>
        <v/>
      </c>
      <c r="M984" s="26">
        <f>IF(J984="","",(J984-G984)/G984)</f>
        <v/>
      </c>
      <c r="N984" s="27">
        <f>IF(H984="","",IF(D984="HOLD",IF(ABS(K984)&lt;0.03,"YES","NO"),IF(D984="BUY",IF(K984&gt;0,"YES","NO"),IF(D984="SELL",IF(K984&lt;0,"YES","NO"),""))))</f>
        <v/>
      </c>
    </row>
    <row r="985" ht="15" customHeight="1">
      <c r="K985" s="26">
        <f>IF(H985="","",(H985-G985)/G985)</f>
        <v/>
      </c>
      <c r="L985" s="26">
        <f>IF(I985="","",(I985-G985)/G985)</f>
        <v/>
      </c>
      <c r="M985" s="26">
        <f>IF(J985="","",(J985-G985)/G985)</f>
        <v/>
      </c>
      <c r="N985" s="27">
        <f>IF(H985="","",IF(D985="HOLD",IF(ABS(K985)&lt;0.03,"YES","NO"),IF(D985="BUY",IF(K985&gt;0,"YES","NO"),IF(D985="SELL",IF(K985&lt;0,"YES","NO"),""))))</f>
        <v/>
      </c>
    </row>
    <row r="986" ht="15" customHeight="1">
      <c r="K986" s="26">
        <f>IF(H986="","",(H986-G986)/G986)</f>
        <v/>
      </c>
      <c r="L986" s="26">
        <f>IF(I986="","",(I986-G986)/G986)</f>
        <v/>
      </c>
      <c r="M986" s="26">
        <f>IF(J986="","",(J986-G986)/G986)</f>
        <v/>
      </c>
      <c r="N986" s="27">
        <f>IF(H986="","",IF(D986="HOLD",IF(ABS(K986)&lt;0.03,"YES","NO"),IF(D986="BUY",IF(K986&gt;0,"YES","NO"),IF(D986="SELL",IF(K986&lt;0,"YES","NO"),""))))</f>
        <v/>
      </c>
    </row>
    <row r="987" ht="15" customHeight="1">
      <c r="K987" s="26">
        <f>IF(H987="","",(H987-G987)/G987)</f>
        <v/>
      </c>
      <c r="L987" s="26">
        <f>IF(I987="","",(I987-G987)/G987)</f>
        <v/>
      </c>
      <c r="M987" s="26">
        <f>IF(J987="","",(J987-G987)/G987)</f>
        <v/>
      </c>
      <c r="N987" s="27">
        <f>IF(H987="","",IF(D987="HOLD",IF(ABS(K987)&lt;0.03,"YES","NO"),IF(D987="BUY",IF(K987&gt;0,"YES","NO"),IF(D987="SELL",IF(K987&lt;0,"YES","NO"),""))))</f>
        <v/>
      </c>
    </row>
    <row r="988" ht="15" customHeight="1">
      <c r="K988" s="26">
        <f>IF(H988="","",(H988-G988)/G988)</f>
        <v/>
      </c>
      <c r="L988" s="26">
        <f>IF(I988="","",(I988-G988)/G988)</f>
        <v/>
      </c>
      <c r="M988" s="26">
        <f>IF(J988="","",(J988-G988)/G988)</f>
        <v/>
      </c>
      <c r="N988" s="27">
        <f>IF(H988="","",IF(D988="HOLD",IF(ABS(K988)&lt;0.03,"YES","NO"),IF(D988="BUY",IF(K988&gt;0,"YES","NO"),IF(D988="SELL",IF(K988&lt;0,"YES","NO"),""))))</f>
        <v/>
      </c>
    </row>
    <row r="989" ht="15" customHeight="1">
      <c r="K989" s="26">
        <f>IF(H989="","",(H989-G989)/G989)</f>
        <v/>
      </c>
      <c r="L989" s="26">
        <f>IF(I989="","",(I989-G989)/G989)</f>
        <v/>
      </c>
      <c r="M989" s="26">
        <f>IF(J989="","",(J989-G989)/G989)</f>
        <v/>
      </c>
      <c r="N989" s="27">
        <f>IF(H989="","",IF(D989="HOLD",IF(ABS(K989)&lt;0.03,"YES","NO"),IF(D989="BUY",IF(K989&gt;0,"YES","NO"),IF(D989="SELL",IF(K989&lt;0,"YES","NO"),""))))</f>
        <v/>
      </c>
    </row>
    <row r="990" ht="15" customHeight="1">
      <c r="K990" s="26">
        <f>IF(H990="","",(H990-G990)/G990)</f>
        <v/>
      </c>
      <c r="L990" s="26">
        <f>IF(I990="","",(I990-G990)/G990)</f>
        <v/>
      </c>
      <c r="M990" s="26">
        <f>IF(J990="","",(J990-G990)/G990)</f>
        <v/>
      </c>
      <c r="N990" s="27">
        <f>IF(H990="","",IF(D990="HOLD",IF(ABS(K990)&lt;0.03,"YES","NO"),IF(D990="BUY",IF(K990&gt;0,"YES","NO"),IF(D990="SELL",IF(K990&lt;0,"YES","NO"),""))))</f>
        <v/>
      </c>
    </row>
    <row r="991" ht="15" customHeight="1">
      <c r="K991" s="26">
        <f>IF(H991="","",(H991-G991)/G991)</f>
        <v/>
      </c>
      <c r="L991" s="26">
        <f>IF(I991="","",(I991-G991)/G991)</f>
        <v/>
      </c>
      <c r="M991" s="26">
        <f>IF(J991="","",(J991-G991)/G991)</f>
        <v/>
      </c>
      <c r="N991" s="27">
        <f>IF(H991="","",IF(D991="HOLD",IF(ABS(K991)&lt;0.03,"YES","NO"),IF(D991="BUY",IF(K991&gt;0,"YES","NO"),IF(D991="SELL",IF(K991&lt;0,"YES","NO"),""))))</f>
        <v/>
      </c>
    </row>
    <row r="992" ht="15" customHeight="1">
      <c r="K992" s="26">
        <f>IF(H992="","",(H992-G992)/G992)</f>
        <v/>
      </c>
      <c r="L992" s="26">
        <f>IF(I992="","",(I992-G992)/G992)</f>
        <v/>
      </c>
      <c r="M992" s="26">
        <f>IF(J992="","",(J992-G992)/G992)</f>
        <v/>
      </c>
      <c r="N992" s="27">
        <f>IF(H992="","",IF(D992="HOLD",IF(ABS(K992)&lt;0.03,"YES","NO"),IF(D992="BUY",IF(K992&gt;0,"YES","NO"),IF(D992="SELL",IF(K992&lt;0,"YES","NO"),""))))</f>
        <v/>
      </c>
    </row>
    <row r="993" ht="15" customHeight="1">
      <c r="K993" s="26">
        <f>IF(H993="","",(H993-G993)/G993)</f>
        <v/>
      </c>
      <c r="L993" s="26">
        <f>IF(I993="","",(I993-G993)/G993)</f>
        <v/>
      </c>
      <c r="M993" s="26">
        <f>IF(J993="","",(J993-G993)/G993)</f>
        <v/>
      </c>
      <c r="N993" s="27">
        <f>IF(H993="","",IF(D993="HOLD",IF(ABS(K993)&lt;0.03,"YES","NO"),IF(D993="BUY",IF(K993&gt;0,"YES","NO"),IF(D993="SELL",IF(K993&lt;0,"YES","NO"),""))))</f>
        <v/>
      </c>
    </row>
    <row r="994" ht="15" customHeight="1">
      <c r="K994" s="26">
        <f>IF(H994="","",(H994-G994)/G994)</f>
        <v/>
      </c>
      <c r="L994" s="26">
        <f>IF(I994="","",(I994-G994)/G994)</f>
        <v/>
      </c>
      <c r="M994" s="26">
        <f>IF(J994="","",(J994-G994)/G994)</f>
        <v/>
      </c>
      <c r="N994" s="27">
        <f>IF(H994="","",IF(D994="HOLD",IF(ABS(K994)&lt;0.03,"YES","NO"),IF(D994="BUY",IF(K994&gt;0,"YES","NO"),IF(D994="SELL",IF(K994&lt;0,"YES","NO"),""))))</f>
        <v/>
      </c>
    </row>
    <row r="995" ht="15" customHeight="1">
      <c r="K995" s="26">
        <f>IF(H995="","",(H995-G995)/G995)</f>
        <v/>
      </c>
      <c r="L995" s="26">
        <f>IF(I995="","",(I995-G995)/G995)</f>
        <v/>
      </c>
      <c r="M995" s="26">
        <f>IF(J995="","",(J995-G995)/G995)</f>
        <v/>
      </c>
      <c r="N995" s="27">
        <f>IF(H995="","",IF(D995="HOLD",IF(ABS(K995)&lt;0.03,"YES","NO"),IF(D995="BUY",IF(K995&gt;0,"YES","NO"),IF(D995="SELL",IF(K995&lt;0,"YES","NO"),""))))</f>
        <v/>
      </c>
    </row>
    <row r="996" ht="15" customHeight="1">
      <c r="K996" s="26">
        <f>IF(H996="","",(H996-G996)/G996)</f>
        <v/>
      </c>
      <c r="L996" s="26">
        <f>IF(I996="","",(I996-G996)/G996)</f>
        <v/>
      </c>
      <c r="M996" s="26">
        <f>IF(J996="","",(J996-G996)/G996)</f>
        <v/>
      </c>
      <c r="N996" s="27">
        <f>IF(H996="","",IF(D996="HOLD",IF(ABS(K996)&lt;0.03,"YES","NO"),IF(D996="BUY",IF(K996&gt;0,"YES","NO"),IF(D996="SELL",IF(K996&lt;0,"YES","NO"),""))))</f>
        <v/>
      </c>
    </row>
    <row r="997" ht="15" customHeight="1">
      <c r="K997" s="26">
        <f>IF(H997="","",(H997-G997)/G997)</f>
        <v/>
      </c>
      <c r="L997" s="26">
        <f>IF(I997="","",(I997-G997)/G997)</f>
        <v/>
      </c>
      <c r="M997" s="26">
        <f>IF(J997="","",(J997-G997)/G997)</f>
        <v/>
      </c>
      <c r="N997" s="27">
        <f>IF(H997="","",IF(D997="HOLD",IF(ABS(K997)&lt;0.03,"YES","NO"),IF(D997="BUY",IF(K997&gt;0,"YES","NO"),IF(D997="SELL",IF(K997&lt;0,"YES","NO"),""))))</f>
        <v/>
      </c>
    </row>
    <row r="998" ht="15" customHeight="1">
      <c r="K998" s="26">
        <f>IF(H998="","",(H998-G998)/G998)</f>
        <v/>
      </c>
      <c r="L998" s="26">
        <f>IF(I998="","",(I998-G998)/G998)</f>
        <v/>
      </c>
      <c r="M998" s="26">
        <f>IF(J998="","",(J998-G998)/G998)</f>
        <v/>
      </c>
      <c r="N998" s="27">
        <f>IF(H998="","",IF(D998="HOLD",IF(ABS(K998)&lt;0.03,"YES","NO"),IF(D998="BUY",IF(K998&gt;0,"YES","NO"),IF(D998="SELL",IF(K998&lt;0,"YES","NO"),""))))</f>
        <v/>
      </c>
    </row>
    <row r="999" ht="15" customHeight="1">
      <c r="K999" s="26">
        <f>IF(H999="","",(H999-G999)/G999)</f>
        <v/>
      </c>
      <c r="L999" s="26">
        <f>IF(I999="","",(I999-G999)/G999)</f>
        <v/>
      </c>
      <c r="M999" s="26">
        <f>IF(J999="","",(J999-G999)/G999)</f>
        <v/>
      </c>
      <c r="N999" s="27">
        <f>IF(H999="","",IF(D999="HOLD",IF(ABS(K999)&lt;0.03,"YES","NO"),IF(D999="BUY",IF(K999&gt;0,"YES","NO"),IF(D999="SELL",IF(K999&lt;0,"YES","NO"),""))))</f>
        <v/>
      </c>
    </row>
    <row r="1000" ht="15" customHeight="1">
      <c r="K1000" s="26">
        <f>IF(H1000="","",(H1000-G1000)/G1000)</f>
        <v/>
      </c>
      <c r="L1000" s="26">
        <f>IF(I1000="","",(I1000-G1000)/G1000)</f>
        <v/>
      </c>
      <c r="M1000" s="26">
        <f>IF(J1000="","",(J1000-G1000)/G1000)</f>
        <v/>
      </c>
      <c r="N1000" s="27">
        <f>IF(H1000="","",IF(D1000="HOLD",IF(ABS(K1000)&lt;0.03,"YES","NO"),IF(D1000="BUY",IF(K1000&gt;0,"YES","NO"),IF(D1000="SELL",IF(K1000&lt;0,"YES","NO"),""))))</f>
        <v/>
      </c>
    </row>
    <row r="1001" ht="15" customHeight="1">
      <c r="K1001" s="26">
        <f>IF(H1001="","",(H1001-G1001)/G1001)</f>
        <v/>
      </c>
      <c r="L1001" s="26">
        <f>IF(I1001="","",(I1001-G1001)/G1001)</f>
        <v/>
      </c>
      <c r="M1001" s="26">
        <f>IF(J1001="","",(J1001-G1001)/G1001)</f>
        <v/>
      </c>
      <c r="N1001" s="27">
        <f>IF(H1001="","",IF(D1001="HOLD",IF(ABS(K1001)&lt;0.03,"YES","NO"),IF(D1001="BUY",IF(K1001&gt;0,"YES","NO"),IF(D1001="SELL",IF(K1001&lt;0,"YES","NO"),""))))</f>
        <v/>
      </c>
    </row>
    <row r="1002" ht="15" customHeight="1">
      <c r="K1002" s="26">
        <f>IF(H1002="","",(H1002-G1002)/G1002)</f>
        <v/>
      </c>
      <c r="L1002" s="26">
        <f>IF(I1002="","",(I1002-G1002)/G1002)</f>
        <v/>
      </c>
      <c r="M1002" s="26">
        <f>IF(J1002="","",(J1002-G1002)/G1002)</f>
        <v/>
      </c>
      <c r="N1002" s="27">
        <f>IF(H1002="","",IF(D1002="HOLD",IF(ABS(K1002)&lt;0.03,"YES","NO"),IF(D1002="BUY",IF(K1002&gt;0,"YES","NO"),IF(D1002="SELL",IF(K1002&lt;0,"YES","NO"),""))))</f>
        <v/>
      </c>
    </row>
    <row r="1003" ht="15" customHeight="1">
      <c r="K1003" s="26">
        <f>IF(H1003="","",(H1003-G1003)/G1003)</f>
        <v/>
      </c>
      <c r="L1003" s="26">
        <f>IF(I1003="","",(I1003-G1003)/G1003)</f>
        <v/>
      </c>
      <c r="M1003" s="26">
        <f>IF(J1003="","",(J1003-G1003)/G1003)</f>
        <v/>
      </c>
      <c r="N1003" s="27">
        <f>IF(H1003="","",IF(D1003="HOLD",IF(ABS(K1003)&lt;0.03,"YES","NO"),IF(D1003="BUY",IF(K1003&gt;0,"YES","NO"),IF(D1003="SELL",IF(K1003&lt;0,"YES","NO"),""))))</f>
        <v/>
      </c>
    </row>
    <row r="1004" ht="15" customHeight="1">
      <c r="K1004" s="26">
        <f>IF(H1004="","",(H1004-G1004)/G1004)</f>
        <v/>
      </c>
      <c r="L1004" s="26">
        <f>IF(I1004="","",(I1004-G1004)/G1004)</f>
        <v/>
      </c>
      <c r="M1004" s="26">
        <f>IF(J1004="","",(J1004-G1004)/G1004)</f>
        <v/>
      </c>
      <c r="N1004" s="27">
        <f>IF(H1004="","",IF(D1004="HOLD",IF(ABS(K1004)&lt;0.03,"YES","NO"),IF(D1004="BUY",IF(K1004&gt;0,"YES","NO"),IF(D1004="SELL",IF(K1004&lt;0,"YES","NO"),""))))</f>
        <v/>
      </c>
    </row>
    <row r="1005" ht="15" customHeight="1">
      <c r="K1005" s="26">
        <f>IF(H1005="","",(H1005-G1005)/G1005)</f>
        <v/>
      </c>
      <c r="L1005" s="26">
        <f>IF(I1005="","",(I1005-G1005)/G1005)</f>
        <v/>
      </c>
      <c r="M1005" s="26">
        <f>IF(J1005="","",(J1005-G1005)/G1005)</f>
        <v/>
      </c>
      <c r="N1005" s="27">
        <f>IF(H1005="","",IF(D1005="HOLD",IF(ABS(K1005)&lt;0.03,"YES","NO"),IF(D1005="BUY",IF(K1005&gt;0,"YES","NO"),IF(D1005="SELL",IF(K1005&lt;0,"YES","NO"),""))))</f>
        <v/>
      </c>
    </row>
    <row r="1006" ht="15" customHeight="1">
      <c r="K1006" s="26">
        <f>IF(H1006="","",(H1006-G1006)/G1006)</f>
        <v/>
      </c>
      <c r="L1006" s="26">
        <f>IF(I1006="","",(I1006-G1006)/G1006)</f>
        <v/>
      </c>
      <c r="M1006" s="26">
        <f>IF(J1006="","",(J1006-G1006)/G1006)</f>
        <v/>
      </c>
      <c r="N1006" s="27">
        <f>IF(H1006="","",IF(D1006="HOLD",IF(ABS(K1006)&lt;0.03,"YES","NO"),IF(D1006="BUY",IF(K1006&gt;0,"YES","NO"),IF(D1006="SELL",IF(K1006&lt;0,"YES","NO"),""))))</f>
        <v/>
      </c>
    </row>
    <row r="1007" ht="15" customHeight="1">
      <c r="K1007" s="26">
        <f>IF(H1007="","",(H1007-G1007)/G1007)</f>
        <v/>
      </c>
      <c r="L1007" s="26">
        <f>IF(I1007="","",(I1007-G1007)/G1007)</f>
        <v/>
      </c>
      <c r="M1007" s="26">
        <f>IF(J1007="","",(J1007-G1007)/G1007)</f>
        <v/>
      </c>
      <c r="N1007" s="27">
        <f>IF(H1007="","",IF(D1007="HOLD",IF(ABS(K1007)&lt;0.03,"YES","NO"),IF(D1007="BUY",IF(K1007&gt;0,"YES","NO"),IF(D1007="SELL",IF(K1007&lt;0,"YES","NO"),""))))</f>
        <v/>
      </c>
    </row>
    <row r="1008" ht="15" customHeight="1">
      <c r="K1008" s="26">
        <f>IF(H1008="","",(H1008-G1008)/G1008)</f>
        <v/>
      </c>
      <c r="L1008" s="26">
        <f>IF(I1008="","",(I1008-G1008)/G1008)</f>
        <v/>
      </c>
      <c r="M1008" s="26">
        <f>IF(J1008="","",(J1008-G1008)/G1008)</f>
        <v/>
      </c>
      <c r="N1008" s="27">
        <f>IF(H1008="","",IF(D1008="HOLD",IF(ABS(K1008)&lt;0.03,"YES","NO"),IF(D1008="BUY",IF(K1008&gt;0,"YES","NO"),IF(D1008="SELL",IF(K1008&lt;0,"YES","NO"),""))))</f>
        <v/>
      </c>
    </row>
    <row r="1009" ht="15" customHeight="1">
      <c r="K1009" s="26">
        <f>IF(H1009="","",(H1009-G1009)/G1009)</f>
        <v/>
      </c>
      <c r="L1009" s="26">
        <f>IF(I1009="","",(I1009-G1009)/G1009)</f>
        <v/>
      </c>
      <c r="M1009" s="26">
        <f>IF(J1009="","",(J1009-G1009)/G1009)</f>
        <v/>
      </c>
      <c r="N1009" s="27">
        <f>IF(H1009="","",IF(D1009="HOLD",IF(ABS(K1009)&lt;0.03,"YES","NO"),IF(D1009="BUY",IF(K1009&gt;0,"YES","NO"),IF(D1009="SELL",IF(K1009&lt;0,"YES","NO"),""))))</f>
        <v/>
      </c>
    </row>
    <row r="1010" ht="15" customHeight="1">
      <c r="K1010" s="26">
        <f>IF(H1010="","",(H1010-G1010)/G1010)</f>
        <v/>
      </c>
      <c r="L1010" s="26">
        <f>IF(I1010="","",(I1010-G1010)/G1010)</f>
        <v/>
      </c>
      <c r="M1010" s="26">
        <f>IF(J1010="","",(J1010-G1010)/G1010)</f>
        <v/>
      </c>
      <c r="N1010" s="27">
        <f>IF(H1010="","",IF(D1010="HOLD",IF(ABS(K1010)&lt;0.03,"YES","NO"),IF(D1010="BUY",IF(K1010&gt;0,"YES","NO"),IF(D1010="SELL",IF(K1010&lt;0,"YES","NO"),""))))</f>
        <v/>
      </c>
    </row>
    <row r="1011" ht="15" customHeight="1">
      <c r="K1011" s="26">
        <f>IF(H1011="","",(H1011-G1011)/G1011)</f>
        <v/>
      </c>
      <c r="L1011" s="26">
        <f>IF(I1011="","",(I1011-G1011)/G1011)</f>
        <v/>
      </c>
      <c r="M1011" s="26">
        <f>IF(J1011="","",(J1011-G1011)/G1011)</f>
        <v/>
      </c>
      <c r="N1011" s="27">
        <f>IF(H1011="","",IF(D1011="HOLD",IF(ABS(K1011)&lt;0.03,"YES","NO"),IF(D1011="BUY",IF(K1011&gt;0,"YES","NO"),IF(D1011="SELL",IF(K1011&lt;0,"YES","NO"),""))))</f>
        <v/>
      </c>
    </row>
    <row r="1012" ht="15" customHeight="1">
      <c r="K1012" s="26">
        <f>IF(H1012="","",(H1012-G1012)/G1012)</f>
        <v/>
      </c>
      <c r="L1012" s="26">
        <f>IF(I1012="","",(I1012-G1012)/G1012)</f>
        <v/>
      </c>
      <c r="M1012" s="26">
        <f>IF(J1012="","",(J1012-G1012)/G1012)</f>
        <v/>
      </c>
      <c r="N1012" s="27">
        <f>IF(H1012="","",IF(D1012="HOLD",IF(ABS(K1012)&lt;0.03,"YES","NO"),IF(D1012="BUY",IF(K1012&gt;0,"YES","NO"),IF(D1012="SELL",IF(K1012&lt;0,"YES","NO"),""))))</f>
        <v/>
      </c>
    </row>
    <row r="1013" ht="15" customHeight="1">
      <c r="K1013" s="26">
        <f>IF(H1013="","",(H1013-G1013)/G1013)</f>
        <v/>
      </c>
      <c r="L1013" s="26">
        <f>IF(I1013="","",(I1013-G1013)/G1013)</f>
        <v/>
      </c>
      <c r="M1013" s="26">
        <f>IF(J1013="","",(J1013-G1013)/G1013)</f>
        <v/>
      </c>
      <c r="N1013" s="27">
        <f>IF(H1013="","",IF(D1013="HOLD",IF(ABS(K1013)&lt;0.03,"YES","NO"),IF(D1013="BUY",IF(K1013&gt;0,"YES","NO"),IF(D1013="SELL",IF(K1013&lt;0,"YES","NO"),""))))</f>
        <v/>
      </c>
    </row>
    <row r="1014" ht="15" customHeight="1">
      <c r="K1014" s="26">
        <f>IF(H1014="","",(H1014-G1014)/G1014)</f>
        <v/>
      </c>
      <c r="L1014" s="26">
        <f>IF(I1014="","",(I1014-G1014)/G1014)</f>
        <v/>
      </c>
      <c r="M1014" s="26">
        <f>IF(J1014="","",(J1014-G1014)/G1014)</f>
        <v/>
      </c>
      <c r="N1014" s="27">
        <f>IF(H1014="","",IF(D1014="HOLD",IF(ABS(K1014)&lt;0.03,"YES","NO"),IF(D1014="BUY",IF(K1014&gt;0,"YES","NO"),IF(D1014="SELL",IF(K1014&lt;0,"YES","NO"),""))))</f>
        <v/>
      </c>
    </row>
    <row r="1015" ht="15" customHeight="1">
      <c r="K1015" s="26">
        <f>IF(H1015="","",(H1015-G1015)/G1015)</f>
        <v/>
      </c>
      <c r="L1015" s="26">
        <f>IF(I1015="","",(I1015-G1015)/G1015)</f>
        <v/>
      </c>
      <c r="M1015" s="26">
        <f>IF(J1015="","",(J1015-G1015)/G1015)</f>
        <v/>
      </c>
      <c r="N1015" s="27">
        <f>IF(H1015="","",IF(D1015="HOLD",IF(ABS(K1015)&lt;0.03,"YES","NO"),IF(D1015="BUY",IF(K1015&gt;0,"YES","NO"),IF(D1015="SELL",IF(K1015&lt;0,"YES","NO"),""))))</f>
        <v/>
      </c>
    </row>
    <row r="1016" ht="15" customHeight="1">
      <c r="K1016" s="26">
        <f>IF(H1016="","",(H1016-G1016)/G1016)</f>
        <v/>
      </c>
      <c r="L1016" s="26">
        <f>IF(I1016="","",(I1016-G1016)/G1016)</f>
        <v/>
      </c>
      <c r="M1016" s="26">
        <f>IF(J1016="","",(J1016-G1016)/G1016)</f>
        <v/>
      </c>
      <c r="N1016" s="27">
        <f>IF(H1016="","",IF(D1016="HOLD",IF(ABS(K1016)&lt;0.03,"YES","NO"),IF(D1016="BUY",IF(K1016&gt;0,"YES","NO"),IF(D1016="SELL",IF(K1016&lt;0,"YES","NO"),""))))</f>
        <v/>
      </c>
    </row>
    <row r="1017" ht="15" customHeight="1">
      <c r="K1017" s="26">
        <f>IF(H1017="","",(H1017-G1017)/G1017)</f>
        <v/>
      </c>
      <c r="L1017" s="26">
        <f>IF(I1017="","",(I1017-G1017)/G1017)</f>
        <v/>
      </c>
      <c r="M1017" s="26">
        <f>IF(J1017="","",(J1017-G1017)/G1017)</f>
        <v/>
      </c>
      <c r="N1017" s="27">
        <f>IF(H1017="","",IF(D1017="HOLD",IF(ABS(K1017)&lt;0.03,"YES","NO"),IF(D1017="BUY",IF(K1017&gt;0,"YES","NO"),IF(D1017="SELL",IF(K1017&lt;0,"YES","NO"),""))))</f>
        <v/>
      </c>
    </row>
    <row r="1018" ht="15" customHeight="1">
      <c r="K1018" s="26">
        <f>IF(H1018="","",(H1018-G1018)/G1018)</f>
        <v/>
      </c>
      <c r="L1018" s="26">
        <f>IF(I1018="","",(I1018-G1018)/G1018)</f>
        <v/>
      </c>
      <c r="M1018" s="26">
        <f>IF(J1018="","",(J1018-G1018)/G1018)</f>
        <v/>
      </c>
      <c r="N1018" s="27">
        <f>IF(H1018="","",IF(D1018="HOLD",IF(ABS(K1018)&lt;0.03,"YES","NO"),IF(D1018="BUY",IF(K1018&gt;0,"YES","NO"),IF(D1018="SELL",IF(K1018&lt;0,"YES","NO"),""))))</f>
        <v/>
      </c>
    </row>
    <row r="1019" ht="15" customHeight="1">
      <c r="K1019" s="26">
        <f>IF(H1019="","",(H1019-G1019)/G1019)</f>
        <v/>
      </c>
      <c r="L1019" s="26">
        <f>IF(I1019="","",(I1019-G1019)/G1019)</f>
        <v/>
      </c>
      <c r="M1019" s="26">
        <f>IF(J1019="","",(J1019-G1019)/G1019)</f>
        <v/>
      </c>
      <c r="N1019" s="27">
        <f>IF(H1019="","",IF(D1019="HOLD",IF(ABS(K1019)&lt;0.03,"YES","NO"),IF(D1019="BUY",IF(K1019&gt;0,"YES","NO"),IF(D1019="SELL",IF(K1019&lt;0,"YES","NO"),""))))</f>
        <v/>
      </c>
    </row>
    <row r="1020" ht="15" customHeight="1">
      <c r="K1020" s="26">
        <f>IF(H1020="","",(H1020-G1020)/G1020)</f>
        <v/>
      </c>
      <c r="L1020" s="26">
        <f>IF(I1020="","",(I1020-G1020)/G1020)</f>
        <v/>
      </c>
      <c r="M1020" s="26">
        <f>IF(J1020="","",(J1020-G1020)/G1020)</f>
        <v/>
      </c>
      <c r="N1020" s="27">
        <f>IF(H1020="","",IF(D1020="HOLD",IF(ABS(K1020)&lt;0.03,"YES","NO"),IF(D1020="BUY",IF(K1020&gt;0,"YES","NO"),IF(D1020="SELL",IF(K1020&lt;0,"YES","NO"),""))))</f>
        <v/>
      </c>
    </row>
    <row r="1021" ht="15" customHeight="1">
      <c r="K1021" s="26">
        <f>IF(H1021="","",(H1021-G1021)/G1021)</f>
        <v/>
      </c>
      <c r="L1021" s="26">
        <f>IF(I1021="","",(I1021-G1021)/G1021)</f>
        <v/>
      </c>
      <c r="M1021" s="26">
        <f>IF(J1021="","",(J1021-G1021)/G1021)</f>
        <v/>
      </c>
      <c r="N1021" s="27">
        <f>IF(H1021="","",IF(D1021="HOLD",IF(ABS(K1021)&lt;0.03,"YES","NO"),IF(D1021="BUY",IF(K1021&gt;0,"YES","NO"),IF(D1021="SELL",IF(K1021&lt;0,"YES","NO"),""))))</f>
        <v/>
      </c>
    </row>
    <row r="1022" ht="15" customHeight="1">
      <c r="K1022" s="26">
        <f>IF(H1022="","",(H1022-G1022)/G1022)</f>
        <v/>
      </c>
      <c r="L1022" s="26">
        <f>IF(I1022="","",(I1022-G1022)/G1022)</f>
        <v/>
      </c>
      <c r="M1022" s="26">
        <f>IF(J1022="","",(J1022-G1022)/G1022)</f>
        <v/>
      </c>
      <c r="N1022" s="27">
        <f>IF(H1022="","",IF(D1022="HOLD",IF(ABS(K1022)&lt;0.03,"YES","NO"),IF(D1022="BUY",IF(K1022&gt;0,"YES","NO"),IF(D1022="SELL",IF(K1022&lt;0,"YES","NO"),""))))</f>
        <v/>
      </c>
    </row>
    <row r="1023" ht="15" customHeight="1">
      <c r="K1023" s="26">
        <f>IF(H1023="","",(H1023-G1023)/G1023)</f>
        <v/>
      </c>
      <c r="L1023" s="26">
        <f>IF(I1023="","",(I1023-G1023)/G1023)</f>
        <v/>
      </c>
      <c r="M1023" s="26">
        <f>IF(J1023="","",(J1023-G1023)/G1023)</f>
        <v/>
      </c>
      <c r="N1023" s="27">
        <f>IF(H1023="","",IF(D1023="HOLD",IF(ABS(K1023)&lt;0.03,"YES","NO"),IF(D1023="BUY",IF(K1023&gt;0,"YES","NO"),IF(D1023="SELL",IF(K1023&lt;0,"YES","NO"),""))))</f>
        <v/>
      </c>
    </row>
    <row r="1024" ht="15" customHeight="1">
      <c r="K1024" s="26">
        <f>IF(H1024="","",(H1024-G1024)/G1024)</f>
        <v/>
      </c>
      <c r="L1024" s="26">
        <f>IF(I1024="","",(I1024-G1024)/G1024)</f>
        <v/>
      </c>
      <c r="M1024" s="26">
        <f>IF(J1024="","",(J1024-G1024)/G1024)</f>
        <v/>
      </c>
      <c r="N1024" s="27">
        <f>IF(H1024="","",IF(D1024="HOLD",IF(ABS(K1024)&lt;0.03,"YES","NO"),IF(D1024="BUY",IF(K1024&gt;0,"YES","NO"),IF(D1024="SELL",IF(K1024&lt;0,"YES","NO"),""))))</f>
        <v/>
      </c>
    </row>
    <row r="1025" ht="15" customHeight="1">
      <c r="K1025" s="26">
        <f>IF(H1025="","",(H1025-G1025)/G1025)</f>
        <v/>
      </c>
      <c r="L1025" s="26">
        <f>IF(I1025="","",(I1025-G1025)/G1025)</f>
        <v/>
      </c>
      <c r="M1025" s="26">
        <f>IF(J1025="","",(J1025-G1025)/G1025)</f>
        <v/>
      </c>
      <c r="N1025" s="27">
        <f>IF(H1025="","",IF(D1025="HOLD",IF(ABS(K1025)&lt;0.03,"YES","NO"),IF(D1025="BUY",IF(K1025&gt;0,"YES","NO"),IF(D1025="SELL",IF(K1025&lt;0,"YES","NO"),""))))</f>
        <v/>
      </c>
    </row>
    <row r="1026" ht="15" customHeight="1">
      <c r="K1026" s="26">
        <f>IF(H1026="","",(H1026-G1026)/G1026)</f>
        <v/>
      </c>
      <c r="L1026" s="26">
        <f>IF(I1026="","",(I1026-G1026)/G1026)</f>
        <v/>
      </c>
      <c r="M1026" s="26">
        <f>IF(J1026="","",(J1026-G1026)/G1026)</f>
        <v/>
      </c>
      <c r="N1026" s="27">
        <f>IF(H1026="","",IF(D1026="HOLD",IF(ABS(K1026)&lt;0.03,"YES","NO"),IF(D1026="BUY",IF(K1026&gt;0,"YES","NO"),IF(D1026="SELL",IF(K1026&lt;0,"YES","NO"),""))))</f>
        <v/>
      </c>
    </row>
    <row r="1027" ht="15" customHeight="1">
      <c r="K1027" s="26">
        <f>IF(H1027="","",(H1027-G1027)/G1027)</f>
        <v/>
      </c>
      <c r="L1027" s="26">
        <f>IF(I1027="","",(I1027-G1027)/G1027)</f>
        <v/>
      </c>
      <c r="M1027" s="26">
        <f>IF(J1027="","",(J1027-G1027)/G1027)</f>
        <v/>
      </c>
      <c r="N1027" s="27">
        <f>IF(H1027="","",IF(D1027="HOLD",IF(ABS(K1027)&lt;0.03,"YES","NO"),IF(D1027="BUY",IF(K1027&gt;0,"YES","NO"),IF(D1027="SELL",IF(K1027&lt;0,"YES","NO"),""))))</f>
        <v/>
      </c>
    </row>
    <row r="1028" ht="15" customHeight="1">
      <c r="K1028" s="26">
        <f>IF(H1028="","",(H1028-G1028)/G1028)</f>
        <v/>
      </c>
      <c r="L1028" s="26">
        <f>IF(I1028="","",(I1028-G1028)/G1028)</f>
        <v/>
      </c>
      <c r="M1028" s="26">
        <f>IF(J1028="","",(J1028-G1028)/G1028)</f>
        <v/>
      </c>
      <c r="N1028" s="27">
        <f>IF(H1028="","",IF(D1028="HOLD",IF(ABS(K1028)&lt;0.03,"YES","NO"),IF(D1028="BUY",IF(K1028&gt;0,"YES","NO"),IF(D1028="SELL",IF(K1028&lt;0,"YES","NO"),""))))</f>
        <v/>
      </c>
    </row>
    <row r="1029" ht="15" customHeight="1">
      <c r="K1029" s="26">
        <f>IF(H1029="","",(H1029-G1029)/G1029)</f>
        <v/>
      </c>
      <c r="L1029" s="26">
        <f>IF(I1029="","",(I1029-G1029)/G1029)</f>
        <v/>
      </c>
      <c r="M1029" s="26">
        <f>IF(J1029="","",(J1029-G1029)/G1029)</f>
        <v/>
      </c>
      <c r="N1029" s="27">
        <f>IF(H1029="","",IF(D1029="HOLD",IF(ABS(K1029)&lt;0.03,"YES","NO"),IF(D1029="BUY",IF(K1029&gt;0,"YES","NO"),IF(D1029="SELL",IF(K1029&lt;0,"YES","NO"),""))))</f>
        <v/>
      </c>
    </row>
    <row r="1030" ht="15" customHeight="1">
      <c r="K1030" s="26">
        <f>IF(H1030="","",(H1030-G1030)/G1030)</f>
        <v/>
      </c>
      <c r="L1030" s="26">
        <f>IF(I1030="","",(I1030-G1030)/G1030)</f>
        <v/>
      </c>
      <c r="M1030" s="26">
        <f>IF(J1030="","",(J1030-G1030)/G1030)</f>
        <v/>
      </c>
      <c r="N1030" s="27">
        <f>IF(H1030="","",IF(D1030="HOLD",IF(ABS(K1030)&lt;0.03,"YES","NO"),IF(D1030="BUY",IF(K1030&gt;0,"YES","NO"),IF(D1030="SELL",IF(K1030&lt;0,"YES","NO"),""))))</f>
        <v/>
      </c>
    </row>
    <row r="1031" ht="15" customHeight="1">
      <c r="K1031" s="26">
        <f>IF(H1031="","",(H1031-G1031)/G1031)</f>
        <v/>
      </c>
      <c r="L1031" s="26">
        <f>IF(I1031="","",(I1031-G1031)/G1031)</f>
        <v/>
      </c>
      <c r="M1031" s="26">
        <f>IF(J1031="","",(J1031-G1031)/G1031)</f>
        <v/>
      </c>
      <c r="N1031" s="27">
        <f>IF(H1031="","",IF(D1031="HOLD",IF(ABS(K1031)&lt;0.03,"YES","NO"),IF(D1031="BUY",IF(K1031&gt;0,"YES","NO"),IF(D1031="SELL",IF(K1031&lt;0,"YES","NO"),""))))</f>
        <v/>
      </c>
    </row>
    <row r="1032" ht="15" customHeight="1">
      <c r="K1032" s="26">
        <f>IF(H1032="","",(H1032-G1032)/G1032)</f>
        <v/>
      </c>
      <c r="L1032" s="26">
        <f>IF(I1032="","",(I1032-G1032)/G1032)</f>
        <v/>
      </c>
      <c r="M1032" s="26">
        <f>IF(J1032="","",(J1032-G1032)/G1032)</f>
        <v/>
      </c>
      <c r="N1032" s="27">
        <f>IF(H1032="","",IF(D1032="HOLD",IF(ABS(K1032)&lt;0.03,"YES","NO"),IF(D1032="BUY",IF(K1032&gt;0,"YES","NO"),IF(D1032="SELL",IF(K1032&lt;0,"YES","NO"),""))))</f>
        <v/>
      </c>
    </row>
    <row r="1033" ht="15" customHeight="1">
      <c r="K1033" s="26">
        <f>IF(H1033="","",(H1033-G1033)/G1033)</f>
        <v/>
      </c>
      <c r="L1033" s="26">
        <f>IF(I1033="","",(I1033-G1033)/G1033)</f>
        <v/>
      </c>
      <c r="M1033" s="26">
        <f>IF(J1033="","",(J1033-G1033)/G1033)</f>
        <v/>
      </c>
      <c r="N1033" s="27">
        <f>IF(H1033="","",IF(D1033="HOLD",IF(ABS(K1033)&lt;0.03,"YES","NO"),IF(D1033="BUY",IF(K1033&gt;0,"YES","NO"),IF(D1033="SELL",IF(K1033&lt;0,"YES","NO"),""))))</f>
        <v/>
      </c>
    </row>
    <row r="1034" ht="15" customHeight="1">
      <c r="K1034" s="26">
        <f>IF(H1034="","",(H1034-G1034)/G1034)</f>
        <v/>
      </c>
      <c r="L1034" s="26">
        <f>IF(I1034="","",(I1034-G1034)/G1034)</f>
        <v/>
      </c>
      <c r="M1034" s="26">
        <f>IF(J1034="","",(J1034-G1034)/G1034)</f>
        <v/>
      </c>
      <c r="N1034" s="27">
        <f>IF(H1034="","",IF(D1034="HOLD",IF(ABS(K1034)&lt;0.03,"YES","NO"),IF(D1034="BUY",IF(K1034&gt;0,"YES","NO"),IF(D1034="SELL",IF(K1034&lt;0,"YES","NO"),""))))</f>
        <v/>
      </c>
    </row>
    <row r="1035" ht="15" customHeight="1">
      <c r="K1035" s="26">
        <f>IF(H1035="","",(H1035-G1035)/G1035)</f>
        <v/>
      </c>
      <c r="L1035" s="26">
        <f>IF(I1035="","",(I1035-G1035)/G1035)</f>
        <v/>
      </c>
      <c r="M1035" s="26">
        <f>IF(J1035="","",(J1035-G1035)/G1035)</f>
        <v/>
      </c>
      <c r="N1035" s="27">
        <f>IF(H1035="","",IF(D1035="HOLD",IF(ABS(K1035)&lt;0.03,"YES","NO"),IF(D1035="BUY",IF(K1035&gt;0,"YES","NO"),IF(D1035="SELL",IF(K1035&lt;0,"YES","NO"),""))))</f>
        <v/>
      </c>
    </row>
    <row r="1036" ht="15" customHeight="1">
      <c r="K1036" s="26">
        <f>IF(H1036="","",(H1036-G1036)/G1036)</f>
        <v/>
      </c>
      <c r="L1036" s="26">
        <f>IF(I1036="","",(I1036-G1036)/G1036)</f>
        <v/>
      </c>
      <c r="M1036" s="26">
        <f>IF(J1036="","",(J1036-G1036)/G1036)</f>
        <v/>
      </c>
      <c r="N1036" s="27">
        <f>IF(H1036="","",IF(D1036="HOLD",IF(ABS(K1036)&lt;0.03,"YES","NO"),IF(D1036="BUY",IF(K1036&gt;0,"YES","NO"),IF(D1036="SELL",IF(K1036&lt;0,"YES","NO"),""))))</f>
        <v/>
      </c>
    </row>
    <row r="1037" ht="15" customHeight="1">
      <c r="K1037" s="26">
        <f>IF(H1037="","",(H1037-G1037)/G1037)</f>
        <v/>
      </c>
      <c r="L1037" s="26">
        <f>IF(I1037="","",(I1037-G1037)/G1037)</f>
        <v/>
      </c>
      <c r="M1037" s="26">
        <f>IF(J1037="","",(J1037-G1037)/G1037)</f>
        <v/>
      </c>
      <c r="N1037" s="27">
        <f>IF(H1037="","",IF(D1037="HOLD",IF(ABS(K1037)&lt;0.03,"YES","NO"),IF(D1037="BUY",IF(K1037&gt;0,"YES","NO"),IF(D1037="SELL",IF(K1037&lt;0,"YES","NO"),""))))</f>
        <v/>
      </c>
    </row>
    <row r="1038" ht="15" customHeight="1">
      <c r="K1038" s="26">
        <f>IF(H1038="","",(H1038-G1038)/G1038)</f>
        <v/>
      </c>
      <c r="L1038" s="26">
        <f>IF(I1038="","",(I1038-G1038)/G1038)</f>
        <v/>
      </c>
      <c r="M1038" s="26">
        <f>IF(J1038="","",(J1038-G1038)/G1038)</f>
        <v/>
      </c>
      <c r="N1038" s="27">
        <f>IF(H1038="","",IF(D1038="HOLD",IF(ABS(K1038)&lt;0.03,"YES","NO"),IF(D1038="BUY",IF(K1038&gt;0,"YES","NO"),IF(D1038="SELL",IF(K1038&lt;0,"YES","NO"),""))))</f>
        <v/>
      </c>
    </row>
    <row r="1039" ht="15" customHeight="1">
      <c r="K1039" s="26">
        <f>IF(H1039="","",(H1039-G1039)/G1039)</f>
        <v/>
      </c>
      <c r="L1039" s="26">
        <f>IF(I1039="","",(I1039-G1039)/G1039)</f>
        <v/>
      </c>
      <c r="M1039" s="26">
        <f>IF(J1039="","",(J1039-G1039)/G1039)</f>
        <v/>
      </c>
      <c r="N1039" s="27">
        <f>IF(H1039="","",IF(D1039="HOLD",IF(ABS(K1039)&lt;0.03,"YES","NO"),IF(D1039="BUY",IF(K1039&gt;0,"YES","NO"),IF(D1039="SELL",IF(K1039&lt;0,"YES","NO"),""))))</f>
        <v/>
      </c>
    </row>
    <row r="1040" ht="15" customHeight="1">
      <c r="K1040" s="26">
        <f>IF(H1040="","",(H1040-G1040)/G1040)</f>
        <v/>
      </c>
      <c r="L1040" s="26">
        <f>IF(I1040="","",(I1040-G1040)/G1040)</f>
        <v/>
      </c>
      <c r="M1040" s="26">
        <f>IF(J1040="","",(J1040-G1040)/G1040)</f>
        <v/>
      </c>
      <c r="N1040" s="27">
        <f>IF(H1040="","",IF(D1040="HOLD",IF(ABS(K1040)&lt;0.03,"YES","NO"),IF(D1040="BUY",IF(K1040&gt;0,"YES","NO"),IF(D1040="SELL",IF(K1040&lt;0,"YES","NO"),""))))</f>
        <v/>
      </c>
    </row>
    <row r="1041" ht="15" customHeight="1">
      <c r="K1041" s="26">
        <f>IF(H1041="","",(H1041-G1041)/G1041)</f>
        <v/>
      </c>
      <c r="L1041" s="26">
        <f>IF(I1041="","",(I1041-G1041)/G1041)</f>
        <v/>
      </c>
      <c r="M1041" s="26">
        <f>IF(J1041="","",(J1041-G1041)/G1041)</f>
        <v/>
      </c>
      <c r="N1041" s="27">
        <f>IF(H1041="","",IF(D1041="HOLD",IF(ABS(K1041)&lt;0.03,"YES","NO"),IF(D1041="BUY",IF(K1041&gt;0,"YES","NO"),IF(D1041="SELL",IF(K1041&lt;0,"YES","NO"),""))))</f>
        <v/>
      </c>
    </row>
    <row r="1042" ht="15" customHeight="1">
      <c r="K1042" s="26">
        <f>IF(H1042="","",(H1042-G1042)/G1042)</f>
        <v/>
      </c>
      <c r="L1042" s="26">
        <f>IF(I1042="","",(I1042-G1042)/G1042)</f>
        <v/>
      </c>
      <c r="M1042" s="26">
        <f>IF(J1042="","",(J1042-G1042)/G1042)</f>
        <v/>
      </c>
      <c r="N1042" s="27">
        <f>IF(H1042="","",IF(D1042="HOLD",IF(ABS(K1042)&lt;0.03,"YES","NO"),IF(D1042="BUY",IF(K1042&gt;0,"YES","NO"),IF(D1042="SELL",IF(K1042&lt;0,"YES","NO"),""))))</f>
        <v/>
      </c>
    </row>
    <row r="1043" ht="15" customHeight="1">
      <c r="K1043" s="26">
        <f>IF(H1043="","",(H1043-G1043)/G1043)</f>
        <v/>
      </c>
      <c r="L1043" s="26">
        <f>IF(I1043="","",(I1043-G1043)/G1043)</f>
        <v/>
      </c>
      <c r="M1043" s="26">
        <f>IF(J1043="","",(J1043-G1043)/G1043)</f>
        <v/>
      </c>
      <c r="N1043" s="27">
        <f>IF(H1043="","",IF(D1043="HOLD",IF(ABS(K1043)&lt;0.03,"YES","NO"),IF(D1043="BUY",IF(K1043&gt;0,"YES","NO"),IF(D1043="SELL",IF(K1043&lt;0,"YES","NO"),""))))</f>
        <v/>
      </c>
    </row>
    <row r="1044" ht="15" customHeight="1">
      <c r="K1044" s="26">
        <f>IF(H1044="","",(H1044-G1044)/G1044)</f>
        <v/>
      </c>
      <c r="L1044" s="26">
        <f>IF(I1044="","",(I1044-G1044)/G1044)</f>
        <v/>
      </c>
      <c r="M1044" s="26">
        <f>IF(J1044="","",(J1044-G1044)/G1044)</f>
        <v/>
      </c>
      <c r="N1044" s="27">
        <f>IF(H1044="","",IF(D1044="HOLD",IF(ABS(K1044)&lt;0.03,"YES","NO"),IF(D1044="BUY",IF(K1044&gt;0,"YES","NO"),IF(D1044="SELL",IF(K1044&lt;0,"YES","NO"),""))))</f>
        <v/>
      </c>
    </row>
    <row r="1045" ht="15" customHeight="1">
      <c r="K1045" s="26">
        <f>IF(H1045="","",(H1045-G1045)/G1045)</f>
        <v/>
      </c>
      <c r="L1045" s="26">
        <f>IF(I1045="","",(I1045-G1045)/G1045)</f>
        <v/>
      </c>
      <c r="M1045" s="26">
        <f>IF(J1045="","",(J1045-G1045)/G1045)</f>
        <v/>
      </c>
      <c r="N1045" s="27">
        <f>IF(H1045="","",IF(D1045="HOLD",IF(ABS(K1045)&lt;0.03,"YES","NO"),IF(D1045="BUY",IF(K1045&gt;0,"YES","NO"),IF(D1045="SELL",IF(K1045&lt;0,"YES","NO"),""))))</f>
        <v/>
      </c>
    </row>
    <row r="1046" ht="15" customHeight="1">
      <c r="K1046" s="26">
        <f>IF(H1046="","",(H1046-G1046)/G1046)</f>
        <v/>
      </c>
      <c r="L1046" s="26">
        <f>IF(I1046="","",(I1046-G1046)/G1046)</f>
        <v/>
      </c>
      <c r="M1046" s="26">
        <f>IF(J1046="","",(J1046-G1046)/G1046)</f>
        <v/>
      </c>
      <c r="N1046" s="27">
        <f>IF(H1046="","",IF(D1046="HOLD",IF(ABS(K1046)&lt;0.03,"YES","NO"),IF(D1046="BUY",IF(K1046&gt;0,"YES","NO"),IF(D1046="SELL",IF(K1046&lt;0,"YES","NO"),""))))</f>
        <v/>
      </c>
    </row>
    <row r="1047" ht="15" customHeight="1">
      <c r="K1047" s="26">
        <f>IF(H1047="","",(H1047-G1047)/G1047)</f>
        <v/>
      </c>
      <c r="L1047" s="26">
        <f>IF(I1047="","",(I1047-G1047)/G1047)</f>
        <v/>
      </c>
      <c r="M1047" s="26">
        <f>IF(J1047="","",(J1047-G1047)/G1047)</f>
        <v/>
      </c>
      <c r="N1047" s="27">
        <f>IF(H1047="","",IF(D1047="HOLD",IF(ABS(K1047)&lt;0.03,"YES","NO"),IF(D1047="BUY",IF(K1047&gt;0,"YES","NO"),IF(D1047="SELL",IF(K1047&lt;0,"YES","NO"),""))))</f>
        <v/>
      </c>
    </row>
    <row r="1048" ht="15" customHeight="1">
      <c r="K1048" s="26">
        <f>IF(H1048="","",(H1048-G1048)/G1048)</f>
        <v/>
      </c>
      <c r="L1048" s="26">
        <f>IF(I1048="","",(I1048-G1048)/G1048)</f>
        <v/>
      </c>
      <c r="M1048" s="26">
        <f>IF(J1048="","",(J1048-G1048)/G1048)</f>
        <v/>
      </c>
      <c r="N1048" s="27">
        <f>IF(H1048="","",IF(D1048="HOLD",IF(ABS(K1048)&lt;0.03,"YES","NO"),IF(D1048="BUY",IF(K1048&gt;0,"YES","NO"),IF(D1048="SELL",IF(K1048&lt;0,"YES","NO"),""))))</f>
        <v/>
      </c>
    </row>
    <row r="1049" ht="15" customHeight="1">
      <c r="K1049" s="26">
        <f>IF(H1049="","",(H1049-G1049)/G1049)</f>
        <v/>
      </c>
      <c r="L1049" s="26">
        <f>IF(I1049="","",(I1049-G1049)/G1049)</f>
        <v/>
      </c>
      <c r="M1049" s="26">
        <f>IF(J1049="","",(J1049-G1049)/G1049)</f>
        <v/>
      </c>
      <c r="N1049" s="27">
        <f>IF(H1049="","",IF(D1049="HOLD",IF(ABS(K1049)&lt;0.03,"YES","NO"),IF(D1049="BUY",IF(K1049&gt;0,"YES","NO"),IF(D1049="SELL",IF(K1049&lt;0,"YES","NO"),""))))</f>
        <v/>
      </c>
    </row>
    <row r="1050" ht="15" customHeight="1">
      <c r="K1050" s="26">
        <f>IF(H1050="","",(H1050-G1050)/G1050)</f>
        <v/>
      </c>
      <c r="L1050" s="26">
        <f>IF(I1050="","",(I1050-G1050)/G1050)</f>
        <v/>
      </c>
      <c r="M1050" s="26">
        <f>IF(J1050="","",(J1050-G1050)/G1050)</f>
        <v/>
      </c>
      <c r="N1050" s="27">
        <f>IF(H1050="","",IF(D1050="HOLD",IF(ABS(K1050)&lt;0.03,"YES","NO"),IF(D1050="BUY",IF(K1050&gt;0,"YES","NO"),IF(D1050="SELL",IF(K1050&lt;0,"YES","NO"),""))))</f>
        <v/>
      </c>
    </row>
    <row r="1051" ht="15" customHeight="1">
      <c r="K1051" s="26">
        <f>IF(H1051="","",(H1051-G1051)/G1051)</f>
        <v/>
      </c>
      <c r="L1051" s="26">
        <f>IF(I1051="","",(I1051-G1051)/G1051)</f>
        <v/>
      </c>
      <c r="M1051" s="26">
        <f>IF(J1051="","",(J1051-G1051)/G1051)</f>
        <v/>
      </c>
      <c r="N1051" s="27">
        <f>IF(H1051="","",IF(D1051="HOLD",IF(ABS(K1051)&lt;0.03,"YES","NO"),IF(D1051="BUY",IF(K1051&gt;0,"YES","NO"),IF(D1051="SELL",IF(K1051&lt;0,"YES","NO"),""))))</f>
        <v/>
      </c>
    </row>
    <row r="1052" ht="15" customHeight="1">
      <c r="K1052" s="26">
        <f>IF(H1052="","",(H1052-G1052)/G1052)</f>
        <v/>
      </c>
      <c r="L1052" s="26">
        <f>IF(I1052="","",(I1052-G1052)/G1052)</f>
        <v/>
      </c>
      <c r="M1052" s="26">
        <f>IF(J1052="","",(J1052-G1052)/G1052)</f>
        <v/>
      </c>
      <c r="N1052" s="27">
        <f>IF(H1052="","",IF(D1052="HOLD",IF(ABS(K1052)&lt;0.03,"YES","NO"),IF(D1052="BUY",IF(K1052&gt;0,"YES","NO"),IF(D1052="SELL",IF(K1052&lt;0,"YES","NO"),""))))</f>
        <v/>
      </c>
    </row>
    <row r="1053" ht="15" customHeight="1">
      <c r="K1053" s="26">
        <f>IF(H1053="","",(H1053-G1053)/G1053)</f>
        <v/>
      </c>
      <c r="L1053" s="26">
        <f>IF(I1053="","",(I1053-G1053)/G1053)</f>
        <v/>
      </c>
      <c r="M1053" s="26">
        <f>IF(J1053="","",(J1053-G1053)/G1053)</f>
        <v/>
      </c>
      <c r="N1053" s="27">
        <f>IF(H1053="","",IF(D1053="HOLD",IF(ABS(K1053)&lt;0.03,"YES","NO"),IF(D1053="BUY",IF(K1053&gt;0,"YES","NO"),IF(D1053="SELL",IF(K1053&lt;0,"YES","NO"),""))))</f>
        <v/>
      </c>
    </row>
    <row r="1054" ht="15" customHeight="1">
      <c r="K1054" s="26">
        <f>IF(H1054="","",(H1054-G1054)/G1054)</f>
        <v/>
      </c>
      <c r="L1054" s="26">
        <f>IF(I1054="","",(I1054-G1054)/G1054)</f>
        <v/>
      </c>
      <c r="M1054" s="26">
        <f>IF(J1054="","",(J1054-G1054)/G1054)</f>
        <v/>
      </c>
      <c r="N1054" s="27">
        <f>IF(H1054="","",IF(D1054="HOLD",IF(ABS(K1054)&lt;0.03,"YES","NO"),IF(D1054="BUY",IF(K1054&gt;0,"YES","NO"),IF(D1054="SELL",IF(K1054&lt;0,"YES","NO"),""))))</f>
        <v/>
      </c>
    </row>
    <row r="1055" ht="15" customHeight="1">
      <c r="K1055" s="26">
        <f>IF(H1055="","",(H1055-G1055)/G1055)</f>
        <v/>
      </c>
      <c r="L1055" s="26">
        <f>IF(I1055="","",(I1055-G1055)/G1055)</f>
        <v/>
      </c>
      <c r="M1055" s="26">
        <f>IF(J1055="","",(J1055-G1055)/G1055)</f>
        <v/>
      </c>
      <c r="N1055" s="27">
        <f>IF(H1055="","",IF(D1055="HOLD",IF(ABS(K1055)&lt;0.03,"YES","NO"),IF(D1055="BUY",IF(K1055&gt;0,"YES","NO"),IF(D1055="SELL",IF(K1055&lt;0,"YES","NO"),""))))</f>
        <v/>
      </c>
    </row>
    <row r="1056" ht="15" customHeight="1">
      <c r="K1056" s="26">
        <f>IF(H1056="","",(H1056-G1056)/G1056)</f>
        <v/>
      </c>
      <c r="L1056" s="26">
        <f>IF(I1056="","",(I1056-G1056)/G1056)</f>
        <v/>
      </c>
      <c r="M1056" s="26">
        <f>IF(J1056="","",(J1056-G1056)/G1056)</f>
        <v/>
      </c>
      <c r="N1056" s="27">
        <f>IF(H1056="","",IF(D1056="HOLD",IF(ABS(K1056)&lt;0.03,"YES","NO"),IF(D1056="BUY",IF(K1056&gt;0,"YES","NO"),IF(D1056="SELL",IF(K1056&lt;0,"YES","NO"),""))))</f>
        <v/>
      </c>
    </row>
    <row r="1057" ht="15" customHeight="1">
      <c r="K1057" s="26">
        <f>IF(H1057="","",(H1057-G1057)/G1057)</f>
        <v/>
      </c>
      <c r="L1057" s="26">
        <f>IF(I1057="","",(I1057-G1057)/G1057)</f>
        <v/>
      </c>
      <c r="M1057" s="26">
        <f>IF(J1057="","",(J1057-G1057)/G1057)</f>
        <v/>
      </c>
      <c r="N1057" s="27">
        <f>IF(H1057="","",IF(D1057="HOLD",IF(ABS(K1057)&lt;0.03,"YES","NO"),IF(D1057="BUY",IF(K1057&gt;0,"YES","NO"),IF(D1057="SELL",IF(K1057&lt;0,"YES","NO"),""))))</f>
        <v/>
      </c>
    </row>
    <row r="1058" ht="15" customHeight="1">
      <c r="K1058" s="26">
        <f>IF(H1058="","",(H1058-G1058)/G1058)</f>
        <v/>
      </c>
      <c r="L1058" s="26">
        <f>IF(I1058="","",(I1058-G1058)/G1058)</f>
        <v/>
      </c>
      <c r="M1058" s="26">
        <f>IF(J1058="","",(J1058-G1058)/G1058)</f>
        <v/>
      </c>
      <c r="N1058" s="27">
        <f>IF(H1058="","",IF(D1058="HOLD",IF(ABS(K1058)&lt;0.03,"YES","NO"),IF(D1058="BUY",IF(K1058&gt;0,"YES","NO"),IF(D1058="SELL",IF(K1058&lt;0,"YES","NO"),""))))</f>
        <v/>
      </c>
    </row>
    <row r="1059" ht="15" customHeight="1">
      <c r="K1059" s="26">
        <f>IF(H1059="","",(H1059-G1059)/G1059)</f>
        <v/>
      </c>
      <c r="L1059" s="26">
        <f>IF(I1059="","",(I1059-G1059)/G1059)</f>
        <v/>
      </c>
      <c r="M1059" s="26">
        <f>IF(J1059="","",(J1059-G1059)/G1059)</f>
        <v/>
      </c>
      <c r="N1059" s="27">
        <f>IF(H1059="","",IF(D1059="HOLD",IF(ABS(K1059)&lt;0.03,"YES","NO"),IF(D1059="BUY",IF(K1059&gt;0,"YES","NO"),IF(D1059="SELL",IF(K1059&lt;0,"YES","NO"),""))))</f>
        <v/>
      </c>
    </row>
    <row r="1060" ht="15" customHeight="1">
      <c r="K1060" s="26">
        <f>IF(H1060="","",(H1060-G1060)/G1060)</f>
        <v/>
      </c>
      <c r="L1060" s="26">
        <f>IF(I1060="","",(I1060-G1060)/G1060)</f>
        <v/>
      </c>
      <c r="M1060" s="26">
        <f>IF(J1060="","",(J1060-G1060)/G1060)</f>
        <v/>
      </c>
      <c r="N1060" s="27">
        <f>IF(H1060="","",IF(D1060="HOLD",IF(ABS(K1060)&lt;0.03,"YES","NO"),IF(D1060="BUY",IF(K1060&gt;0,"YES","NO"),IF(D1060="SELL",IF(K1060&lt;0,"YES","NO"),""))))</f>
        <v/>
      </c>
    </row>
    <row r="1061" ht="15" customHeight="1">
      <c r="K1061" s="26">
        <f>IF(H1061="","",(H1061-G1061)/G1061)</f>
        <v/>
      </c>
      <c r="L1061" s="26">
        <f>IF(I1061="","",(I1061-G1061)/G1061)</f>
        <v/>
      </c>
      <c r="M1061" s="26">
        <f>IF(J1061="","",(J1061-G1061)/G1061)</f>
        <v/>
      </c>
      <c r="N1061" s="27">
        <f>IF(H1061="","",IF(D1061="HOLD",IF(ABS(K1061)&lt;0.03,"YES","NO"),IF(D1061="BUY",IF(K1061&gt;0,"YES","NO"),IF(D1061="SELL",IF(K1061&lt;0,"YES","NO"),""))))</f>
        <v/>
      </c>
    </row>
    <row r="1062" ht="15" customHeight="1">
      <c r="K1062" s="26">
        <f>IF(H1062="","",(H1062-G1062)/G1062)</f>
        <v/>
      </c>
      <c r="L1062" s="26">
        <f>IF(I1062="","",(I1062-G1062)/G1062)</f>
        <v/>
      </c>
      <c r="M1062" s="26">
        <f>IF(J1062="","",(J1062-G1062)/G1062)</f>
        <v/>
      </c>
      <c r="N1062" s="27">
        <f>IF(H1062="","",IF(D1062="HOLD",IF(ABS(K1062)&lt;0.03,"YES","NO"),IF(D1062="BUY",IF(K1062&gt;0,"YES","NO"),IF(D1062="SELL",IF(K1062&lt;0,"YES","NO"),""))))</f>
        <v/>
      </c>
    </row>
    <row r="1063" ht="15" customHeight="1">
      <c r="K1063" s="26">
        <f>IF(H1063="","",(H1063-G1063)/G1063)</f>
        <v/>
      </c>
      <c r="L1063" s="26">
        <f>IF(I1063="","",(I1063-G1063)/G1063)</f>
        <v/>
      </c>
      <c r="M1063" s="26">
        <f>IF(J1063="","",(J1063-G1063)/G1063)</f>
        <v/>
      </c>
      <c r="N1063" s="27">
        <f>IF(H1063="","",IF(D1063="HOLD",IF(ABS(K1063)&lt;0.03,"YES","NO"),IF(D1063="BUY",IF(K1063&gt;0,"YES","NO"),IF(D1063="SELL",IF(K1063&lt;0,"YES","NO"),""))))</f>
        <v/>
      </c>
    </row>
    <row r="1064" ht="15" customHeight="1">
      <c r="K1064" s="26">
        <f>IF(H1064="","",(H1064-G1064)/G1064)</f>
        <v/>
      </c>
      <c r="L1064" s="26">
        <f>IF(I1064="","",(I1064-G1064)/G1064)</f>
        <v/>
      </c>
      <c r="M1064" s="26">
        <f>IF(J1064="","",(J1064-G1064)/G1064)</f>
        <v/>
      </c>
      <c r="N1064" s="27">
        <f>IF(H1064="","",IF(D1064="HOLD",IF(ABS(K1064)&lt;0.03,"YES","NO"),IF(D1064="BUY",IF(K1064&gt;0,"YES","NO"),IF(D1064="SELL",IF(K1064&lt;0,"YES","NO"),""))))</f>
        <v/>
      </c>
    </row>
    <row r="1065" ht="15" customHeight="1">
      <c r="K1065" s="26">
        <f>IF(H1065="","",(H1065-G1065)/G1065)</f>
        <v/>
      </c>
      <c r="L1065" s="26">
        <f>IF(I1065="","",(I1065-G1065)/G1065)</f>
        <v/>
      </c>
      <c r="M1065" s="26">
        <f>IF(J1065="","",(J1065-G1065)/G1065)</f>
        <v/>
      </c>
      <c r="N1065" s="27">
        <f>IF(H1065="","",IF(D1065="HOLD",IF(ABS(K1065)&lt;0.03,"YES","NO"),IF(D1065="BUY",IF(K1065&gt;0,"YES","NO"),IF(D1065="SELL",IF(K1065&lt;0,"YES","NO"),""))))</f>
        <v/>
      </c>
    </row>
    <row r="1066" ht="15" customHeight="1">
      <c r="K1066" s="26">
        <f>IF(H1066="","",(H1066-G1066)/G1066)</f>
        <v/>
      </c>
      <c r="L1066" s="26">
        <f>IF(I1066="","",(I1066-G1066)/G1066)</f>
        <v/>
      </c>
      <c r="M1066" s="26">
        <f>IF(J1066="","",(J1066-G1066)/G1066)</f>
        <v/>
      </c>
      <c r="N1066" s="27">
        <f>IF(H1066="","",IF(D1066="HOLD",IF(ABS(K1066)&lt;0.03,"YES","NO"),IF(D1066="BUY",IF(K1066&gt;0,"YES","NO"),IF(D1066="SELL",IF(K1066&lt;0,"YES","NO"),""))))</f>
        <v/>
      </c>
    </row>
    <row r="1067" ht="15" customHeight="1">
      <c r="K1067" s="26">
        <f>IF(H1067="","",(H1067-G1067)/G1067)</f>
        <v/>
      </c>
      <c r="L1067" s="26">
        <f>IF(I1067="","",(I1067-G1067)/G1067)</f>
        <v/>
      </c>
      <c r="M1067" s="26">
        <f>IF(J1067="","",(J1067-G1067)/G1067)</f>
        <v/>
      </c>
      <c r="N1067" s="27">
        <f>IF(H1067="","",IF(D1067="HOLD",IF(ABS(K1067)&lt;0.03,"YES","NO"),IF(D1067="BUY",IF(K1067&gt;0,"YES","NO"),IF(D1067="SELL",IF(K1067&lt;0,"YES","NO"),""))))</f>
        <v/>
      </c>
    </row>
    <row r="1068" ht="15" customHeight="1">
      <c r="K1068" s="26">
        <f>IF(H1068="","",(H1068-G1068)/G1068)</f>
        <v/>
      </c>
      <c r="L1068" s="26">
        <f>IF(I1068="","",(I1068-G1068)/G1068)</f>
        <v/>
      </c>
      <c r="M1068" s="26">
        <f>IF(J1068="","",(J1068-G1068)/G1068)</f>
        <v/>
      </c>
      <c r="N1068" s="27">
        <f>IF(H1068="","",IF(D1068="HOLD",IF(ABS(K1068)&lt;0.03,"YES","NO"),IF(D1068="BUY",IF(K1068&gt;0,"YES","NO"),IF(D1068="SELL",IF(K1068&lt;0,"YES","NO"),""))))</f>
        <v/>
      </c>
    </row>
    <row r="1069" ht="15" customHeight="1">
      <c r="K1069" s="26">
        <f>IF(H1069="","",(H1069-G1069)/G1069)</f>
        <v/>
      </c>
      <c r="L1069" s="26">
        <f>IF(I1069="","",(I1069-G1069)/G1069)</f>
        <v/>
      </c>
      <c r="M1069" s="26">
        <f>IF(J1069="","",(J1069-G1069)/G1069)</f>
        <v/>
      </c>
      <c r="N1069" s="27">
        <f>IF(H1069="","",IF(D1069="HOLD",IF(ABS(K1069)&lt;0.03,"YES","NO"),IF(D1069="BUY",IF(K1069&gt;0,"YES","NO"),IF(D1069="SELL",IF(K1069&lt;0,"YES","NO"),""))))</f>
        <v/>
      </c>
    </row>
    <row r="1070" ht="15" customHeight="1">
      <c r="K1070" s="26">
        <f>IF(H1070="","",(H1070-G1070)/G1070)</f>
        <v/>
      </c>
      <c r="L1070" s="26">
        <f>IF(I1070="","",(I1070-G1070)/G1070)</f>
        <v/>
      </c>
      <c r="M1070" s="26">
        <f>IF(J1070="","",(J1070-G1070)/G1070)</f>
        <v/>
      </c>
      <c r="N1070" s="27">
        <f>IF(H1070="","",IF(D1070="HOLD",IF(ABS(K1070)&lt;0.03,"YES","NO"),IF(D1070="BUY",IF(K1070&gt;0,"YES","NO"),IF(D1070="SELL",IF(K1070&lt;0,"YES","NO"),""))))</f>
        <v/>
      </c>
    </row>
    <row r="1071" ht="15" customHeight="1">
      <c r="K1071" s="26">
        <f>IF(H1071="","",(H1071-G1071)/G1071)</f>
        <v/>
      </c>
      <c r="L1071" s="26">
        <f>IF(I1071="","",(I1071-G1071)/G1071)</f>
        <v/>
      </c>
      <c r="M1071" s="26">
        <f>IF(J1071="","",(J1071-G1071)/G1071)</f>
        <v/>
      </c>
      <c r="N1071" s="27">
        <f>IF(H1071="","",IF(D1071="HOLD",IF(ABS(K1071)&lt;0.03,"YES","NO"),IF(D1071="BUY",IF(K1071&gt;0,"YES","NO"),IF(D1071="SELL",IF(K1071&lt;0,"YES","NO"),""))))</f>
        <v/>
      </c>
    </row>
    <row r="1072" ht="15" customHeight="1">
      <c r="K1072" s="26">
        <f>IF(H1072="","",(H1072-G1072)/G1072)</f>
        <v/>
      </c>
      <c r="L1072" s="26">
        <f>IF(I1072="","",(I1072-G1072)/G1072)</f>
        <v/>
      </c>
      <c r="M1072" s="26">
        <f>IF(J1072="","",(J1072-G1072)/G1072)</f>
        <v/>
      </c>
      <c r="N1072" s="27">
        <f>IF(H1072="","",IF(D1072="HOLD",IF(ABS(K1072)&lt;0.03,"YES","NO"),IF(D1072="BUY",IF(K1072&gt;0,"YES","NO"),IF(D1072="SELL",IF(K1072&lt;0,"YES","NO"),""))))</f>
        <v/>
      </c>
    </row>
    <row r="1073" ht="15" customHeight="1">
      <c r="K1073" s="26">
        <f>IF(H1073="","",(H1073-G1073)/G1073)</f>
        <v/>
      </c>
      <c r="L1073" s="26">
        <f>IF(I1073="","",(I1073-G1073)/G1073)</f>
        <v/>
      </c>
      <c r="M1073" s="26">
        <f>IF(J1073="","",(J1073-G1073)/G1073)</f>
        <v/>
      </c>
      <c r="N1073" s="27">
        <f>IF(H1073="","",IF(D1073="HOLD",IF(ABS(K1073)&lt;0.03,"YES","NO"),IF(D1073="BUY",IF(K1073&gt;0,"YES","NO"),IF(D1073="SELL",IF(K1073&lt;0,"YES","NO"),""))))</f>
        <v/>
      </c>
    </row>
    <row r="1074" ht="15" customHeight="1">
      <c r="K1074" s="26">
        <f>IF(H1074="","",(H1074-G1074)/G1074)</f>
        <v/>
      </c>
      <c r="L1074" s="26">
        <f>IF(I1074="","",(I1074-G1074)/G1074)</f>
        <v/>
      </c>
      <c r="M1074" s="26">
        <f>IF(J1074="","",(J1074-G1074)/G1074)</f>
        <v/>
      </c>
      <c r="N1074" s="27">
        <f>IF(H1074="","",IF(D1074="HOLD",IF(ABS(K1074)&lt;0.03,"YES","NO"),IF(D1074="BUY",IF(K1074&gt;0,"YES","NO"),IF(D1074="SELL",IF(K1074&lt;0,"YES","NO"),""))))</f>
        <v/>
      </c>
    </row>
    <row r="1075" ht="15" customHeight="1">
      <c r="K1075" s="26">
        <f>IF(H1075="","",(H1075-G1075)/G1075)</f>
        <v/>
      </c>
      <c r="L1075" s="26">
        <f>IF(I1075="","",(I1075-G1075)/G1075)</f>
        <v/>
      </c>
      <c r="M1075" s="26">
        <f>IF(J1075="","",(J1075-G1075)/G1075)</f>
        <v/>
      </c>
      <c r="N1075" s="27">
        <f>IF(H1075="","",IF(D1075="HOLD",IF(ABS(K1075)&lt;0.03,"YES","NO"),IF(D1075="BUY",IF(K1075&gt;0,"YES","NO"),IF(D1075="SELL",IF(K1075&lt;0,"YES","NO"),""))))</f>
        <v/>
      </c>
    </row>
    <row r="1076" ht="15" customHeight="1">
      <c r="K1076" s="26">
        <f>IF(H1076="","",(H1076-G1076)/G1076)</f>
        <v/>
      </c>
      <c r="L1076" s="26">
        <f>IF(I1076="","",(I1076-G1076)/G1076)</f>
        <v/>
      </c>
      <c r="M1076" s="26">
        <f>IF(J1076="","",(J1076-G1076)/G1076)</f>
        <v/>
      </c>
      <c r="N1076" s="27">
        <f>IF(H1076="","",IF(D1076="HOLD",IF(ABS(K1076)&lt;0.03,"YES","NO"),IF(D1076="BUY",IF(K1076&gt;0,"YES","NO"),IF(D1076="SELL",IF(K1076&lt;0,"YES","NO"),""))))</f>
        <v/>
      </c>
    </row>
    <row r="1077" ht="15" customHeight="1">
      <c r="K1077" s="26">
        <f>IF(H1077="","",(H1077-G1077)/G1077)</f>
        <v/>
      </c>
      <c r="L1077" s="26">
        <f>IF(I1077="","",(I1077-G1077)/G1077)</f>
        <v/>
      </c>
      <c r="M1077" s="26">
        <f>IF(J1077="","",(J1077-G1077)/G1077)</f>
        <v/>
      </c>
      <c r="N1077" s="27">
        <f>IF(H1077="","",IF(D1077="HOLD",IF(ABS(K1077)&lt;0.03,"YES","NO"),IF(D1077="BUY",IF(K1077&gt;0,"YES","NO"),IF(D1077="SELL",IF(K1077&lt;0,"YES","NO"),""))))</f>
        <v/>
      </c>
    </row>
    <row r="1078" ht="15" customHeight="1">
      <c r="K1078" s="26">
        <f>IF(H1078="","",(H1078-G1078)/G1078)</f>
        <v/>
      </c>
      <c r="L1078" s="26">
        <f>IF(I1078="","",(I1078-G1078)/G1078)</f>
        <v/>
      </c>
      <c r="M1078" s="26">
        <f>IF(J1078="","",(J1078-G1078)/G1078)</f>
        <v/>
      </c>
      <c r="N1078" s="27">
        <f>IF(H1078="","",IF(D1078="HOLD",IF(ABS(K1078)&lt;0.03,"YES","NO"),IF(D1078="BUY",IF(K1078&gt;0,"YES","NO"),IF(D1078="SELL",IF(K1078&lt;0,"YES","NO"),""))))</f>
        <v/>
      </c>
    </row>
    <row r="1079" ht="15" customHeight="1">
      <c r="K1079" s="26">
        <f>IF(H1079="","",(H1079-G1079)/G1079)</f>
        <v/>
      </c>
      <c r="L1079" s="26">
        <f>IF(I1079="","",(I1079-G1079)/G1079)</f>
        <v/>
      </c>
      <c r="M1079" s="26">
        <f>IF(J1079="","",(J1079-G1079)/G1079)</f>
        <v/>
      </c>
      <c r="N1079" s="27">
        <f>IF(H1079="","",IF(D1079="HOLD",IF(ABS(K1079)&lt;0.03,"YES","NO"),IF(D1079="BUY",IF(K1079&gt;0,"YES","NO"),IF(D1079="SELL",IF(K1079&lt;0,"YES","NO"),""))))</f>
        <v/>
      </c>
    </row>
    <row r="1080" ht="15" customHeight="1">
      <c r="K1080" s="26">
        <f>IF(H1080="","",(H1080-G1080)/G1080)</f>
        <v/>
      </c>
      <c r="L1080" s="26">
        <f>IF(I1080="","",(I1080-G1080)/G1080)</f>
        <v/>
      </c>
      <c r="M1080" s="26">
        <f>IF(J1080="","",(J1080-G1080)/G1080)</f>
        <v/>
      </c>
      <c r="N1080" s="27">
        <f>IF(H1080="","",IF(D1080="HOLD",IF(ABS(K1080)&lt;0.03,"YES","NO"),IF(D1080="BUY",IF(K1080&gt;0,"YES","NO"),IF(D1080="SELL",IF(K1080&lt;0,"YES","NO"),""))))</f>
        <v/>
      </c>
    </row>
    <row r="1081" ht="15" customHeight="1">
      <c r="K1081" s="26">
        <f>IF(H1081="","",(H1081-G1081)/G1081)</f>
        <v/>
      </c>
      <c r="L1081" s="26">
        <f>IF(I1081="","",(I1081-G1081)/G1081)</f>
        <v/>
      </c>
      <c r="M1081" s="26">
        <f>IF(J1081="","",(J1081-G1081)/G1081)</f>
        <v/>
      </c>
      <c r="N1081" s="27">
        <f>IF(H1081="","",IF(D1081="HOLD",IF(ABS(K1081)&lt;0.03,"YES","NO"),IF(D1081="BUY",IF(K1081&gt;0,"YES","NO"),IF(D1081="SELL",IF(K1081&lt;0,"YES","NO"),""))))</f>
        <v/>
      </c>
    </row>
    <row r="1082" ht="15" customHeight="1">
      <c r="K1082" s="26">
        <f>IF(H1082="","",(H1082-G1082)/G1082)</f>
        <v/>
      </c>
      <c r="L1082" s="26">
        <f>IF(I1082="","",(I1082-G1082)/G1082)</f>
        <v/>
      </c>
      <c r="M1082" s="26">
        <f>IF(J1082="","",(J1082-G1082)/G1082)</f>
        <v/>
      </c>
      <c r="N1082" s="27">
        <f>IF(H1082="","",IF(D1082="HOLD",IF(ABS(K1082)&lt;0.03,"YES","NO"),IF(D1082="BUY",IF(K1082&gt;0,"YES","NO"),IF(D1082="SELL",IF(K1082&lt;0,"YES","NO"),""))))</f>
        <v/>
      </c>
    </row>
    <row r="1083" ht="15" customHeight="1">
      <c r="K1083" s="26">
        <f>IF(H1083="","",(H1083-G1083)/G1083)</f>
        <v/>
      </c>
      <c r="L1083" s="26">
        <f>IF(I1083="","",(I1083-G1083)/G1083)</f>
        <v/>
      </c>
      <c r="M1083" s="26">
        <f>IF(J1083="","",(J1083-G1083)/G1083)</f>
        <v/>
      </c>
      <c r="N1083" s="27">
        <f>IF(H1083="","",IF(D1083="HOLD",IF(ABS(K1083)&lt;0.03,"YES","NO"),IF(D1083="BUY",IF(K1083&gt;0,"YES","NO"),IF(D1083="SELL",IF(K1083&lt;0,"YES","NO"),""))))</f>
        <v/>
      </c>
    </row>
    <row r="1084" ht="15" customHeight="1">
      <c r="K1084" s="26">
        <f>IF(H1084="","",(H1084-G1084)/G1084)</f>
        <v/>
      </c>
      <c r="L1084" s="26">
        <f>IF(I1084="","",(I1084-G1084)/G1084)</f>
        <v/>
      </c>
      <c r="M1084" s="26">
        <f>IF(J1084="","",(J1084-G1084)/G1084)</f>
        <v/>
      </c>
      <c r="N1084" s="27">
        <f>IF(H1084="","",IF(D1084="HOLD",IF(ABS(K1084)&lt;0.03,"YES","NO"),IF(D1084="BUY",IF(K1084&gt;0,"YES","NO"),IF(D1084="SELL",IF(K1084&lt;0,"YES","NO"),""))))</f>
        <v/>
      </c>
    </row>
    <row r="1085" ht="15" customHeight="1">
      <c r="K1085" s="26">
        <f>IF(H1085="","",(H1085-G1085)/G1085)</f>
        <v/>
      </c>
      <c r="L1085" s="26">
        <f>IF(I1085="","",(I1085-G1085)/G1085)</f>
        <v/>
      </c>
      <c r="M1085" s="26">
        <f>IF(J1085="","",(J1085-G1085)/G1085)</f>
        <v/>
      </c>
      <c r="N1085" s="27">
        <f>IF(H1085="","",IF(D1085="HOLD",IF(ABS(K1085)&lt;0.03,"YES","NO"),IF(D1085="BUY",IF(K1085&gt;0,"YES","NO"),IF(D1085="SELL",IF(K1085&lt;0,"YES","NO"),""))))</f>
        <v/>
      </c>
    </row>
    <row r="1086" ht="15" customHeight="1">
      <c r="K1086" s="26">
        <f>IF(H1086="","",(H1086-G1086)/G1086)</f>
        <v/>
      </c>
      <c r="L1086" s="26">
        <f>IF(I1086="","",(I1086-G1086)/G1086)</f>
        <v/>
      </c>
      <c r="M1086" s="26">
        <f>IF(J1086="","",(J1086-G1086)/G1086)</f>
        <v/>
      </c>
      <c r="N1086" s="27">
        <f>IF(H1086="","",IF(D1086="HOLD",IF(ABS(K1086)&lt;0.03,"YES","NO"),IF(D1086="BUY",IF(K1086&gt;0,"YES","NO"),IF(D1086="SELL",IF(K1086&lt;0,"YES","NO"),""))))</f>
        <v/>
      </c>
    </row>
    <row r="1087" ht="15" customHeight="1">
      <c r="K1087" s="26">
        <f>IF(H1087="","",(H1087-G1087)/G1087)</f>
        <v/>
      </c>
      <c r="L1087" s="26">
        <f>IF(I1087="","",(I1087-G1087)/G1087)</f>
        <v/>
      </c>
      <c r="M1087" s="26">
        <f>IF(J1087="","",(J1087-G1087)/G1087)</f>
        <v/>
      </c>
      <c r="N1087" s="27">
        <f>IF(H1087="","",IF(D1087="HOLD",IF(ABS(K1087)&lt;0.03,"YES","NO"),IF(D1087="BUY",IF(K1087&gt;0,"YES","NO"),IF(D1087="SELL",IF(K1087&lt;0,"YES","NO"),""))))</f>
        <v/>
      </c>
    </row>
    <row r="1088" ht="15" customHeight="1">
      <c r="K1088" s="26">
        <f>IF(H1088="","",(H1088-G1088)/G1088)</f>
        <v/>
      </c>
      <c r="L1088" s="26">
        <f>IF(I1088="","",(I1088-G1088)/G1088)</f>
        <v/>
      </c>
      <c r="M1088" s="26">
        <f>IF(J1088="","",(J1088-G1088)/G1088)</f>
        <v/>
      </c>
      <c r="N1088" s="27">
        <f>IF(H1088="","",IF(D1088="HOLD",IF(ABS(K1088)&lt;0.03,"YES","NO"),IF(D1088="BUY",IF(K1088&gt;0,"YES","NO"),IF(D1088="SELL",IF(K1088&lt;0,"YES","NO"),""))))</f>
        <v/>
      </c>
    </row>
    <row r="1089" ht="15" customHeight="1">
      <c r="K1089" s="26">
        <f>IF(H1089="","",(H1089-G1089)/G1089)</f>
        <v/>
      </c>
      <c r="L1089" s="26">
        <f>IF(I1089="","",(I1089-G1089)/G1089)</f>
        <v/>
      </c>
      <c r="M1089" s="26">
        <f>IF(J1089="","",(J1089-G1089)/G1089)</f>
        <v/>
      </c>
      <c r="N1089" s="27">
        <f>IF(H1089="","",IF(D1089="HOLD",IF(ABS(K1089)&lt;0.03,"YES","NO"),IF(D1089="BUY",IF(K1089&gt;0,"YES","NO"),IF(D1089="SELL",IF(K1089&lt;0,"YES","NO"),""))))</f>
        <v/>
      </c>
    </row>
    <row r="1090" ht="15" customHeight="1">
      <c r="K1090" s="26">
        <f>IF(H1090="","",(H1090-G1090)/G1090)</f>
        <v/>
      </c>
      <c r="L1090" s="26">
        <f>IF(I1090="","",(I1090-G1090)/G1090)</f>
        <v/>
      </c>
      <c r="M1090" s="26">
        <f>IF(J1090="","",(J1090-G1090)/G1090)</f>
        <v/>
      </c>
      <c r="N1090" s="27">
        <f>IF(H1090="","",IF(D1090="HOLD",IF(ABS(K1090)&lt;0.03,"YES","NO"),IF(D1090="BUY",IF(K1090&gt;0,"YES","NO"),IF(D1090="SELL",IF(K1090&lt;0,"YES","NO"),""))))</f>
        <v/>
      </c>
    </row>
    <row r="1091" ht="15" customHeight="1">
      <c r="K1091" s="26">
        <f>IF(H1091="","",(H1091-G1091)/G1091)</f>
        <v/>
      </c>
      <c r="L1091" s="26">
        <f>IF(I1091="","",(I1091-G1091)/G1091)</f>
        <v/>
      </c>
      <c r="M1091" s="26">
        <f>IF(J1091="","",(J1091-G1091)/G1091)</f>
        <v/>
      </c>
      <c r="N1091" s="27">
        <f>IF(H1091="","",IF(D1091="HOLD",IF(ABS(K1091)&lt;0.03,"YES","NO"),IF(D1091="BUY",IF(K1091&gt;0,"YES","NO"),IF(D1091="SELL",IF(K1091&lt;0,"YES","NO"),""))))</f>
        <v/>
      </c>
    </row>
    <row r="1092" ht="15" customHeight="1">
      <c r="K1092" s="26">
        <f>IF(H1092="","",(H1092-G1092)/G1092)</f>
        <v/>
      </c>
      <c r="L1092" s="26">
        <f>IF(I1092="","",(I1092-G1092)/G1092)</f>
        <v/>
      </c>
      <c r="M1092" s="26">
        <f>IF(J1092="","",(J1092-G1092)/G1092)</f>
        <v/>
      </c>
      <c r="N1092" s="27">
        <f>IF(H1092="","",IF(D1092="HOLD",IF(ABS(K1092)&lt;0.03,"YES","NO"),IF(D1092="BUY",IF(K1092&gt;0,"YES","NO"),IF(D1092="SELL",IF(K1092&lt;0,"YES","NO"),""))))</f>
        <v/>
      </c>
    </row>
    <row r="1093" ht="15" customHeight="1">
      <c r="K1093" s="26">
        <f>IF(H1093="","",(H1093-G1093)/G1093)</f>
        <v/>
      </c>
      <c r="L1093" s="26">
        <f>IF(I1093="","",(I1093-G1093)/G1093)</f>
        <v/>
      </c>
      <c r="M1093" s="26">
        <f>IF(J1093="","",(J1093-G1093)/G1093)</f>
        <v/>
      </c>
      <c r="N1093" s="27">
        <f>IF(H1093="","",IF(D1093="HOLD",IF(ABS(K1093)&lt;0.03,"YES","NO"),IF(D1093="BUY",IF(K1093&gt;0,"YES","NO"),IF(D1093="SELL",IF(K1093&lt;0,"YES","NO"),""))))</f>
        <v/>
      </c>
    </row>
    <row r="1094" ht="15" customHeight="1">
      <c r="K1094" s="26">
        <f>IF(H1094="","",(H1094-G1094)/G1094)</f>
        <v/>
      </c>
      <c r="L1094" s="26">
        <f>IF(I1094="","",(I1094-G1094)/G1094)</f>
        <v/>
      </c>
      <c r="M1094" s="26">
        <f>IF(J1094="","",(J1094-G1094)/G1094)</f>
        <v/>
      </c>
      <c r="N1094" s="27">
        <f>IF(H1094="","",IF(D1094="HOLD",IF(ABS(K1094)&lt;0.03,"YES","NO"),IF(D1094="BUY",IF(K1094&gt;0,"YES","NO"),IF(D1094="SELL",IF(K1094&lt;0,"YES","NO"),""))))</f>
        <v/>
      </c>
    </row>
    <row r="1095" ht="15" customHeight="1">
      <c r="K1095" s="26">
        <f>IF(H1095="","",(H1095-G1095)/G1095)</f>
        <v/>
      </c>
      <c r="L1095" s="26">
        <f>IF(I1095="","",(I1095-G1095)/G1095)</f>
        <v/>
      </c>
      <c r="M1095" s="26">
        <f>IF(J1095="","",(J1095-G1095)/G1095)</f>
        <v/>
      </c>
      <c r="N1095" s="27">
        <f>IF(H1095="","",IF(D1095="HOLD",IF(ABS(K1095)&lt;0.03,"YES","NO"),IF(D1095="BUY",IF(K1095&gt;0,"YES","NO"),IF(D1095="SELL",IF(K1095&lt;0,"YES","NO"),""))))</f>
        <v/>
      </c>
    </row>
    <row r="1096" ht="15" customHeight="1">
      <c r="K1096" s="26">
        <f>IF(H1096="","",(H1096-G1096)/G1096)</f>
        <v/>
      </c>
      <c r="L1096" s="26">
        <f>IF(I1096="","",(I1096-G1096)/G1096)</f>
        <v/>
      </c>
      <c r="M1096" s="26">
        <f>IF(J1096="","",(J1096-G1096)/G1096)</f>
        <v/>
      </c>
      <c r="N1096" s="27">
        <f>IF(H1096="","",IF(D1096="HOLD",IF(ABS(K1096)&lt;0.03,"YES","NO"),IF(D1096="BUY",IF(K1096&gt;0,"YES","NO"),IF(D1096="SELL",IF(K1096&lt;0,"YES","NO"),""))))</f>
        <v/>
      </c>
    </row>
    <row r="1097" ht="15" customHeight="1">
      <c r="K1097" s="26">
        <f>IF(H1097="","",(H1097-G1097)/G1097)</f>
        <v/>
      </c>
      <c r="L1097" s="26">
        <f>IF(I1097="","",(I1097-G1097)/G1097)</f>
        <v/>
      </c>
      <c r="M1097" s="26">
        <f>IF(J1097="","",(J1097-G1097)/G1097)</f>
        <v/>
      </c>
      <c r="N1097" s="27">
        <f>IF(H1097="","",IF(D1097="HOLD",IF(ABS(K1097)&lt;0.03,"YES","NO"),IF(D1097="BUY",IF(K1097&gt;0,"YES","NO"),IF(D1097="SELL",IF(K1097&lt;0,"YES","NO"),""))))</f>
        <v/>
      </c>
    </row>
    <row r="1098" ht="15" customHeight="1">
      <c r="K1098" s="26">
        <f>IF(H1098="","",(H1098-G1098)/G1098)</f>
        <v/>
      </c>
      <c r="L1098" s="26">
        <f>IF(I1098="","",(I1098-G1098)/G1098)</f>
        <v/>
      </c>
      <c r="M1098" s="26">
        <f>IF(J1098="","",(J1098-G1098)/G1098)</f>
        <v/>
      </c>
      <c r="N1098" s="27">
        <f>IF(H1098="","",IF(D1098="HOLD",IF(ABS(K1098)&lt;0.03,"YES","NO"),IF(D1098="BUY",IF(K1098&gt;0,"YES","NO"),IF(D1098="SELL",IF(K1098&lt;0,"YES","NO"),""))))</f>
        <v/>
      </c>
    </row>
    <row r="1099" ht="15" customHeight="1">
      <c r="K1099" s="26">
        <f>IF(H1099="","",(H1099-G1099)/G1099)</f>
        <v/>
      </c>
      <c r="L1099" s="26">
        <f>IF(I1099="","",(I1099-G1099)/G1099)</f>
        <v/>
      </c>
      <c r="M1099" s="26">
        <f>IF(J1099="","",(J1099-G1099)/G1099)</f>
        <v/>
      </c>
      <c r="N1099" s="27">
        <f>IF(H1099="","",IF(D1099="HOLD",IF(ABS(K1099)&lt;0.03,"YES","NO"),IF(D1099="BUY",IF(K1099&gt;0,"YES","NO"),IF(D1099="SELL",IF(K1099&lt;0,"YES","NO"),""))))</f>
        <v/>
      </c>
    </row>
    <row r="1100" ht="15" customHeight="1">
      <c r="K1100" s="26">
        <f>IF(H1100="","",(H1100-G1100)/G1100)</f>
        <v/>
      </c>
      <c r="L1100" s="26">
        <f>IF(I1100="","",(I1100-G1100)/G1100)</f>
        <v/>
      </c>
      <c r="M1100" s="26">
        <f>IF(J1100="","",(J1100-G1100)/G1100)</f>
        <v/>
      </c>
      <c r="N1100" s="27">
        <f>IF(H1100="","",IF(D1100="HOLD",IF(ABS(K1100)&lt;0.03,"YES","NO"),IF(D1100="BUY",IF(K1100&gt;0,"YES","NO"),IF(D1100="SELL",IF(K1100&lt;0,"YES","NO"),""))))</f>
        <v/>
      </c>
    </row>
    <row r="1101" ht="15" customHeight="1">
      <c r="K1101" s="26">
        <f>IF(H1101="","",(H1101-G1101)/G1101)</f>
        <v/>
      </c>
      <c r="L1101" s="26">
        <f>IF(I1101="","",(I1101-G1101)/G1101)</f>
        <v/>
      </c>
      <c r="M1101" s="26">
        <f>IF(J1101="","",(J1101-G1101)/G1101)</f>
        <v/>
      </c>
      <c r="N1101" s="27">
        <f>IF(H1101="","",IF(D1101="HOLD",IF(ABS(K1101)&lt;0.03,"YES","NO"),IF(D1101="BUY",IF(K1101&gt;0,"YES","NO"),IF(D1101="SELL",IF(K1101&lt;0,"YES","NO"),""))))</f>
        <v/>
      </c>
    </row>
    <row r="1102" ht="15" customHeight="1">
      <c r="K1102" s="26">
        <f>IF(H1102="","",(H1102-G1102)/G1102)</f>
        <v/>
      </c>
      <c r="L1102" s="26">
        <f>IF(I1102="","",(I1102-G1102)/G1102)</f>
        <v/>
      </c>
      <c r="M1102" s="26">
        <f>IF(J1102="","",(J1102-G1102)/G1102)</f>
        <v/>
      </c>
      <c r="N1102" s="27">
        <f>IF(H1102="","",IF(D1102="HOLD",IF(ABS(K1102)&lt;0.03,"YES","NO"),IF(D1102="BUY",IF(K1102&gt;0,"YES","NO"),IF(D1102="SELL",IF(K1102&lt;0,"YES","NO"),""))))</f>
        <v/>
      </c>
    </row>
    <row r="1103" ht="15" customHeight="1">
      <c r="K1103" s="26">
        <f>IF(H1103="","",(H1103-G1103)/G1103)</f>
        <v/>
      </c>
      <c r="L1103" s="26">
        <f>IF(I1103="","",(I1103-G1103)/G1103)</f>
        <v/>
      </c>
      <c r="M1103" s="26">
        <f>IF(J1103="","",(J1103-G1103)/G1103)</f>
        <v/>
      </c>
      <c r="N1103" s="27">
        <f>IF(H1103="","",IF(D1103="HOLD",IF(ABS(K1103)&lt;0.03,"YES","NO"),IF(D1103="BUY",IF(K1103&gt;0,"YES","NO"),IF(D1103="SELL",IF(K1103&lt;0,"YES","NO"),""))))</f>
        <v/>
      </c>
    </row>
    <row r="1104" ht="15" customHeight="1">
      <c r="K1104" s="26">
        <f>IF(H1104="","",(H1104-G1104)/G1104)</f>
        <v/>
      </c>
      <c r="L1104" s="26">
        <f>IF(I1104="","",(I1104-G1104)/G1104)</f>
        <v/>
      </c>
      <c r="M1104" s="26">
        <f>IF(J1104="","",(J1104-G1104)/G1104)</f>
        <v/>
      </c>
      <c r="N1104" s="27">
        <f>IF(H1104="","",IF(D1104="HOLD",IF(ABS(K1104)&lt;0.03,"YES","NO"),IF(D1104="BUY",IF(K1104&gt;0,"YES","NO"),IF(D1104="SELL",IF(K1104&lt;0,"YES","NO"),""))))</f>
        <v/>
      </c>
    </row>
    <row r="1105" ht="15" customHeight="1">
      <c r="K1105" s="26">
        <f>IF(H1105="","",(H1105-G1105)/G1105)</f>
        <v/>
      </c>
      <c r="L1105" s="26">
        <f>IF(I1105="","",(I1105-G1105)/G1105)</f>
        <v/>
      </c>
      <c r="M1105" s="26">
        <f>IF(J1105="","",(J1105-G1105)/G1105)</f>
        <v/>
      </c>
      <c r="N1105" s="27">
        <f>IF(H1105="","",IF(D1105="HOLD",IF(ABS(K1105)&lt;0.03,"YES","NO"),IF(D1105="BUY",IF(K1105&gt;0,"YES","NO"),IF(D1105="SELL",IF(K1105&lt;0,"YES","NO"),""))))</f>
        <v/>
      </c>
    </row>
    <row r="1106" ht="15" customHeight="1">
      <c r="K1106" s="26">
        <f>IF(H1106="","",(H1106-G1106)/G1106)</f>
        <v/>
      </c>
      <c r="L1106" s="26">
        <f>IF(I1106="","",(I1106-G1106)/G1106)</f>
        <v/>
      </c>
      <c r="M1106" s="26">
        <f>IF(J1106="","",(J1106-G1106)/G1106)</f>
        <v/>
      </c>
      <c r="N1106" s="27">
        <f>IF(H1106="","",IF(D1106="HOLD",IF(ABS(K1106)&lt;0.03,"YES","NO"),IF(D1106="BUY",IF(K1106&gt;0,"YES","NO"),IF(D1106="SELL",IF(K1106&lt;0,"YES","NO"),""))))</f>
        <v/>
      </c>
    </row>
    <row r="1107" ht="15" customHeight="1">
      <c r="K1107" s="26">
        <f>IF(H1107="","",(H1107-G1107)/G1107)</f>
        <v/>
      </c>
      <c r="L1107" s="26">
        <f>IF(I1107="","",(I1107-G1107)/G1107)</f>
        <v/>
      </c>
      <c r="M1107" s="26">
        <f>IF(J1107="","",(J1107-G1107)/G1107)</f>
        <v/>
      </c>
      <c r="N1107" s="27">
        <f>IF(H1107="","",IF(D1107="HOLD",IF(ABS(K1107)&lt;0.03,"YES","NO"),IF(D1107="BUY",IF(K1107&gt;0,"YES","NO"),IF(D1107="SELL",IF(K1107&lt;0,"YES","NO"),""))))</f>
        <v/>
      </c>
    </row>
    <row r="1108" ht="15" customHeight="1">
      <c r="K1108" s="26">
        <f>IF(H1108="","",(H1108-G1108)/G1108)</f>
        <v/>
      </c>
      <c r="L1108" s="26">
        <f>IF(I1108="","",(I1108-G1108)/G1108)</f>
        <v/>
      </c>
      <c r="M1108" s="26">
        <f>IF(J1108="","",(J1108-G1108)/G1108)</f>
        <v/>
      </c>
      <c r="N1108" s="27">
        <f>IF(H1108="","",IF(D1108="HOLD",IF(ABS(K1108)&lt;0.03,"YES","NO"),IF(D1108="BUY",IF(K1108&gt;0,"YES","NO"),IF(D1108="SELL",IF(K1108&lt;0,"YES","NO"),""))))</f>
        <v/>
      </c>
    </row>
    <row r="1109" ht="15" customHeight="1">
      <c r="K1109" s="26">
        <f>IF(H1109="","",(H1109-G1109)/G1109)</f>
        <v/>
      </c>
      <c r="L1109" s="26">
        <f>IF(I1109="","",(I1109-G1109)/G1109)</f>
        <v/>
      </c>
      <c r="M1109" s="26">
        <f>IF(J1109="","",(J1109-G1109)/G1109)</f>
        <v/>
      </c>
      <c r="N1109" s="27">
        <f>IF(H1109="","",IF(D1109="HOLD",IF(ABS(K1109)&lt;0.03,"YES","NO"),IF(D1109="BUY",IF(K1109&gt;0,"YES","NO"),IF(D1109="SELL",IF(K1109&lt;0,"YES","NO"),""))))</f>
        <v/>
      </c>
    </row>
    <row r="1110" ht="15" customHeight="1">
      <c r="K1110" s="26">
        <f>IF(H1110="","",(H1110-G1110)/G1110)</f>
        <v/>
      </c>
      <c r="L1110" s="26">
        <f>IF(I1110="","",(I1110-G1110)/G1110)</f>
        <v/>
      </c>
      <c r="M1110" s="26">
        <f>IF(J1110="","",(J1110-G1110)/G1110)</f>
        <v/>
      </c>
      <c r="N1110" s="27">
        <f>IF(H1110="","",IF(D1110="HOLD",IF(ABS(K1110)&lt;0.03,"YES","NO"),IF(D1110="BUY",IF(K1110&gt;0,"YES","NO"),IF(D1110="SELL",IF(K1110&lt;0,"YES","NO"),""))))</f>
        <v/>
      </c>
    </row>
    <row r="1111" ht="15" customHeight="1">
      <c r="K1111" s="26">
        <f>IF(H1111="","",(H1111-G1111)/G1111)</f>
        <v/>
      </c>
      <c r="L1111" s="26">
        <f>IF(I1111="","",(I1111-G1111)/G1111)</f>
        <v/>
      </c>
      <c r="M1111" s="26">
        <f>IF(J1111="","",(J1111-G1111)/G1111)</f>
        <v/>
      </c>
      <c r="N1111" s="27">
        <f>IF(H1111="","",IF(D1111="HOLD",IF(ABS(K1111)&lt;0.03,"YES","NO"),IF(D1111="BUY",IF(K1111&gt;0,"YES","NO"),IF(D1111="SELL",IF(K1111&lt;0,"YES","NO"),""))))</f>
        <v/>
      </c>
    </row>
    <row r="1112" ht="15" customHeight="1">
      <c r="K1112" s="26">
        <f>IF(H1112="","",(H1112-G1112)/G1112)</f>
        <v/>
      </c>
      <c r="L1112" s="26">
        <f>IF(I1112="","",(I1112-G1112)/G1112)</f>
        <v/>
      </c>
      <c r="M1112" s="26">
        <f>IF(J1112="","",(J1112-G1112)/G1112)</f>
        <v/>
      </c>
      <c r="N1112" s="27">
        <f>IF(H1112="","",IF(D1112="HOLD",IF(ABS(K1112)&lt;0.03,"YES","NO"),IF(D1112="BUY",IF(K1112&gt;0,"YES","NO"),IF(D1112="SELL",IF(K1112&lt;0,"YES","NO"),""))))</f>
        <v/>
      </c>
    </row>
    <row r="1113" ht="15" customHeight="1">
      <c r="K1113" s="26">
        <f>IF(H1113="","",(H1113-G1113)/G1113)</f>
        <v/>
      </c>
      <c r="L1113" s="26">
        <f>IF(I1113="","",(I1113-G1113)/G1113)</f>
        <v/>
      </c>
      <c r="M1113" s="26">
        <f>IF(J1113="","",(J1113-G1113)/G1113)</f>
        <v/>
      </c>
      <c r="N1113" s="27">
        <f>IF(H1113="","",IF(D1113="HOLD",IF(ABS(K1113)&lt;0.03,"YES","NO"),IF(D1113="BUY",IF(K1113&gt;0,"YES","NO"),IF(D1113="SELL",IF(K1113&lt;0,"YES","NO"),""))))</f>
        <v/>
      </c>
    </row>
    <row r="1114" ht="15" customHeight="1">
      <c r="K1114" s="26">
        <f>IF(H1114="","",(H1114-G1114)/G1114)</f>
        <v/>
      </c>
      <c r="L1114" s="26">
        <f>IF(I1114="","",(I1114-G1114)/G1114)</f>
        <v/>
      </c>
      <c r="M1114" s="26">
        <f>IF(J1114="","",(J1114-G1114)/G1114)</f>
        <v/>
      </c>
      <c r="N1114" s="27">
        <f>IF(H1114="","",IF(D1114="HOLD",IF(ABS(K1114)&lt;0.03,"YES","NO"),IF(D1114="BUY",IF(K1114&gt;0,"YES","NO"),IF(D1114="SELL",IF(K1114&lt;0,"YES","NO"),""))))</f>
        <v/>
      </c>
    </row>
    <row r="1115" ht="15" customHeight="1">
      <c r="K1115" s="26">
        <f>IF(H1115="","",(H1115-G1115)/G1115)</f>
        <v/>
      </c>
      <c r="L1115" s="26">
        <f>IF(I1115="","",(I1115-G1115)/G1115)</f>
        <v/>
      </c>
      <c r="M1115" s="26">
        <f>IF(J1115="","",(J1115-G1115)/G1115)</f>
        <v/>
      </c>
      <c r="N1115" s="27">
        <f>IF(H1115="","",IF(D1115="HOLD",IF(ABS(K1115)&lt;0.03,"YES","NO"),IF(D1115="BUY",IF(K1115&gt;0,"YES","NO"),IF(D1115="SELL",IF(K1115&lt;0,"YES","NO"),""))))</f>
        <v/>
      </c>
    </row>
    <row r="1116" ht="15" customHeight="1">
      <c r="K1116" s="26">
        <f>IF(H1116="","",(H1116-G1116)/G1116)</f>
        <v/>
      </c>
      <c r="L1116" s="26">
        <f>IF(I1116="","",(I1116-G1116)/G1116)</f>
        <v/>
      </c>
      <c r="M1116" s="26">
        <f>IF(J1116="","",(J1116-G1116)/G1116)</f>
        <v/>
      </c>
      <c r="N1116" s="27">
        <f>IF(H1116="","",IF(D1116="HOLD",IF(ABS(K1116)&lt;0.03,"YES","NO"),IF(D1116="BUY",IF(K1116&gt;0,"YES","NO"),IF(D1116="SELL",IF(K1116&lt;0,"YES","NO"),""))))</f>
        <v/>
      </c>
    </row>
    <row r="1117" ht="15" customHeight="1">
      <c r="K1117" s="26">
        <f>IF(H1117="","",(H1117-G1117)/G1117)</f>
        <v/>
      </c>
      <c r="L1117" s="26">
        <f>IF(I1117="","",(I1117-G1117)/G1117)</f>
        <v/>
      </c>
      <c r="M1117" s="26">
        <f>IF(J1117="","",(J1117-G1117)/G1117)</f>
        <v/>
      </c>
      <c r="N1117" s="27">
        <f>IF(H1117="","",IF(D1117="HOLD",IF(ABS(K1117)&lt;0.03,"YES","NO"),IF(D1117="BUY",IF(K1117&gt;0,"YES","NO"),IF(D1117="SELL",IF(K1117&lt;0,"YES","NO"),""))))</f>
        <v/>
      </c>
    </row>
    <row r="1118" ht="15" customHeight="1">
      <c r="K1118" s="26">
        <f>IF(H1118="","",(H1118-G1118)/G1118)</f>
        <v/>
      </c>
      <c r="L1118" s="26">
        <f>IF(I1118="","",(I1118-G1118)/G1118)</f>
        <v/>
      </c>
      <c r="M1118" s="26">
        <f>IF(J1118="","",(J1118-G1118)/G1118)</f>
        <v/>
      </c>
      <c r="N1118" s="27">
        <f>IF(H1118="","",IF(D1118="HOLD",IF(ABS(K1118)&lt;0.03,"YES","NO"),IF(D1118="BUY",IF(K1118&gt;0,"YES","NO"),IF(D1118="SELL",IF(K1118&lt;0,"YES","NO"),""))))</f>
        <v/>
      </c>
    </row>
    <row r="1119" ht="15" customHeight="1">
      <c r="K1119" s="26">
        <f>IF(H1119="","",(H1119-G1119)/G1119)</f>
        <v/>
      </c>
      <c r="L1119" s="26">
        <f>IF(I1119="","",(I1119-G1119)/G1119)</f>
        <v/>
      </c>
      <c r="M1119" s="26">
        <f>IF(J1119="","",(J1119-G1119)/G1119)</f>
        <v/>
      </c>
      <c r="N1119" s="27">
        <f>IF(H1119="","",IF(D1119="HOLD",IF(ABS(K1119)&lt;0.03,"YES","NO"),IF(D1119="BUY",IF(K1119&gt;0,"YES","NO"),IF(D1119="SELL",IF(K1119&lt;0,"YES","NO"),""))))</f>
        <v/>
      </c>
    </row>
    <row r="1120" ht="15" customHeight="1">
      <c r="K1120" s="26">
        <f>IF(H1120="","",(H1120-G1120)/G1120)</f>
        <v/>
      </c>
      <c r="L1120" s="26">
        <f>IF(I1120="","",(I1120-G1120)/G1120)</f>
        <v/>
      </c>
      <c r="M1120" s="26">
        <f>IF(J1120="","",(J1120-G1120)/G1120)</f>
        <v/>
      </c>
      <c r="N1120" s="27">
        <f>IF(H1120="","",IF(D1120="HOLD",IF(ABS(K1120)&lt;0.03,"YES","NO"),IF(D1120="BUY",IF(K1120&gt;0,"YES","NO"),IF(D1120="SELL",IF(K1120&lt;0,"YES","NO"),""))))</f>
        <v/>
      </c>
    </row>
    <row r="1121" ht="15" customHeight="1">
      <c r="K1121" s="26">
        <f>IF(H1121="","",(H1121-G1121)/G1121)</f>
        <v/>
      </c>
      <c r="L1121" s="26">
        <f>IF(I1121="","",(I1121-G1121)/G1121)</f>
        <v/>
      </c>
      <c r="M1121" s="26">
        <f>IF(J1121="","",(J1121-G1121)/G1121)</f>
        <v/>
      </c>
      <c r="N1121" s="27">
        <f>IF(H1121="","",IF(D1121="HOLD",IF(ABS(K1121)&lt;0.03,"YES","NO"),IF(D1121="BUY",IF(K1121&gt;0,"YES","NO"),IF(D1121="SELL",IF(K1121&lt;0,"YES","NO"),""))))</f>
        <v/>
      </c>
    </row>
    <row r="1122" ht="15" customHeight="1">
      <c r="K1122" s="26">
        <f>IF(H1122="","",(H1122-G1122)/G1122)</f>
        <v/>
      </c>
      <c r="L1122" s="26">
        <f>IF(I1122="","",(I1122-G1122)/G1122)</f>
        <v/>
      </c>
      <c r="M1122" s="26">
        <f>IF(J1122="","",(J1122-G1122)/G1122)</f>
        <v/>
      </c>
      <c r="N1122" s="27">
        <f>IF(H1122="","",IF(D1122="HOLD",IF(ABS(K1122)&lt;0.03,"YES","NO"),IF(D1122="BUY",IF(K1122&gt;0,"YES","NO"),IF(D1122="SELL",IF(K1122&lt;0,"YES","NO"),""))))</f>
        <v/>
      </c>
    </row>
    <row r="1123" ht="15" customHeight="1">
      <c r="K1123" s="26">
        <f>IF(H1123="","",(H1123-G1123)/G1123)</f>
        <v/>
      </c>
      <c r="L1123" s="26">
        <f>IF(I1123="","",(I1123-G1123)/G1123)</f>
        <v/>
      </c>
      <c r="M1123" s="26">
        <f>IF(J1123="","",(J1123-G1123)/G1123)</f>
        <v/>
      </c>
      <c r="N1123" s="27">
        <f>IF(H1123="","",IF(D1123="HOLD",IF(ABS(K1123)&lt;0.03,"YES","NO"),IF(D1123="BUY",IF(K1123&gt;0,"YES","NO"),IF(D1123="SELL",IF(K1123&lt;0,"YES","NO"),""))))</f>
        <v/>
      </c>
    </row>
    <row r="1124" ht="15" customHeight="1">
      <c r="K1124" s="26">
        <f>IF(H1124="","",(H1124-G1124)/G1124)</f>
        <v/>
      </c>
      <c r="L1124" s="26">
        <f>IF(I1124="","",(I1124-G1124)/G1124)</f>
        <v/>
      </c>
      <c r="M1124" s="26">
        <f>IF(J1124="","",(J1124-G1124)/G1124)</f>
        <v/>
      </c>
      <c r="N1124" s="27">
        <f>IF(H1124="","",IF(D1124="HOLD",IF(ABS(K1124)&lt;0.03,"YES","NO"),IF(D1124="BUY",IF(K1124&gt;0,"YES","NO"),IF(D1124="SELL",IF(K1124&lt;0,"YES","NO"),""))))</f>
        <v/>
      </c>
    </row>
    <row r="1125" ht="15" customHeight="1">
      <c r="K1125" s="26">
        <f>IF(H1125="","",(H1125-G1125)/G1125)</f>
        <v/>
      </c>
      <c r="L1125" s="26">
        <f>IF(I1125="","",(I1125-G1125)/G1125)</f>
        <v/>
      </c>
      <c r="M1125" s="26">
        <f>IF(J1125="","",(J1125-G1125)/G1125)</f>
        <v/>
      </c>
      <c r="N1125" s="27">
        <f>IF(H1125="","",IF(D1125="HOLD",IF(ABS(K1125)&lt;0.03,"YES","NO"),IF(D1125="BUY",IF(K1125&gt;0,"YES","NO"),IF(D1125="SELL",IF(K1125&lt;0,"YES","NO"),""))))</f>
        <v/>
      </c>
    </row>
    <row r="1126" ht="15" customHeight="1">
      <c r="K1126" s="26">
        <f>IF(H1126="","",(H1126-G1126)/G1126)</f>
        <v/>
      </c>
      <c r="L1126" s="26">
        <f>IF(I1126="","",(I1126-G1126)/G1126)</f>
        <v/>
      </c>
      <c r="M1126" s="26">
        <f>IF(J1126="","",(J1126-G1126)/G1126)</f>
        <v/>
      </c>
      <c r="N1126" s="27">
        <f>IF(H1126="","",IF(D1126="HOLD",IF(ABS(K1126)&lt;0.03,"YES","NO"),IF(D1126="BUY",IF(K1126&gt;0,"YES","NO"),IF(D1126="SELL",IF(K1126&lt;0,"YES","NO"),""))))</f>
        <v/>
      </c>
    </row>
    <row r="1127" ht="15" customHeight="1">
      <c r="K1127" s="26">
        <f>IF(H1127="","",(H1127-G1127)/G1127)</f>
        <v/>
      </c>
      <c r="L1127" s="26">
        <f>IF(I1127="","",(I1127-G1127)/G1127)</f>
        <v/>
      </c>
      <c r="M1127" s="26">
        <f>IF(J1127="","",(J1127-G1127)/G1127)</f>
        <v/>
      </c>
      <c r="N1127" s="27">
        <f>IF(H1127="","",IF(D1127="HOLD",IF(ABS(K1127)&lt;0.03,"YES","NO"),IF(D1127="BUY",IF(K1127&gt;0,"YES","NO"),IF(D1127="SELL",IF(K1127&lt;0,"YES","NO"),""))))</f>
        <v/>
      </c>
    </row>
    <row r="1128" ht="15" customHeight="1">
      <c r="K1128" s="26">
        <f>IF(H1128="","",(H1128-G1128)/G1128)</f>
        <v/>
      </c>
      <c r="L1128" s="26">
        <f>IF(I1128="","",(I1128-G1128)/G1128)</f>
        <v/>
      </c>
      <c r="M1128" s="26">
        <f>IF(J1128="","",(J1128-G1128)/G1128)</f>
        <v/>
      </c>
      <c r="N1128" s="27">
        <f>IF(H1128="","",IF(D1128="HOLD",IF(ABS(K1128)&lt;0.03,"YES","NO"),IF(D1128="BUY",IF(K1128&gt;0,"YES","NO"),IF(D1128="SELL",IF(K1128&lt;0,"YES","NO"),""))))</f>
        <v/>
      </c>
    </row>
    <row r="1129" ht="15" customHeight="1">
      <c r="K1129" s="26">
        <f>IF(H1129="","",(H1129-G1129)/G1129)</f>
        <v/>
      </c>
      <c r="L1129" s="26">
        <f>IF(I1129="","",(I1129-G1129)/G1129)</f>
        <v/>
      </c>
      <c r="M1129" s="26">
        <f>IF(J1129="","",(J1129-G1129)/G1129)</f>
        <v/>
      </c>
      <c r="N1129" s="27">
        <f>IF(H1129="","",IF(D1129="HOLD",IF(ABS(K1129)&lt;0.03,"YES","NO"),IF(D1129="BUY",IF(K1129&gt;0,"YES","NO"),IF(D1129="SELL",IF(K1129&lt;0,"YES","NO"),""))))</f>
        <v/>
      </c>
    </row>
    <row r="1130" ht="15" customHeight="1">
      <c r="K1130" s="26">
        <f>IF(H1130="","",(H1130-G1130)/G1130)</f>
        <v/>
      </c>
      <c r="L1130" s="26">
        <f>IF(I1130="","",(I1130-G1130)/G1130)</f>
        <v/>
      </c>
      <c r="M1130" s="26">
        <f>IF(J1130="","",(J1130-G1130)/G1130)</f>
        <v/>
      </c>
      <c r="N1130" s="27">
        <f>IF(H1130="","",IF(D1130="HOLD",IF(ABS(K1130)&lt;0.03,"YES","NO"),IF(D1130="BUY",IF(K1130&gt;0,"YES","NO"),IF(D1130="SELL",IF(K1130&lt;0,"YES","NO"),""))))</f>
        <v/>
      </c>
    </row>
    <row r="1131" ht="15" customHeight="1">
      <c r="K1131" s="26">
        <f>IF(H1131="","",(H1131-G1131)/G1131)</f>
        <v/>
      </c>
      <c r="L1131" s="26">
        <f>IF(I1131="","",(I1131-G1131)/G1131)</f>
        <v/>
      </c>
      <c r="M1131" s="26">
        <f>IF(J1131="","",(J1131-G1131)/G1131)</f>
        <v/>
      </c>
      <c r="N1131" s="27">
        <f>IF(H1131="","",IF(D1131="HOLD",IF(ABS(K1131)&lt;0.03,"YES","NO"),IF(D1131="BUY",IF(K1131&gt;0,"YES","NO"),IF(D1131="SELL",IF(K1131&lt;0,"YES","NO"),""))))</f>
        <v/>
      </c>
    </row>
    <row r="1132" ht="15" customHeight="1">
      <c r="K1132" s="26">
        <f>IF(H1132="","",(H1132-G1132)/G1132)</f>
        <v/>
      </c>
      <c r="L1132" s="26">
        <f>IF(I1132="","",(I1132-G1132)/G1132)</f>
        <v/>
      </c>
      <c r="M1132" s="26">
        <f>IF(J1132="","",(J1132-G1132)/G1132)</f>
        <v/>
      </c>
      <c r="N1132" s="27">
        <f>IF(H1132="","",IF(D1132="HOLD",IF(ABS(K1132)&lt;0.03,"YES","NO"),IF(D1132="BUY",IF(K1132&gt;0,"YES","NO"),IF(D1132="SELL",IF(K1132&lt;0,"YES","NO"),""))))</f>
        <v/>
      </c>
    </row>
    <row r="1133" ht="15" customHeight="1">
      <c r="K1133" s="26">
        <f>IF(H1133="","",(H1133-G1133)/G1133)</f>
        <v/>
      </c>
      <c r="L1133" s="26">
        <f>IF(I1133="","",(I1133-G1133)/G1133)</f>
        <v/>
      </c>
      <c r="M1133" s="26">
        <f>IF(J1133="","",(J1133-G1133)/G1133)</f>
        <v/>
      </c>
      <c r="N1133" s="27">
        <f>IF(H1133="","",IF(D1133="HOLD",IF(ABS(K1133)&lt;0.03,"YES","NO"),IF(D1133="BUY",IF(K1133&gt;0,"YES","NO"),IF(D1133="SELL",IF(K1133&lt;0,"YES","NO"),""))))</f>
        <v/>
      </c>
    </row>
    <row r="1134" ht="15" customHeight="1">
      <c r="K1134" s="26">
        <f>IF(H1134="","",(H1134-G1134)/G1134)</f>
        <v/>
      </c>
      <c r="L1134" s="26">
        <f>IF(I1134="","",(I1134-G1134)/G1134)</f>
        <v/>
      </c>
      <c r="M1134" s="26">
        <f>IF(J1134="","",(J1134-G1134)/G1134)</f>
        <v/>
      </c>
      <c r="N1134" s="27">
        <f>IF(H1134="","",IF(D1134="HOLD",IF(ABS(K1134)&lt;0.03,"YES","NO"),IF(D1134="BUY",IF(K1134&gt;0,"YES","NO"),IF(D1134="SELL",IF(K1134&lt;0,"YES","NO"),""))))</f>
        <v/>
      </c>
    </row>
    <row r="1135" ht="15" customHeight="1">
      <c r="K1135" s="26">
        <f>IF(H1135="","",(H1135-G1135)/G1135)</f>
        <v/>
      </c>
      <c r="L1135" s="26">
        <f>IF(I1135="","",(I1135-G1135)/G1135)</f>
        <v/>
      </c>
      <c r="M1135" s="26">
        <f>IF(J1135="","",(J1135-G1135)/G1135)</f>
        <v/>
      </c>
      <c r="N1135" s="27">
        <f>IF(H1135="","",IF(D1135="HOLD",IF(ABS(K1135)&lt;0.03,"YES","NO"),IF(D1135="BUY",IF(K1135&gt;0,"YES","NO"),IF(D1135="SELL",IF(K1135&lt;0,"YES","NO"),""))))</f>
        <v/>
      </c>
    </row>
    <row r="1136" ht="15" customHeight="1">
      <c r="K1136" s="26">
        <f>IF(H1136="","",(H1136-G1136)/G1136)</f>
        <v/>
      </c>
      <c r="L1136" s="26">
        <f>IF(I1136="","",(I1136-G1136)/G1136)</f>
        <v/>
      </c>
      <c r="M1136" s="26">
        <f>IF(J1136="","",(J1136-G1136)/G1136)</f>
        <v/>
      </c>
      <c r="N1136" s="27">
        <f>IF(H1136="","",IF(D1136="HOLD",IF(ABS(K1136)&lt;0.03,"YES","NO"),IF(D1136="BUY",IF(K1136&gt;0,"YES","NO"),IF(D1136="SELL",IF(K1136&lt;0,"YES","NO"),""))))</f>
        <v/>
      </c>
    </row>
    <row r="1137" ht="15" customHeight="1">
      <c r="K1137" s="26">
        <f>IF(H1137="","",(H1137-G1137)/G1137)</f>
        <v/>
      </c>
      <c r="L1137" s="26">
        <f>IF(I1137="","",(I1137-G1137)/G1137)</f>
        <v/>
      </c>
      <c r="M1137" s="26">
        <f>IF(J1137="","",(J1137-G1137)/G1137)</f>
        <v/>
      </c>
      <c r="N1137" s="27">
        <f>IF(H1137="","",IF(D1137="HOLD",IF(ABS(K1137)&lt;0.03,"YES","NO"),IF(D1137="BUY",IF(K1137&gt;0,"YES","NO"),IF(D1137="SELL",IF(K1137&lt;0,"YES","NO"),""))))</f>
        <v/>
      </c>
    </row>
    <row r="1138" ht="15" customHeight="1">
      <c r="K1138" s="26">
        <f>IF(H1138="","",(H1138-G1138)/G1138)</f>
        <v/>
      </c>
      <c r="L1138" s="26">
        <f>IF(I1138="","",(I1138-G1138)/G1138)</f>
        <v/>
      </c>
      <c r="M1138" s="26">
        <f>IF(J1138="","",(J1138-G1138)/G1138)</f>
        <v/>
      </c>
      <c r="N1138" s="27">
        <f>IF(H1138="","",IF(D1138="HOLD",IF(ABS(K1138)&lt;0.03,"YES","NO"),IF(D1138="BUY",IF(K1138&gt;0,"YES","NO"),IF(D1138="SELL",IF(K1138&lt;0,"YES","NO"),""))))</f>
        <v/>
      </c>
    </row>
    <row r="1139" ht="15" customHeight="1">
      <c r="K1139" s="26">
        <f>IF(H1139="","",(H1139-G1139)/G1139)</f>
        <v/>
      </c>
      <c r="L1139" s="26">
        <f>IF(I1139="","",(I1139-G1139)/G1139)</f>
        <v/>
      </c>
      <c r="M1139" s="26">
        <f>IF(J1139="","",(J1139-G1139)/G1139)</f>
        <v/>
      </c>
      <c r="N1139" s="27">
        <f>IF(H1139="","",IF(D1139="HOLD",IF(ABS(K1139)&lt;0.03,"YES","NO"),IF(D1139="BUY",IF(K1139&gt;0,"YES","NO"),IF(D1139="SELL",IF(K1139&lt;0,"YES","NO"),""))))</f>
        <v/>
      </c>
    </row>
    <row r="1140" ht="15" customHeight="1">
      <c r="K1140" s="26">
        <f>IF(H1140="","",(H1140-G1140)/G1140)</f>
        <v/>
      </c>
      <c r="L1140" s="26">
        <f>IF(I1140="","",(I1140-G1140)/G1140)</f>
        <v/>
      </c>
      <c r="M1140" s="26">
        <f>IF(J1140="","",(J1140-G1140)/G1140)</f>
        <v/>
      </c>
      <c r="N1140" s="27">
        <f>IF(H1140="","",IF(D1140="HOLD",IF(ABS(K1140)&lt;0.03,"YES","NO"),IF(D1140="BUY",IF(K1140&gt;0,"YES","NO"),IF(D1140="SELL",IF(K1140&lt;0,"YES","NO"),""))))</f>
        <v/>
      </c>
    </row>
    <row r="1141" ht="15" customHeight="1">
      <c r="K1141" s="26">
        <f>IF(H1141="","",(H1141-G1141)/G1141)</f>
        <v/>
      </c>
      <c r="L1141" s="26">
        <f>IF(I1141="","",(I1141-G1141)/G1141)</f>
        <v/>
      </c>
      <c r="M1141" s="26">
        <f>IF(J1141="","",(J1141-G1141)/G1141)</f>
        <v/>
      </c>
      <c r="N1141" s="27">
        <f>IF(H1141="","",IF(D1141="HOLD",IF(ABS(K1141)&lt;0.03,"YES","NO"),IF(D1141="BUY",IF(K1141&gt;0,"YES","NO"),IF(D1141="SELL",IF(K1141&lt;0,"YES","NO"),""))))</f>
        <v/>
      </c>
    </row>
    <row r="1142" ht="15" customHeight="1">
      <c r="K1142" s="26">
        <f>IF(H1142="","",(H1142-G1142)/G1142)</f>
        <v/>
      </c>
      <c r="L1142" s="26">
        <f>IF(I1142="","",(I1142-G1142)/G1142)</f>
        <v/>
      </c>
      <c r="M1142" s="26">
        <f>IF(J1142="","",(J1142-G1142)/G1142)</f>
        <v/>
      </c>
      <c r="N1142" s="27">
        <f>IF(H1142="","",IF(D1142="HOLD",IF(ABS(K1142)&lt;0.03,"YES","NO"),IF(D1142="BUY",IF(K1142&gt;0,"YES","NO"),IF(D1142="SELL",IF(K1142&lt;0,"YES","NO"),""))))</f>
        <v/>
      </c>
    </row>
    <row r="1143" ht="15" customHeight="1">
      <c r="K1143" s="26">
        <f>IF(H1143="","",(H1143-G1143)/G1143)</f>
        <v/>
      </c>
      <c r="L1143" s="26">
        <f>IF(I1143="","",(I1143-G1143)/G1143)</f>
        <v/>
      </c>
      <c r="M1143" s="26">
        <f>IF(J1143="","",(J1143-G1143)/G1143)</f>
        <v/>
      </c>
      <c r="N1143" s="27">
        <f>IF(H1143="","",IF(D1143="HOLD",IF(ABS(K1143)&lt;0.03,"YES","NO"),IF(D1143="BUY",IF(K1143&gt;0,"YES","NO"),IF(D1143="SELL",IF(K1143&lt;0,"YES","NO"),""))))</f>
        <v/>
      </c>
    </row>
    <row r="1144" ht="15" customHeight="1">
      <c r="K1144" s="26">
        <f>IF(H1144="","",(H1144-G1144)/G1144)</f>
        <v/>
      </c>
      <c r="L1144" s="26">
        <f>IF(I1144="","",(I1144-G1144)/G1144)</f>
        <v/>
      </c>
      <c r="M1144" s="26">
        <f>IF(J1144="","",(J1144-G1144)/G1144)</f>
        <v/>
      </c>
      <c r="N1144" s="27">
        <f>IF(H1144="","",IF(D1144="HOLD",IF(ABS(K1144)&lt;0.03,"YES","NO"),IF(D1144="BUY",IF(K1144&gt;0,"YES","NO"),IF(D1144="SELL",IF(K1144&lt;0,"YES","NO"),""))))</f>
        <v/>
      </c>
    </row>
    <row r="1145" ht="15" customHeight="1">
      <c r="K1145" s="26">
        <f>IF(H1145="","",(H1145-G1145)/G1145)</f>
        <v/>
      </c>
      <c r="L1145" s="26">
        <f>IF(I1145="","",(I1145-G1145)/G1145)</f>
        <v/>
      </c>
      <c r="M1145" s="26">
        <f>IF(J1145="","",(J1145-G1145)/G1145)</f>
        <v/>
      </c>
      <c r="N1145" s="27">
        <f>IF(H1145="","",IF(D1145="HOLD",IF(ABS(K1145)&lt;0.03,"YES","NO"),IF(D1145="BUY",IF(K1145&gt;0,"YES","NO"),IF(D1145="SELL",IF(K1145&lt;0,"YES","NO"),""))))</f>
        <v/>
      </c>
    </row>
    <row r="1146" ht="15" customHeight="1">
      <c r="K1146" s="26">
        <f>IF(H1146="","",(H1146-G1146)/G1146)</f>
        <v/>
      </c>
      <c r="L1146" s="26">
        <f>IF(I1146="","",(I1146-G1146)/G1146)</f>
        <v/>
      </c>
      <c r="M1146" s="26">
        <f>IF(J1146="","",(J1146-G1146)/G1146)</f>
        <v/>
      </c>
      <c r="N1146" s="27">
        <f>IF(H1146="","",IF(D1146="HOLD",IF(ABS(K1146)&lt;0.03,"YES","NO"),IF(D1146="BUY",IF(K1146&gt;0,"YES","NO"),IF(D1146="SELL",IF(K1146&lt;0,"YES","NO"),""))))</f>
        <v/>
      </c>
    </row>
    <row r="1147" ht="15" customHeight="1">
      <c r="K1147" s="26">
        <f>IF(H1147="","",(H1147-G1147)/G1147)</f>
        <v/>
      </c>
      <c r="L1147" s="26">
        <f>IF(I1147="","",(I1147-G1147)/G1147)</f>
        <v/>
      </c>
      <c r="M1147" s="26">
        <f>IF(J1147="","",(J1147-G1147)/G1147)</f>
        <v/>
      </c>
      <c r="N1147" s="27">
        <f>IF(H1147="","",IF(D1147="HOLD",IF(ABS(K1147)&lt;0.03,"YES","NO"),IF(D1147="BUY",IF(K1147&gt;0,"YES","NO"),IF(D1147="SELL",IF(K1147&lt;0,"YES","NO"),""))))</f>
        <v/>
      </c>
    </row>
    <row r="1148" ht="15" customHeight="1">
      <c r="K1148" s="26">
        <f>IF(H1148="","",(H1148-G1148)/G1148)</f>
        <v/>
      </c>
      <c r="L1148" s="26">
        <f>IF(I1148="","",(I1148-G1148)/G1148)</f>
        <v/>
      </c>
      <c r="M1148" s="26">
        <f>IF(J1148="","",(J1148-G1148)/G1148)</f>
        <v/>
      </c>
      <c r="N1148" s="27">
        <f>IF(H1148="","",IF(D1148="HOLD",IF(ABS(K1148)&lt;0.03,"YES","NO"),IF(D1148="BUY",IF(K1148&gt;0,"YES","NO"),IF(D1148="SELL",IF(K1148&lt;0,"YES","NO"),""))))</f>
        <v/>
      </c>
    </row>
    <row r="1149" ht="15" customHeight="1">
      <c r="K1149" s="26">
        <f>IF(H1149="","",(H1149-G1149)/G1149)</f>
        <v/>
      </c>
      <c r="L1149" s="26">
        <f>IF(I1149="","",(I1149-G1149)/G1149)</f>
        <v/>
      </c>
      <c r="M1149" s="26">
        <f>IF(J1149="","",(J1149-G1149)/G1149)</f>
        <v/>
      </c>
      <c r="N1149" s="27">
        <f>IF(H1149="","",IF(D1149="HOLD",IF(ABS(K1149)&lt;0.03,"YES","NO"),IF(D1149="BUY",IF(K1149&gt;0,"YES","NO"),IF(D1149="SELL",IF(K1149&lt;0,"YES","NO"),""))))</f>
        <v/>
      </c>
    </row>
    <row r="1150" ht="15" customHeight="1">
      <c r="K1150" s="26">
        <f>IF(H1150="","",(H1150-G1150)/G1150)</f>
        <v/>
      </c>
      <c r="L1150" s="26">
        <f>IF(I1150="","",(I1150-G1150)/G1150)</f>
        <v/>
      </c>
      <c r="M1150" s="26">
        <f>IF(J1150="","",(J1150-G1150)/G1150)</f>
        <v/>
      </c>
      <c r="N1150" s="27">
        <f>IF(H1150="","",IF(D1150="HOLD",IF(ABS(K1150)&lt;0.03,"YES","NO"),IF(D1150="BUY",IF(K1150&gt;0,"YES","NO"),IF(D1150="SELL",IF(K1150&lt;0,"YES","NO"),""))))</f>
        <v/>
      </c>
    </row>
    <row r="1151" ht="15" customHeight="1">
      <c r="K1151" s="26">
        <f>IF(H1151="","",(H1151-G1151)/G1151)</f>
        <v/>
      </c>
      <c r="L1151" s="26">
        <f>IF(I1151="","",(I1151-G1151)/G1151)</f>
        <v/>
      </c>
      <c r="M1151" s="26">
        <f>IF(J1151="","",(J1151-G1151)/G1151)</f>
        <v/>
      </c>
      <c r="N1151" s="27">
        <f>IF(H1151="","",IF(D1151="HOLD",IF(ABS(K1151)&lt;0.03,"YES","NO"),IF(D1151="BUY",IF(K1151&gt;0,"YES","NO"),IF(D1151="SELL",IF(K1151&lt;0,"YES","NO"),""))))</f>
        <v/>
      </c>
    </row>
    <row r="1152" ht="15" customHeight="1">
      <c r="K1152" s="26">
        <f>IF(H1152="","",(H1152-G1152)/G1152)</f>
        <v/>
      </c>
      <c r="L1152" s="26">
        <f>IF(I1152="","",(I1152-G1152)/G1152)</f>
        <v/>
      </c>
      <c r="M1152" s="26">
        <f>IF(J1152="","",(J1152-G1152)/G1152)</f>
        <v/>
      </c>
      <c r="N1152" s="27">
        <f>IF(H1152="","",IF(D1152="HOLD",IF(ABS(K1152)&lt;0.03,"YES","NO"),IF(D1152="BUY",IF(K1152&gt;0,"YES","NO"),IF(D1152="SELL",IF(K1152&lt;0,"YES","NO"),""))))</f>
        <v/>
      </c>
    </row>
    <row r="1153" ht="15" customHeight="1">
      <c r="K1153" s="26">
        <f>IF(H1153="","",(H1153-G1153)/G1153)</f>
        <v/>
      </c>
      <c r="L1153" s="26">
        <f>IF(I1153="","",(I1153-G1153)/G1153)</f>
        <v/>
      </c>
      <c r="M1153" s="26">
        <f>IF(J1153="","",(J1153-G1153)/G1153)</f>
        <v/>
      </c>
      <c r="N1153" s="27">
        <f>IF(H1153="","",IF(D1153="HOLD",IF(ABS(K1153)&lt;0.03,"YES","NO"),IF(D1153="BUY",IF(K1153&gt;0,"YES","NO"),IF(D1153="SELL",IF(K1153&lt;0,"YES","NO"),""))))</f>
        <v/>
      </c>
    </row>
    <row r="1154" ht="15" customHeight="1">
      <c r="K1154" s="26">
        <f>IF(H1154="","",(H1154-G1154)/G1154)</f>
        <v/>
      </c>
      <c r="L1154" s="26">
        <f>IF(I1154="","",(I1154-G1154)/G1154)</f>
        <v/>
      </c>
      <c r="M1154" s="26">
        <f>IF(J1154="","",(J1154-G1154)/G1154)</f>
        <v/>
      </c>
      <c r="N1154" s="27">
        <f>IF(H1154="","",IF(D1154="HOLD",IF(ABS(K1154)&lt;0.03,"YES","NO"),IF(D1154="BUY",IF(K1154&gt;0,"YES","NO"),IF(D1154="SELL",IF(K1154&lt;0,"YES","NO"),""))))</f>
        <v/>
      </c>
    </row>
    <row r="1155" ht="15" customHeight="1">
      <c r="K1155" s="26">
        <f>IF(H1155="","",(H1155-G1155)/G1155)</f>
        <v/>
      </c>
      <c r="L1155" s="26">
        <f>IF(I1155="","",(I1155-G1155)/G1155)</f>
        <v/>
      </c>
      <c r="M1155" s="26">
        <f>IF(J1155="","",(J1155-G1155)/G1155)</f>
        <v/>
      </c>
      <c r="N1155" s="27">
        <f>IF(H1155="","",IF(D1155="HOLD",IF(ABS(K1155)&lt;0.03,"YES","NO"),IF(D1155="BUY",IF(K1155&gt;0,"YES","NO"),IF(D1155="SELL",IF(K1155&lt;0,"YES","NO"),""))))</f>
        <v/>
      </c>
    </row>
    <row r="1156" ht="15" customHeight="1">
      <c r="K1156" s="26">
        <f>IF(H1156="","",(H1156-G1156)/G1156)</f>
        <v/>
      </c>
      <c r="L1156" s="26">
        <f>IF(I1156="","",(I1156-G1156)/G1156)</f>
        <v/>
      </c>
      <c r="M1156" s="26">
        <f>IF(J1156="","",(J1156-G1156)/G1156)</f>
        <v/>
      </c>
      <c r="N1156" s="27">
        <f>IF(H1156="","",IF(D1156="HOLD",IF(ABS(K1156)&lt;0.03,"YES","NO"),IF(D1156="BUY",IF(K1156&gt;0,"YES","NO"),IF(D1156="SELL",IF(K1156&lt;0,"YES","NO"),""))))</f>
        <v/>
      </c>
    </row>
    <row r="1157" ht="15" customHeight="1">
      <c r="K1157" s="26">
        <f>IF(H1157="","",(H1157-G1157)/G1157)</f>
        <v/>
      </c>
      <c r="L1157" s="26">
        <f>IF(I1157="","",(I1157-G1157)/G1157)</f>
        <v/>
      </c>
      <c r="M1157" s="26">
        <f>IF(J1157="","",(J1157-G1157)/G1157)</f>
        <v/>
      </c>
      <c r="N1157" s="27">
        <f>IF(H1157="","",IF(D1157="HOLD",IF(ABS(K1157)&lt;0.03,"YES","NO"),IF(D1157="BUY",IF(K1157&gt;0,"YES","NO"),IF(D1157="SELL",IF(K1157&lt;0,"YES","NO"),""))))</f>
        <v/>
      </c>
    </row>
    <row r="1158" ht="15" customHeight="1">
      <c r="K1158" s="26">
        <f>IF(H1158="","",(H1158-G1158)/G1158)</f>
        <v/>
      </c>
      <c r="L1158" s="26">
        <f>IF(I1158="","",(I1158-G1158)/G1158)</f>
        <v/>
      </c>
      <c r="M1158" s="26">
        <f>IF(J1158="","",(J1158-G1158)/G1158)</f>
        <v/>
      </c>
      <c r="N1158" s="27">
        <f>IF(H1158="","",IF(D1158="HOLD",IF(ABS(K1158)&lt;0.03,"YES","NO"),IF(D1158="BUY",IF(K1158&gt;0,"YES","NO"),IF(D1158="SELL",IF(K1158&lt;0,"YES","NO"),""))))</f>
        <v/>
      </c>
    </row>
    <row r="1159" ht="15" customHeight="1">
      <c r="K1159" s="26">
        <f>IF(H1159="","",(H1159-G1159)/G1159)</f>
        <v/>
      </c>
      <c r="L1159" s="26">
        <f>IF(I1159="","",(I1159-G1159)/G1159)</f>
        <v/>
      </c>
      <c r="M1159" s="26">
        <f>IF(J1159="","",(J1159-G1159)/G1159)</f>
        <v/>
      </c>
      <c r="N1159" s="27">
        <f>IF(H1159="","",IF(D1159="HOLD",IF(ABS(K1159)&lt;0.03,"YES","NO"),IF(D1159="BUY",IF(K1159&gt;0,"YES","NO"),IF(D1159="SELL",IF(K1159&lt;0,"YES","NO"),""))))</f>
        <v/>
      </c>
    </row>
    <row r="1160" ht="15" customHeight="1">
      <c r="K1160" s="26">
        <f>IF(H1160="","",(H1160-G1160)/G1160)</f>
        <v/>
      </c>
      <c r="L1160" s="26">
        <f>IF(I1160="","",(I1160-G1160)/G1160)</f>
        <v/>
      </c>
      <c r="M1160" s="26">
        <f>IF(J1160="","",(J1160-G1160)/G1160)</f>
        <v/>
      </c>
      <c r="N1160" s="27">
        <f>IF(H1160="","",IF(D1160="HOLD",IF(ABS(K1160)&lt;0.03,"YES","NO"),IF(D1160="BUY",IF(K1160&gt;0,"YES","NO"),IF(D1160="SELL",IF(K1160&lt;0,"YES","NO"),""))))</f>
        <v/>
      </c>
    </row>
    <row r="1161" ht="15" customHeight="1">
      <c r="K1161" s="26">
        <f>IF(H1161="","",(H1161-G1161)/G1161)</f>
        <v/>
      </c>
      <c r="L1161" s="26">
        <f>IF(I1161="","",(I1161-G1161)/G1161)</f>
        <v/>
      </c>
      <c r="M1161" s="26">
        <f>IF(J1161="","",(J1161-G1161)/G1161)</f>
        <v/>
      </c>
      <c r="N1161" s="27">
        <f>IF(H1161="","",IF(D1161="HOLD",IF(ABS(K1161)&lt;0.03,"YES","NO"),IF(D1161="BUY",IF(K1161&gt;0,"YES","NO"),IF(D1161="SELL",IF(K1161&lt;0,"YES","NO"),""))))</f>
        <v/>
      </c>
    </row>
    <row r="1162" ht="15" customHeight="1">
      <c r="K1162" s="26">
        <f>IF(H1162="","",(H1162-G1162)/G1162)</f>
        <v/>
      </c>
      <c r="L1162" s="26">
        <f>IF(I1162="","",(I1162-G1162)/G1162)</f>
        <v/>
      </c>
      <c r="M1162" s="26">
        <f>IF(J1162="","",(J1162-G1162)/G1162)</f>
        <v/>
      </c>
      <c r="N1162" s="27">
        <f>IF(H1162="","",IF(D1162="HOLD",IF(ABS(K1162)&lt;0.03,"YES","NO"),IF(D1162="BUY",IF(K1162&gt;0,"YES","NO"),IF(D1162="SELL",IF(K1162&lt;0,"YES","NO"),""))))</f>
        <v/>
      </c>
    </row>
    <row r="1163" ht="15" customHeight="1">
      <c r="K1163" s="26">
        <f>IF(H1163="","",(H1163-G1163)/G1163)</f>
        <v/>
      </c>
      <c r="L1163" s="26">
        <f>IF(I1163="","",(I1163-G1163)/G1163)</f>
        <v/>
      </c>
      <c r="M1163" s="26">
        <f>IF(J1163="","",(J1163-G1163)/G1163)</f>
        <v/>
      </c>
      <c r="N1163" s="27">
        <f>IF(H1163="","",IF(D1163="HOLD",IF(ABS(K1163)&lt;0.03,"YES","NO"),IF(D1163="BUY",IF(K1163&gt;0,"YES","NO"),IF(D1163="SELL",IF(K1163&lt;0,"YES","NO"),""))))</f>
        <v/>
      </c>
    </row>
    <row r="1164" ht="15" customHeight="1">
      <c r="K1164" s="26">
        <f>IF(H1164="","",(H1164-G1164)/G1164)</f>
        <v/>
      </c>
      <c r="L1164" s="26">
        <f>IF(I1164="","",(I1164-G1164)/G1164)</f>
        <v/>
      </c>
      <c r="M1164" s="26">
        <f>IF(J1164="","",(J1164-G1164)/G1164)</f>
        <v/>
      </c>
      <c r="N1164" s="27">
        <f>IF(H1164="","",IF(D1164="HOLD",IF(ABS(K1164)&lt;0.03,"YES","NO"),IF(D1164="BUY",IF(K1164&gt;0,"YES","NO"),IF(D1164="SELL",IF(K1164&lt;0,"YES","NO"),""))))</f>
        <v/>
      </c>
    </row>
    <row r="1165" ht="15" customHeight="1">
      <c r="K1165" s="26">
        <f>IF(H1165="","",(H1165-G1165)/G1165)</f>
        <v/>
      </c>
      <c r="L1165" s="26">
        <f>IF(I1165="","",(I1165-G1165)/G1165)</f>
        <v/>
      </c>
      <c r="M1165" s="26">
        <f>IF(J1165="","",(J1165-G1165)/G1165)</f>
        <v/>
      </c>
      <c r="N1165" s="27">
        <f>IF(H1165="","",IF(D1165="HOLD",IF(ABS(K1165)&lt;0.03,"YES","NO"),IF(D1165="BUY",IF(K1165&gt;0,"YES","NO"),IF(D1165="SELL",IF(K1165&lt;0,"YES","NO"),""))))</f>
        <v/>
      </c>
    </row>
    <row r="1166" ht="15" customHeight="1">
      <c r="K1166" s="26">
        <f>IF(H1166="","",(H1166-G1166)/G1166)</f>
        <v/>
      </c>
      <c r="L1166" s="26">
        <f>IF(I1166="","",(I1166-G1166)/G1166)</f>
        <v/>
      </c>
      <c r="M1166" s="26">
        <f>IF(J1166="","",(J1166-G1166)/G1166)</f>
        <v/>
      </c>
      <c r="N1166" s="27">
        <f>IF(H1166="","",IF(D1166="HOLD",IF(ABS(K1166)&lt;0.03,"YES","NO"),IF(D1166="BUY",IF(K1166&gt;0,"YES","NO"),IF(D1166="SELL",IF(K1166&lt;0,"YES","NO"),""))))</f>
        <v/>
      </c>
    </row>
    <row r="1167" ht="15" customHeight="1">
      <c r="K1167" s="26">
        <f>IF(H1167="","",(H1167-G1167)/G1167)</f>
        <v/>
      </c>
      <c r="L1167" s="26">
        <f>IF(I1167="","",(I1167-G1167)/G1167)</f>
        <v/>
      </c>
      <c r="M1167" s="26">
        <f>IF(J1167="","",(J1167-G1167)/G1167)</f>
        <v/>
      </c>
      <c r="N1167" s="27">
        <f>IF(H1167="","",IF(D1167="HOLD",IF(ABS(K1167)&lt;0.03,"YES","NO"),IF(D1167="BUY",IF(K1167&gt;0,"YES","NO"),IF(D1167="SELL",IF(K1167&lt;0,"YES","NO"),""))))</f>
        <v/>
      </c>
    </row>
    <row r="1168" ht="15" customHeight="1">
      <c r="K1168" s="26">
        <f>IF(H1168="","",(H1168-G1168)/G1168)</f>
        <v/>
      </c>
      <c r="L1168" s="26">
        <f>IF(I1168="","",(I1168-G1168)/G1168)</f>
        <v/>
      </c>
      <c r="M1168" s="26">
        <f>IF(J1168="","",(J1168-G1168)/G1168)</f>
        <v/>
      </c>
      <c r="N1168" s="27">
        <f>IF(H1168="","",IF(D1168="HOLD",IF(ABS(K1168)&lt;0.03,"YES","NO"),IF(D1168="BUY",IF(K1168&gt;0,"YES","NO"),IF(D1168="SELL",IF(K1168&lt;0,"YES","NO"),""))))</f>
        <v/>
      </c>
    </row>
    <row r="1169" ht="15" customHeight="1">
      <c r="K1169" s="26">
        <f>IF(H1169="","",(H1169-G1169)/G1169)</f>
        <v/>
      </c>
      <c r="L1169" s="26">
        <f>IF(I1169="","",(I1169-G1169)/G1169)</f>
        <v/>
      </c>
      <c r="M1169" s="26">
        <f>IF(J1169="","",(J1169-G1169)/G1169)</f>
        <v/>
      </c>
      <c r="N1169" s="27">
        <f>IF(H1169="","",IF(D1169="HOLD",IF(ABS(K1169)&lt;0.03,"YES","NO"),IF(D1169="BUY",IF(K1169&gt;0,"YES","NO"),IF(D1169="SELL",IF(K1169&lt;0,"YES","NO"),""))))</f>
        <v/>
      </c>
    </row>
    <row r="1170" ht="15" customHeight="1">
      <c r="K1170" s="26">
        <f>IF(H1170="","",(H1170-G1170)/G1170)</f>
        <v/>
      </c>
      <c r="L1170" s="26">
        <f>IF(I1170="","",(I1170-G1170)/G1170)</f>
        <v/>
      </c>
      <c r="M1170" s="26">
        <f>IF(J1170="","",(J1170-G1170)/G1170)</f>
        <v/>
      </c>
      <c r="N1170" s="27">
        <f>IF(H1170="","",IF(D1170="HOLD",IF(ABS(K1170)&lt;0.03,"YES","NO"),IF(D1170="BUY",IF(K1170&gt;0,"YES","NO"),IF(D1170="SELL",IF(K1170&lt;0,"YES","NO"),""))))</f>
        <v/>
      </c>
    </row>
    <row r="1171" ht="15" customHeight="1">
      <c r="K1171" s="26">
        <f>IF(H1171="","",(H1171-G1171)/G1171)</f>
        <v/>
      </c>
      <c r="L1171" s="26">
        <f>IF(I1171="","",(I1171-G1171)/G1171)</f>
        <v/>
      </c>
      <c r="M1171" s="26">
        <f>IF(J1171="","",(J1171-G1171)/G1171)</f>
        <v/>
      </c>
      <c r="N1171" s="27">
        <f>IF(H1171="","",IF(D1171="HOLD",IF(ABS(K1171)&lt;0.03,"YES","NO"),IF(D1171="BUY",IF(K1171&gt;0,"YES","NO"),IF(D1171="SELL",IF(K1171&lt;0,"YES","NO"),""))))</f>
        <v/>
      </c>
    </row>
    <row r="1172" ht="15" customHeight="1">
      <c r="K1172" s="26">
        <f>IF(H1172="","",(H1172-G1172)/G1172)</f>
        <v/>
      </c>
      <c r="L1172" s="26">
        <f>IF(I1172="","",(I1172-G1172)/G1172)</f>
        <v/>
      </c>
      <c r="M1172" s="26">
        <f>IF(J1172="","",(J1172-G1172)/G1172)</f>
        <v/>
      </c>
      <c r="N1172" s="27">
        <f>IF(H1172="","",IF(D1172="HOLD",IF(ABS(K1172)&lt;0.03,"YES","NO"),IF(D1172="BUY",IF(K1172&gt;0,"YES","NO"),IF(D1172="SELL",IF(K1172&lt;0,"YES","NO"),""))))</f>
        <v/>
      </c>
    </row>
    <row r="1173" ht="15" customHeight="1">
      <c r="K1173" s="26">
        <f>IF(H1173="","",(H1173-G1173)/G1173)</f>
        <v/>
      </c>
      <c r="L1173" s="26">
        <f>IF(I1173="","",(I1173-G1173)/G1173)</f>
        <v/>
      </c>
      <c r="M1173" s="26">
        <f>IF(J1173="","",(J1173-G1173)/G1173)</f>
        <v/>
      </c>
      <c r="N1173" s="27">
        <f>IF(H1173="","",IF(D1173="HOLD",IF(ABS(K1173)&lt;0.03,"YES","NO"),IF(D1173="BUY",IF(K1173&gt;0,"YES","NO"),IF(D1173="SELL",IF(K1173&lt;0,"YES","NO"),""))))</f>
        <v/>
      </c>
    </row>
    <row r="1174" ht="15" customHeight="1">
      <c r="K1174" s="26">
        <f>IF(H1174="","",(H1174-G1174)/G1174)</f>
        <v/>
      </c>
      <c r="L1174" s="26">
        <f>IF(I1174="","",(I1174-G1174)/G1174)</f>
        <v/>
      </c>
      <c r="M1174" s="26">
        <f>IF(J1174="","",(J1174-G1174)/G1174)</f>
        <v/>
      </c>
      <c r="N1174" s="27">
        <f>IF(H1174="","",IF(D1174="HOLD",IF(ABS(K1174)&lt;0.03,"YES","NO"),IF(D1174="BUY",IF(K1174&gt;0,"YES","NO"),IF(D1174="SELL",IF(K1174&lt;0,"YES","NO"),""))))</f>
        <v/>
      </c>
    </row>
    <row r="1175" ht="15" customHeight="1">
      <c r="K1175" s="26">
        <f>IF(H1175="","",(H1175-G1175)/G1175)</f>
        <v/>
      </c>
      <c r="L1175" s="26">
        <f>IF(I1175="","",(I1175-G1175)/G1175)</f>
        <v/>
      </c>
      <c r="M1175" s="26">
        <f>IF(J1175="","",(J1175-G1175)/G1175)</f>
        <v/>
      </c>
      <c r="N1175" s="27">
        <f>IF(H1175="","",IF(D1175="HOLD",IF(ABS(K1175)&lt;0.03,"YES","NO"),IF(D1175="BUY",IF(K1175&gt;0,"YES","NO"),IF(D1175="SELL",IF(K1175&lt;0,"YES","NO"),""))))</f>
        <v/>
      </c>
    </row>
    <row r="1176" ht="15" customHeight="1">
      <c r="K1176" s="26">
        <f>IF(H1176="","",(H1176-G1176)/G1176)</f>
        <v/>
      </c>
      <c r="L1176" s="26">
        <f>IF(I1176="","",(I1176-G1176)/G1176)</f>
        <v/>
      </c>
      <c r="M1176" s="26">
        <f>IF(J1176="","",(J1176-G1176)/G1176)</f>
        <v/>
      </c>
      <c r="N1176" s="27">
        <f>IF(H1176="","",IF(D1176="HOLD",IF(ABS(K1176)&lt;0.03,"YES","NO"),IF(D1176="BUY",IF(K1176&gt;0,"YES","NO"),IF(D1176="SELL",IF(K1176&lt;0,"YES","NO"),""))))</f>
        <v/>
      </c>
    </row>
    <row r="1177" ht="15" customHeight="1">
      <c r="K1177" s="26">
        <f>IF(H1177="","",(H1177-G1177)/G1177)</f>
        <v/>
      </c>
      <c r="L1177" s="26">
        <f>IF(I1177="","",(I1177-G1177)/G1177)</f>
        <v/>
      </c>
      <c r="M1177" s="26">
        <f>IF(J1177="","",(J1177-G1177)/G1177)</f>
        <v/>
      </c>
      <c r="N1177" s="27">
        <f>IF(H1177="","",IF(D1177="HOLD",IF(ABS(K1177)&lt;0.03,"YES","NO"),IF(D1177="BUY",IF(K1177&gt;0,"YES","NO"),IF(D1177="SELL",IF(K1177&lt;0,"YES","NO"),""))))</f>
        <v/>
      </c>
    </row>
    <row r="1178" ht="15" customHeight="1">
      <c r="K1178" s="26">
        <f>IF(H1178="","",(H1178-G1178)/G1178)</f>
        <v/>
      </c>
      <c r="L1178" s="26">
        <f>IF(I1178="","",(I1178-G1178)/G1178)</f>
        <v/>
      </c>
      <c r="M1178" s="26">
        <f>IF(J1178="","",(J1178-G1178)/G1178)</f>
        <v/>
      </c>
      <c r="N1178" s="27">
        <f>IF(H1178="","",IF(D1178="HOLD",IF(ABS(K1178)&lt;0.03,"YES","NO"),IF(D1178="BUY",IF(K1178&gt;0,"YES","NO"),IF(D1178="SELL",IF(K1178&lt;0,"YES","NO"),""))))</f>
        <v/>
      </c>
    </row>
    <row r="1179" ht="15" customHeight="1">
      <c r="K1179" s="26">
        <f>IF(H1179="","",(H1179-G1179)/G1179)</f>
        <v/>
      </c>
      <c r="L1179" s="26">
        <f>IF(I1179="","",(I1179-G1179)/G1179)</f>
        <v/>
      </c>
      <c r="M1179" s="26">
        <f>IF(J1179="","",(J1179-G1179)/G1179)</f>
        <v/>
      </c>
      <c r="N1179" s="27">
        <f>IF(H1179="","",IF(D1179="HOLD",IF(ABS(K1179)&lt;0.03,"YES","NO"),IF(D1179="BUY",IF(K1179&gt;0,"YES","NO"),IF(D1179="SELL",IF(K1179&lt;0,"YES","NO"),""))))</f>
        <v/>
      </c>
    </row>
    <row r="1180" ht="15" customHeight="1">
      <c r="K1180" s="26">
        <f>IF(H1180="","",(H1180-G1180)/G1180)</f>
        <v/>
      </c>
      <c r="L1180" s="26">
        <f>IF(I1180="","",(I1180-G1180)/G1180)</f>
        <v/>
      </c>
      <c r="M1180" s="26">
        <f>IF(J1180="","",(J1180-G1180)/G1180)</f>
        <v/>
      </c>
      <c r="N1180" s="27">
        <f>IF(H1180="","",IF(D1180="HOLD",IF(ABS(K1180)&lt;0.03,"YES","NO"),IF(D1180="BUY",IF(K1180&gt;0,"YES","NO"),IF(D1180="SELL",IF(K1180&lt;0,"YES","NO"),""))))</f>
        <v/>
      </c>
    </row>
    <row r="1181" ht="15" customHeight="1">
      <c r="K1181" s="26">
        <f>IF(H1181="","",(H1181-G1181)/G1181)</f>
        <v/>
      </c>
      <c r="L1181" s="26">
        <f>IF(I1181="","",(I1181-G1181)/G1181)</f>
        <v/>
      </c>
      <c r="M1181" s="26">
        <f>IF(J1181="","",(J1181-G1181)/G1181)</f>
        <v/>
      </c>
      <c r="N1181" s="27">
        <f>IF(H1181="","",IF(D1181="HOLD",IF(ABS(K1181)&lt;0.03,"YES","NO"),IF(D1181="BUY",IF(K1181&gt;0,"YES","NO"),IF(D1181="SELL",IF(K1181&lt;0,"YES","NO"),""))))</f>
        <v/>
      </c>
    </row>
    <row r="1182" ht="15" customHeight="1">
      <c r="K1182" s="26">
        <f>IF(H1182="","",(H1182-G1182)/G1182)</f>
        <v/>
      </c>
      <c r="L1182" s="26">
        <f>IF(I1182="","",(I1182-G1182)/G1182)</f>
        <v/>
      </c>
      <c r="M1182" s="26">
        <f>IF(J1182="","",(J1182-G1182)/G1182)</f>
        <v/>
      </c>
      <c r="N1182" s="27">
        <f>IF(H1182="","",IF(D1182="HOLD",IF(ABS(K1182)&lt;0.03,"YES","NO"),IF(D1182="BUY",IF(K1182&gt;0,"YES","NO"),IF(D1182="SELL",IF(K1182&lt;0,"YES","NO"),""))))</f>
        <v/>
      </c>
    </row>
    <row r="1183" ht="15" customHeight="1">
      <c r="K1183" s="26">
        <f>IF(H1183="","",(H1183-G1183)/G1183)</f>
        <v/>
      </c>
      <c r="L1183" s="26">
        <f>IF(I1183="","",(I1183-G1183)/G1183)</f>
        <v/>
      </c>
      <c r="M1183" s="26">
        <f>IF(J1183="","",(J1183-G1183)/G1183)</f>
        <v/>
      </c>
      <c r="N1183" s="27">
        <f>IF(H1183="","",IF(D1183="HOLD",IF(ABS(K1183)&lt;0.03,"YES","NO"),IF(D1183="BUY",IF(K1183&gt;0,"YES","NO"),IF(D1183="SELL",IF(K1183&lt;0,"YES","NO"),""))))</f>
        <v/>
      </c>
    </row>
    <row r="1184" ht="15" customHeight="1">
      <c r="K1184" s="26">
        <f>IF(H1184="","",(H1184-G1184)/G1184)</f>
        <v/>
      </c>
      <c r="L1184" s="26">
        <f>IF(I1184="","",(I1184-G1184)/G1184)</f>
        <v/>
      </c>
      <c r="M1184" s="26">
        <f>IF(J1184="","",(J1184-G1184)/G1184)</f>
        <v/>
      </c>
      <c r="N1184" s="27">
        <f>IF(H1184="","",IF(D1184="HOLD",IF(ABS(K1184)&lt;0.03,"YES","NO"),IF(D1184="BUY",IF(K1184&gt;0,"YES","NO"),IF(D1184="SELL",IF(K1184&lt;0,"YES","NO"),""))))</f>
        <v/>
      </c>
    </row>
    <row r="1185" ht="15" customHeight="1">
      <c r="K1185" s="26">
        <f>IF(H1185="","",(H1185-G1185)/G1185)</f>
        <v/>
      </c>
      <c r="L1185" s="26">
        <f>IF(I1185="","",(I1185-G1185)/G1185)</f>
        <v/>
      </c>
      <c r="M1185" s="26">
        <f>IF(J1185="","",(J1185-G1185)/G1185)</f>
        <v/>
      </c>
      <c r="N1185" s="27">
        <f>IF(H1185="","",IF(D1185="HOLD",IF(ABS(K1185)&lt;0.03,"YES","NO"),IF(D1185="BUY",IF(K1185&gt;0,"YES","NO"),IF(D1185="SELL",IF(K1185&lt;0,"YES","NO"),""))))</f>
        <v/>
      </c>
    </row>
    <row r="1186" ht="15" customHeight="1">
      <c r="K1186" s="26">
        <f>IF(H1186="","",(H1186-G1186)/G1186)</f>
        <v/>
      </c>
      <c r="L1186" s="26">
        <f>IF(I1186="","",(I1186-G1186)/G1186)</f>
        <v/>
      </c>
      <c r="M1186" s="26">
        <f>IF(J1186="","",(J1186-G1186)/G1186)</f>
        <v/>
      </c>
      <c r="N1186" s="27">
        <f>IF(H1186="","",IF(D1186="HOLD",IF(ABS(K1186)&lt;0.03,"YES","NO"),IF(D1186="BUY",IF(K1186&gt;0,"YES","NO"),IF(D1186="SELL",IF(K1186&lt;0,"YES","NO"),""))))</f>
        <v/>
      </c>
    </row>
    <row r="1187" ht="15" customHeight="1">
      <c r="K1187" s="26">
        <f>IF(H1187="","",(H1187-G1187)/G1187)</f>
        <v/>
      </c>
      <c r="L1187" s="26">
        <f>IF(I1187="","",(I1187-G1187)/G1187)</f>
        <v/>
      </c>
      <c r="M1187" s="26">
        <f>IF(J1187="","",(J1187-G1187)/G1187)</f>
        <v/>
      </c>
      <c r="N1187" s="27">
        <f>IF(H1187="","",IF(D1187="HOLD",IF(ABS(K1187)&lt;0.03,"YES","NO"),IF(D1187="BUY",IF(K1187&gt;0,"YES","NO"),IF(D1187="SELL",IF(K1187&lt;0,"YES","NO"),""))))</f>
        <v/>
      </c>
    </row>
    <row r="1188" ht="15" customHeight="1">
      <c r="K1188" s="26">
        <f>IF(H1188="","",(H1188-G1188)/G1188)</f>
        <v/>
      </c>
      <c r="L1188" s="26">
        <f>IF(I1188="","",(I1188-G1188)/G1188)</f>
        <v/>
      </c>
      <c r="M1188" s="26">
        <f>IF(J1188="","",(J1188-G1188)/G1188)</f>
        <v/>
      </c>
      <c r="N1188" s="27">
        <f>IF(H1188="","",IF(D1188="HOLD",IF(ABS(K1188)&lt;0.03,"YES","NO"),IF(D1188="BUY",IF(K1188&gt;0,"YES","NO"),IF(D1188="SELL",IF(K1188&lt;0,"YES","NO"),""))))</f>
        <v/>
      </c>
    </row>
    <row r="1189" ht="15" customHeight="1">
      <c r="K1189" s="26">
        <f>IF(H1189="","",(H1189-G1189)/G1189)</f>
        <v/>
      </c>
      <c r="L1189" s="26">
        <f>IF(I1189="","",(I1189-G1189)/G1189)</f>
        <v/>
      </c>
      <c r="M1189" s="26">
        <f>IF(J1189="","",(J1189-G1189)/G1189)</f>
        <v/>
      </c>
      <c r="N1189" s="27">
        <f>IF(H1189="","",IF(D1189="HOLD",IF(ABS(K1189)&lt;0.03,"YES","NO"),IF(D1189="BUY",IF(K1189&gt;0,"YES","NO"),IF(D1189="SELL",IF(K1189&lt;0,"YES","NO"),""))))</f>
        <v/>
      </c>
    </row>
    <row r="1190" ht="15" customHeight="1">
      <c r="K1190" s="26">
        <f>IF(H1190="","",(H1190-G1190)/G1190)</f>
        <v/>
      </c>
      <c r="L1190" s="26">
        <f>IF(I1190="","",(I1190-G1190)/G1190)</f>
        <v/>
      </c>
      <c r="M1190" s="26">
        <f>IF(J1190="","",(J1190-G1190)/G1190)</f>
        <v/>
      </c>
      <c r="N1190" s="27">
        <f>IF(H1190="","",IF(D1190="HOLD",IF(ABS(K1190)&lt;0.03,"YES","NO"),IF(D1190="BUY",IF(K1190&gt;0,"YES","NO"),IF(D1190="SELL",IF(K1190&lt;0,"YES","NO"),""))))</f>
        <v/>
      </c>
    </row>
    <row r="1191" ht="15" customHeight="1">
      <c r="K1191" s="26">
        <f>IF(H1191="","",(H1191-G1191)/G1191)</f>
        <v/>
      </c>
      <c r="L1191" s="26">
        <f>IF(I1191="","",(I1191-G1191)/G1191)</f>
        <v/>
      </c>
      <c r="M1191" s="26">
        <f>IF(J1191="","",(J1191-G1191)/G1191)</f>
        <v/>
      </c>
      <c r="N1191" s="27">
        <f>IF(H1191="","",IF(D1191="HOLD",IF(ABS(K1191)&lt;0.03,"YES","NO"),IF(D1191="BUY",IF(K1191&gt;0,"YES","NO"),IF(D1191="SELL",IF(K1191&lt;0,"YES","NO"),""))))</f>
        <v/>
      </c>
    </row>
    <row r="1192" ht="15" customHeight="1">
      <c r="K1192" s="26">
        <f>IF(H1192="","",(H1192-G1192)/G1192)</f>
        <v/>
      </c>
      <c r="L1192" s="26">
        <f>IF(I1192="","",(I1192-G1192)/G1192)</f>
        <v/>
      </c>
      <c r="M1192" s="26">
        <f>IF(J1192="","",(J1192-G1192)/G1192)</f>
        <v/>
      </c>
      <c r="N1192" s="27">
        <f>IF(H1192="","",IF(D1192="HOLD",IF(ABS(K1192)&lt;0.03,"YES","NO"),IF(D1192="BUY",IF(K1192&gt;0,"YES","NO"),IF(D1192="SELL",IF(K1192&lt;0,"YES","NO"),""))))</f>
        <v/>
      </c>
    </row>
    <row r="1193" ht="15" customHeight="1">
      <c r="K1193" s="26">
        <f>IF(H1193="","",(H1193-G1193)/G1193)</f>
        <v/>
      </c>
      <c r="L1193" s="26">
        <f>IF(I1193="","",(I1193-G1193)/G1193)</f>
        <v/>
      </c>
      <c r="M1193" s="26">
        <f>IF(J1193="","",(J1193-G1193)/G1193)</f>
        <v/>
      </c>
      <c r="N1193" s="27">
        <f>IF(H1193="","",IF(D1193="HOLD",IF(ABS(K1193)&lt;0.03,"YES","NO"),IF(D1193="BUY",IF(K1193&gt;0,"YES","NO"),IF(D1193="SELL",IF(K1193&lt;0,"YES","NO"),""))))</f>
        <v/>
      </c>
    </row>
    <row r="1194" ht="15" customHeight="1">
      <c r="K1194" s="26">
        <f>IF(H1194="","",(H1194-G1194)/G1194)</f>
        <v/>
      </c>
      <c r="L1194" s="26">
        <f>IF(I1194="","",(I1194-G1194)/G1194)</f>
        <v/>
      </c>
      <c r="M1194" s="26">
        <f>IF(J1194="","",(J1194-G1194)/G1194)</f>
        <v/>
      </c>
      <c r="N1194" s="27">
        <f>IF(H1194="","",IF(D1194="HOLD",IF(ABS(K1194)&lt;0.03,"YES","NO"),IF(D1194="BUY",IF(K1194&gt;0,"YES","NO"),IF(D1194="SELL",IF(K1194&lt;0,"YES","NO"),""))))</f>
        <v/>
      </c>
    </row>
    <row r="1195" ht="15" customHeight="1">
      <c r="K1195" s="26">
        <f>IF(H1195="","",(H1195-G1195)/G1195)</f>
        <v/>
      </c>
      <c r="L1195" s="26">
        <f>IF(I1195="","",(I1195-G1195)/G1195)</f>
        <v/>
      </c>
      <c r="M1195" s="26">
        <f>IF(J1195="","",(J1195-G1195)/G1195)</f>
        <v/>
      </c>
      <c r="N1195" s="27">
        <f>IF(H1195="","",IF(D1195="HOLD",IF(ABS(K1195)&lt;0.03,"YES","NO"),IF(D1195="BUY",IF(K1195&gt;0,"YES","NO"),IF(D1195="SELL",IF(K1195&lt;0,"YES","NO"),""))))</f>
        <v/>
      </c>
    </row>
    <row r="1196" ht="15" customHeight="1">
      <c r="K1196" s="26">
        <f>IF(H1196="","",(H1196-G1196)/G1196)</f>
        <v/>
      </c>
      <c r="L1196" s="26">
        <f>IF(I1196="","",(I1196-G1196)/G1196)</f>
        <v/>
      </c>
      <c r="M1196" s="26">
        <f>IF(J1196="","",(J1196-G1196)/G1196)</f>
        <v/>
      </c>
      <c r="N1196" s="27">
        <f>IF(H1196="","",IF(D1196="HOLD",IF(ABS(K1196)&lt;0.03,"YES","NO"),IF(D1196="BUY",IF(K1196&gt;0,"YES","NO"),IF(D1196="SELL",IF(K1196&lt;0,"YES","NO"),""))))</f>
        <v/>
      </c>
    </row>
    <row r="1197" ht="15" customHeight="1">
      <c r="K1197" s="26">
        <f>IF(H1197="","",(H1197-G1197)/G1197)</f>
        <v/>
      </c>
      <c r="L1197" s="26">
        <f>IF(I1197="","",(I1197-G1197)/G1197)</f>
        <v/>
      </c>
      <c r="M1197" s="26">
        <f>IF(J1197="","",(J1197-G1197)/G1197)</f>
        <v/>
      </c>
      <c r="N1197" s="27">
        <f>IF(H1197="","",IF(D1197="HOLD",IF(ABS(K1197)&lt;0.03,"YES","NO"),IF(D1197="BUY",IF(K1197&gt;0,"YES","NO"),IF(D1197="SELL",IF(K1197&lt;0,"YES","NO"),""))))</f>
        <v/>
      </c>
    </row>
    <row r="1198" ht="15" customHeight="1">
      <c r="K1198" s="26">
        <f>IF(H1198="","",(H1198-G1198)/G1198)</f>
        <v/>
      </c>
      <c r="L1198" s="26">
        <f>IF(I1198="","",(I1198-G1198)/G1198)</f>
        <v/>
      </c>
      <c r="M1198" s="26">
        <f>IF(J1198="","",(J1198-G1198)/G1198)</f>
        <v/>
      </c>
      <c r="N1198" s="27">
        <f>IF(H1198="","",IF(D1198="HOLD",IF(ABS(K1198)&lt;0.03,"YES","NO"),IF(D1198="BUY",IF(K1198&gt;0,"YES","NO"),IF(D1198="SELL",IF(K1198&lt;0,"YES","NO"),""))))</f>
        <v/>
      </c>
    </row>
    <row r="1199" ht="15" customHeight="1">
      <c r="K1199" s="26">
        <f>IF(H1199="","",(H1199-G1199)/G1199)</f>
        <v/>
      </c>
      <c r="L1199" s="26">
        <f>IF(I1199="","",(I1199-G1199)/G1199)</f>
        <v/>
      </c>
      <c r="M1199" s="26">
        <f>IF(J1199="","",(J1199-G1199)/G1199)</f>
        <v/>
      </c>
      <c r="N1199" s="27">
        <f>IF(H1199="","",IF(D1199="HOLD",IF(ABS(K1199)&lt;0.03,"YES","NO"),IF(D1199="BUY",IF(K1199&gt;0,"YES","NO"),IF(D1199="SELL",IF(K1199&lt;0,"YES","NO"),""))))</f>
        <v/>
      </c>
    </row>
    <row r="1200" ht="15" customHeight="1">
      <c r="K1200" s="26">
        <f>IF(H1200="","",(H1200-G1200)/G1200)</f>
        <v/>
      </c>
      <c r="L1200" s="26">
        <f>IF(I1200="","",(I1200-G1200)/G1200)</f>
        <v/>
      </c>
      <c r="M1200" s="26">
        <f>IF(J1200="","",(J1200-G1200)/G1200)</f>
        <v/>
      </c>
      <c r="N1200" s="27">
        <f>IF(H1200="","",IF(D1200="HOLD",IF(ABS(K1200)&lt;0.03,"YES","NO"),IF(D1200="BUY",IF(K1200&gt;0,"YES","NO"),IF(D1200="SELL",IF(K1200&lt;0,"YES","NO"),""))))</f>
        <v/>
      </c>
    </row>
    <row r="1201" ht="15" customHeight="1">
      <c r="K1201" s="26">
        <f>IF(H1201="","",(H1201-G1201)/G1201)</f>
        <v/>
      </c>
      <c r="L1201" s="26">
        <f>IF(I1201="","",(I1201-G1201)/G1201)</f>
        <v/>
      </c>
      <c r="M1201" s="26">
        <f>IF(J1201="","",(J1201-G1201)/G1201)</f>
        <v/>
      </c>
      <c r="N1201" s="27">
        <f>IF(H1201="","",IF(D1201="HOLD",IF(ABS(K1201)&lt;0.03,"YES","NO"),IF(D1201="BUY",IF(K1201&gt;0,"YES","NO"),IF(D1201="SELL",IF(K1201&lt;0,"YES","NO"),""))))</f>
        <v/>
      </c>
    </row>
    <row r="1202" ht="15" customHeight="1">
      <c r="K1202" s="26">
        <f>IF(H1202="","",(H1202-G1202)/G1202)</f>
        <v/>
      </c>
      <c r="L1202" s="26">
        <f>IF(I1202="","",(I1202-G1202)/G1202)</f>
        <v/>
      </c>
      <c r="M1202" s="26">
        <f>IF(J1202="","",(J1202-G1202)/G1202)</f>
        <v/>
      </c>
      <c r="N1202" s="27">
        <f>IF(H1202="","",IF(D1202="HOLD",IF(ABS(K1202)&lt;0.03,"YES","NO"),IF(D1202="BUY",IF(K1202&gt;0,"YES","NO"),IF(D1202="SELL",IF(K1202&lt;0,"YES","NO"),""))))</f>
        <v/>
      </c>
    </row>
    <row r="1203" ht="15" customHeight="1">
      <c r="K1203" s="26">
        <f>IF(H1203="","",(H1203-G1203)/G1203)</f>
        <v/>
      </c>
      <c r="L1203" s="26">
        <f>IF(I1203="","",(I1203-G1203)/G1203)</f>
        <v/>
      </c>
      <c r="M1203" s="26">
        <f>IF(J1203="","",(J1203-G1203)/G1203)</f>
        <v/>
      </c>
      <c r="N1203" s="27">
        <f>IF(H1203="","",IF(D1203="HOLD",IF(ABS(K1203)&lt;0.03,"YES","NO"),IF(D1203="BUY",IF(K1203&gt;0,"YES","NO"),IF(D1203="SELL",IF(K1203&lt;0,"YES","NO"),""))))</f>
        <v/>
      </c>
    </row>
    <row r="1204" ht="15" customHeight="1">
      <c r="K1204" s="26">
        <f>IF(H1204="","",(H1204-G1204)/G1204)</f>
        <v/>
      </c>
      <c r="L1204" s="26">
        <f>IF(I1204="","",(I1204-G1204)/G1204)</f>
        <v/>
      </c>
      <c r="M1204" s="26">
        <f>IF(J1204="","",(J1204-G1204)/G1204)</f>
        <v/>
      </c>
      <c r="N1204" s="27">
        <f>IF(H1204="","",IF(D1204="HOLD",IF(ABS(K1204)&lt;0.03,"YES","NO"),IF(D1204="BUY",IF(K1204&gt;0,"YES","NO"),IF(D1204="SELL",IF(K1204&lt;0,"YES","NO"),""))))</f>
        <v/>
      </c>
    </row>
    <row r="1205" ht="15" customHeight="1">
      <c r="K1205" s="26">
        <f>IF(H1205="","",(H1205-G1205)/G1205)</f>
        <v/>
      </c>
      <c r="L1205" s="26">
        <f>IF(I1205="","",(I1205-G1205)/G1205)</f>
        <v/>
      </c>
      <c r="M1205" s="26">
        <f>IF(J1205="","",(J1205-G1205)/G1205)</f>
        <v/>
      </c>
      <c r="N1205" s="27">
        <f>IF(H1205="","",IF(D1205="HOLD",IF(ABS(K1205)&lt;0.03,"YES","NO"),IF(D1205="BUY",IF(K1205&gt;0,"YES","NO"),IF(D1205="SELL",IF(K1205&lt;0,"YES","NO"),""))))</f>
        <v/>
      </c>
    </row>
    <row r="1206" ht="15" customHeight="1">
      <c r="K1206" s="26">
        <f>IF(H1206="","",(H1206-G1206)/G1206)</f>
        <v/>
      </c>
      <c r="L1206" s="26">
        <f>IF(I1206="","",(I1206-G1206)/G1206)</f>
        <v/>
      </c>
      <c r="M1206" s="26">
        <f>IF(J1206="","",(J1206-G1206)/G1206)</f>
        <v/>
      </c>
      <c r="N1206" s="27">
        <f>IF(H1206="","",IF(D1206="HOLD",IF(ABS(K1206)&lt;0.03,"YES","NO"),IF(D1206="BUY",IF(K1206&gt;0,"YES","NO"),IF(D1206="SELL",IF(K1206&lt;0,"YES","NO"),""))))</f>
        <v/>
      </c>
    </row>
    <row r="1207" ht="15" customHeight="1">
      <c r="K1207" s="26">
        <f>IF(H1207="","",(H1207-G1207)/G1207)</f>
        <v/>
      </c>
      <c r="L1207" s="26">
        <f>IF(I1207="","",(I1207-G1207)/G1207)</f>
        <v/>
      </c>
      <c r="M1207" s="26">
        <f>IF(J1207="","",(J1207-G1207)/G1207)</f>
        <v/>
      </c>
      <c r="N1207" s="27">
        <f>IF(H1207="","",IF(D1207="HOLD",IF(ABS(K1207)&lt;0.03,"YES","NO"),IF(D1207="BUY",IF(K1207&gt;0,"YES","NO"),IF(D1207="SELL",IF(K1207&lt;0,"YES","NO"),""))))</f>
        <v/>
      </c>
    </row>
    <row r="1208" ht="15" customHeight="1">
      <c r="K1208" s="26">
        <f>IF(H1208="","",(H1208-G1208)/G1208)</f>
        <v/>
      </c>
      <c r="L1208" s="26">
        <f>IF(I1208="","",(I1208-G1208)/G1208)</f>
        <v/>
      </c>
      <c r="M1208" s="26">
        <f>IF(J1208="","",(J1208-G1208)/G1208)</f>
        <v/>
      </c>
      <c r="N1208" s="27">
        <f>IF(H1208="","",IF(D1208="HOLD",IF(ABS(K1208)&lt;0.03,"YES","NO"),IF(D1208="BUY",IF(K1208&gt;0,"YES","NO"),IF(D1208="SELL",IF(K1208&lt;0,"YES","NO"),""))))</f>
        <v/>
      </c>
    </row>
    <row r="1209" ht="15" customHeight="1">
      <c r="K1209" s="26">
        <f>IF(H1209="","",(H1209-G1209)/G1209)</f>
        <v/>
      </c>
      <c r="L1209" s="26">
        <f>IF(I1209="","",(I1209-G1209)/G1209)</f>
        <v/>
      </c>
      <c r="M1209" s="26">
        <f>IF(J1209="","",(J1209-G1209)/G1209)</f>
        <v/>
      </c>
      <c r="N1209" s="27">
        <f>IF(H1209="","",IF(D1209="HOLD",IF(ABS(K1209)&lt;0.03,"YES","NO"),IF(D1209="BUY",IF(K1209&gt;0,"YES","NO"),IF(D1209="SELL",IF(K1209&lt;0,"YES","NO"),""))))</f>
        <v/>
      </c>
    </row>
    <row r="1210" ht="15" customHeight="1">
      <c r="K1210" s="26">
        <f>IF(H1210="","",(H1210-G1210)/G1210)</f>
        <v/>
      </c>
      <c r="L1210" s="26">
        <f>IF(I1210="","",(I1210-G1210)/G1210)</f>
        <v/>
      </c>
      <c r="M1210" s="26">
        <f>IF(J1210="","",(J1210-G1210)/G1210)</f>
        <v/>
      </c>
      <c r="N1210" s="27">
        <f>IF(H1210="","",IF(D1210="HOLD",IF(ABS(K1210)&lt;0.03,"YES","NO"),IF(D1210="BUY",IF(K1210&gt;0,"YES","NO"),IF(D1210="SELL",IF(K1210&lt;0,"YES","NO"),""))))</f>
        <v/>
      </c>
    </row>
    <row r="1211" ht="15" customHeight="1">
      <c r="K1211" s="26">
        <f>IF(H1211="","",(H1211-G1211)/G1211)</f>
        <v/>
      </c>
      <c r="L1211" s="26">
        <f>IF(I1211="","",(I1211-G1211)/G1211)</f>
        <v/>
      </c>
      <c r="M1211" s="26">
        <f>IF(J1211="","",(J1211-G1211)/G1211)</f>
        <v/>
      </c>
      <c r="N1211" s="27">
        <f>IF(H1211="","",IF(D1211="HOLD",IF(ABS(K1211)&lt;0.03,"YES","NO"),IF(D1211="BUY",IF(K1211&gt;0,"YES","NO"),IF(D1211="SELL",IF(K1211&lt;0,"YES","NO"),""))))</f>
        <v/>
      </c>
    </row>
    <row r="1212" ht="15" customHeight="1">
      <c r="K1212" s="26">
        <f>IF(H1212="","",(H1212-G1212)/G1212)</f>
        <v/>
      </c>
      <c r="L1212" s="26">
        <f>IF(I1212="","",(I1212-G1212)/G1212)</f>
        <v/>
      </c>
      <c r="M1212" s="26">
        <f>IF(J1212="","",(J1212-G1212)/G1212)</f>
        <v/>
      </c>
      <c r="N1212" s="27">
        <f>IF(H1212="","",IF(D1212="HOLD",IF(ABS(K1212)&lt;0.03,"YES","NO"),IF(D1212="BUY",IF(K1212&gt;0,"YES","NO"),IF(D1212="SELL",IF(K1212&lt;0,"YES","NO"),""))))</f>
        <v/>
      </c>
    </row>
    <row r="1213" ht="15" customHeight="1">
      <c r="K1213" s="26">
        <f>IF(H1213="","",(H1213-G1213)/G1213)</f>
        <v/>
      </c>
      <c r="L1213" s="26">
        <f>IF(I1213="","",(I1213-G1213)/G1213)</f>
        <v/>
      </c>
      <c r="M1213" s="26">
        <f>IF(J1213="","",(J1213-G1213)/G1213)</f>
        <v/>
      </c>
      <c r="N1213" s="27">
        <f>IF(H1213="","",IF(D1213="HOLD",IF(ABS(K1213)&lt;0.03,"YES","NO"),IF(D1213="BUY",IF(K1213&gt;0,"YES","NO"),IF(D1213="SELL",IF(K1213&lt;0,"YES","NO"),""))))</f>
        <v/>
      </c>
    </row>
    <row r="1214" ht="15" customHeight="1">
      <c r="K1214" s="26">
        <f>IF(H1214="","",(H1214-G1214)/G1214)</f>
        <v/>
      </c>
      <c r="L1214" s="26">
        <f>IF(I1214="","",(I1214-G1214)/G1214)</f>
        <v/>
      </c>
      <c r="M1214" s="26">
        <f>IF(J1214="","",(J1214-G1214)/G1214)</f>
        <v/>
      </c>
      <c r="N1214" s="27">
        <f>IF(H1214="","",IF(D1214="HOLD",IF(ABS(K1214)&lt;0.03,"YES","NO"),IF(D1214="BUY",IF(K1214&gt;0,"YES","NO"),IF(D1214="SELL",IF(K1214&lt;0,"YES","NO"),""))))</f>
        <v/>
      </c>
    </row>
    <row r="1215" ht="15" customHeight="1">
      <c r="K1215" s="26">
        <f>IF(H1215="","",(H1215-G1215)/G1215)</f>
        <v/>
      </c>
      <c r="L1215" s="26">
        <f>IF(I1215="","",(I1215-G1215)/G1215)</f>
        <v/>
      </c>
      <c r="M1215" s="26">
        <f>IF(J1215="","",(J1215-G1215)/G1215)</f>
        <v/>
      </c>
      <c r="N1215" s="27">
        <f>IF(H1215="","",IF(D1215="HOLD",IF(ABS(K1215)&lt;0.03,"YES","NO"),IF(D1215="BUY",IF(K1215&gt;0,"YES","NO"),IF(D1215="SELL",IF(K1215&lt;0,"YES","NO"),""))))</f>
        <v/>
      </c>
    </row>
    <row r="1216" ht="15" customHeight="1">
      <c r="K1216" s="26">
        <f>IF(H1216="","",(H1216-G1216)/G1216)</f>
        <v/>
      </c>
      <c r="L1216" s="26">
        <f>IF(I1216="","",(I1216-G1216)/G1216)</f>
        <v/>
      </c>
      <c r="M1216" s="26">
        <f>IF(J1216="","",(J1216-G1216)/G1216)</f>
        <v/>
      </c>
      <c r="N1216" s="27">
        <f>IF(H1216="","",IF(D1216="HOLD",IF(ABS(K1216)&lt;0.03,"YES","NO"),IF(D1216="BUY",IF(K1216&gt;0,"YES","NO"),IF(D1216="SELL",IF(K1216&lt;0,"YES","NO"),""))))</f>
        <v/>
      </c>
    </row>
    <row r="1217" ht="15" customHeight="1">
      <c r="K1217" s="26">
        <f>IF(H1217="","",(H1217-G1217)/G1217)</f>
        <v/>
      </c>
      <c r="L1217" s="26">
        <f>IF(I1217="","",(I1217-G1217)/G1217)</f>
        <v/>
      </c>
      <c r="M1217" s="26">
        <f>IF(J1217="","",(J1217-G1217)/G1217)</f>
        <v/>
      </c>
      <c r="N1217" s="27">
        <f>IF(H1217="","",IF(D1217="HOLD",IF(ABS(K1217)&lt;0.03,"YES","NO"),IF(D1217="BUY",IF(K1217&gt;0,"YES","NO"),IF(D1217="SELL",IF(K1217&lt;0,"YES","NO"),""))))</f>
        <v/>
      </c>
    </row>
    <row r="1218" ht="15" customHeight="1">
      <c r="K1218" s="26">
        <f>IF(H1218="","",(H1218-G1218)/G1218)</f>
        <v/>
      </c>
      <c r="L1218" s="26">
        <f>IF(I1218="","",(I1218-G1218)/G1218)</f>
        <v/>
      </c>
      <c r="M1218" s="26">
        <f>IF(J1218="","",(J1218-G1218)/G1218)</f>
        <v/>
      </c>
      <c r="N1218" s="27">
        <f>IF(H1218="","",IF(D1218="HOLD",IF(ABS(K1218)&lt;0.03,"YES","NO"),IF(D1218="BUY",IF(K1218&gt;0,"YES","NO"),IF(D1218="SELL",IF(K1218&lt;0,"YES","NO"),""))))</f>
        <v/>
      </c>
    </row>
    <row r="1219" ht="15" customHeight="1">
      <c r="K1219" s="26">
        <f>IF(H1219="","",(H1219-G1219)/G1219)</f>
        <v/>
      </c>
      <c r="L1219" s="26">
        <f>IF(I1219="","",(I1219-G1219)/G1219)</f>
        <v/>
      </c>
      <c r="M1219" s="26">
        <f>IF(J1219="","",(J1219-G1219)/G1219)</f>
        <v/>
      </c>
      <c r="N1219" s="27">
        <f>IF(H1219="","",IF(D1219="HOLD",IF(ABS(K1219)&lt;0.03,"YES","NO"),IF(D1219="BUY",IF(K1219&gt;0,"YES","NO"),IF(D1219="SELL",IF(K1219&lt;0,"YES","NO"),""))))</f>
        <v/>
      </c>
    </row>
    <row r="1220" ht="15" customHeight="1">
      <c r="K1220" s="26">
        <f>IF(H1220="","",(H1220-G1220)/G1220)</f>
        <v/>
      </c>
      <c r="L1220" s="26">
        <f>IF(I1220="","",(I1220-G1220)/G1220)</f>
        <v/>
      </c>
      <c r="M1220" s="26">
        <f>IF(J1220="","",(J1220-G1220)/G1220)</f>
        <v/>
      </c>
      <c r="N1220" s="27">
        <f>IF(H1220="","",IF(D1220="HOLD",IF(ABS(K1220)&lt;0.03,"YES","NO"),IF(D1220="BUY",IF(K1220&gt;0,"YES","NO"),IF(D1220="SELL",IF(K1220&lt;0,"YES","NO"),""))))</f>
        <v/>
      </c>
    </row>
    <row r="1221" ht="15" customHeight="1">
      <c r="K1221" s="26">
        <f>IF(H1221="","",(H1221-G1221)/G1221)</f>
        <v/>
      </c>
      <c r="L1221" s="26">
        <f>IF(I1221="","",(I1221-G1221)/G1221)</f>
        <v/>
      </c>
      <c r="M1221" s="26">
        <f>IF(J1221="","",(J1221-G1221)/G1221)</f>
        <v/>
      </c>
      <c r="N1221" s="27">
        <f>IF(H1221="","",IF(D1221="HOLD",IF(ABS(K1221)&lt;0.03,"YES","NO"),IF(D1221="BUY",IF(K1221&gt;0,"YES","NO"),IF(D1221="SELL",IF(K1221&lt;0,"YES","NO"),""))))</f>
        <v/>
      </c>
    </row>
    <row r="1222" ht="15" customHeight="1">
      <c r="K1222" s="26">
        <f>IF(H1222="","",(H1222-G1222)/G1222)</f>
        <v/>
      </c>
      <c r="L1222" s="26">
        <f>IF(I1222="","",(I1222-G1222)/G1222)</f>
        <v/>
      </c>
      <c r="M1222" s="26">
        <f>IF(J1222="","",(J1222-G1222)/G1222)</f>
        <v/>
      </c>
      <c r="N1222" s="27">
        <f>IF(H1222="","",IF(D1222="HOLD",IF(ABS(K1222)&lt;0.03,"YES","NO"),IF(D1222="BUY",IF(K1222&gt;0,"YES","NO"),IF(D1222="SELL",IF(K1222&lt;0,"YES","NO"),""))))</f>
        <v/>
      </c>
    </row>
    <row r="1223" ht="15" customHeight="1">
      <c r="K1223" s="26">
        <f>IF(H1223="","",(H1223-G1223)/G1223)</f>
        <v/>
      </c>
      <c r="L1223" s="26">
        <f>IF(I1223="","",(I1223-G1223)/G1223)</f>
        <v/>
      </c>
      <c r="M1223" s="26">
        <f>IF(J1223="","",(J1223-G1223)/G1223)</f>
        <v/>
      </c>
      <c r="N1223" s="27">
        <f>IF(H1223="","",IF(D1223="HOLD",IF(ABS(K1223)&lt;0.03,"YES","NO"),IF(D1223="BUY",IF(K1223&gt;0,"YES","NO"),IF(D1223="SELL",IF(K1223&lt;0,"YES","NO"),""))))</f>
        <v/>
      </c>
    </row>
    <row r="1224" ht="15" customHeight="1">
      <c r="K1224" s="26">
        <f>IF(H1224="","",(H1224-G1224)/G1224)</f>
        <v/>
      </c>
      <c r="L1224" s="26">
        <f>IF(I1224="","",(I1224-G1224)/G1224)</f>
        <v/>
      </c>
      <c r="M1224" s="26">
        <f>IF(J1224="","",(J1224-G1224)/G1224)</f>
        <v/>
      </c>
      <c r="N1224" s="27">
        <f>IF(H1224="","",IF(D1224="HOLD",IF(ABS(K1224)&lt;0.03,"YES","NO"),IF(D1224="BUY",IF(K1224&gt;0,"YES","NO"),IF(D1224="SELL",IF(K1224&lt;0,"YES","NO"),""))))</f>
        <v/>
      </c>
    </row>
    <row r="1225" ht="15" customHeight="1">
      <c r="K1225" s="26">
        <f>IF(H1225="","",(H1225-G1225)/G1225)</f>
        <v/>
      </c>
      <c r="L1225" s="26">
        <f>IF(I1225="","",(I1225-G1225)/G1225)</f>
        <v/>
      </c>
      <c r="M1225" s="26">
        <f>IF(J1225="","",(J1225-G1225)/G1225)</f>
        <v/>
      </c>
      <c r="N1225" s="27">
        <f>IF(H1225="","",IF(D1225="HOLD",IF(ABS(K1225)&lt;0.03,"YES","NO"),IF(D1225="BUY",IF(K1225&gt;0,"YES","NO"),IF(D1225="SELL",IF(K1225&lt;0,"YES","NO"),""))))</f>
        <v/>
      </c>
    </row>
    <row r="1226" ht="15" customHeight="1">
      <c r="K1226" s="26">
        <f>IF(H1226="","",(H1226-G1226)/G1226)</f>
        <v/>
      </c>
      <c r="L1226" s="26">
        <f>IF(I1226="","",(I1226-G1226)/G1226)</f>
        <v/>
      </c>
      <c r="M1226" s="26">
        <f>IF(J1226="","",(J1226-G1226)/G1226)</f>
        <v/>
      </c>
      <c r="N1226" s="27">
        <f>IF(H1226="","",IF(D1226="HOLD",IF(ABS(K1226)&lt;0.03,"YES","NO"),IF(D1226="BUY",IF(K1226&gt;0,"YES","NO"),IF(D1226="SELL",IF(K1226&lt;0,"YES","NO"),""))))</f>
        <v/>
      </c>
    </row>
    <row r="1227" ht="15" customHeight="1">
      <c r="K1227" s="26">
        <f>IF(H1227="","",(H1227-G1227)/G1227)</f>
        <v/>
      </c>
      <c r="L1227" s="26">
        <f>IF(I1227="","",(I1227-G1227)/G1227)</f>
        <v/>
      </c>
      <c r="M1227" s="26">
        <f>IF(J1227="","",(J1227-G1227)/G1227)</f>
        <v/>
      </c>
      <c r="N1227" s="27">
        <f>IF(H1227="","",IF(D1227="HOLD",IF(ABS(K1227)&lt;0.03,"YES","NO"),IF(D1227="BUY",IF(K1227&gt;0,"YES","NO"),IF(D1227="SELL",IF(K1227&lt;0,"YES","NO"),""))))</f>
        <v/>
      </c>
    </row>
    <row r="1228" ht="15" customHeight="1">
      <c r="K1228" s="26">
        <f>IF(H1228="","",(H1228-G1228)/G1228)</f>
        <v/>
      </c>
      <c r="L1228" s="26">
        <f>IF(I1228="","",(I1228-G1228)/G1228)</f>
        <v/>
      </c>
      <c r="M1228" s="26">
        <f>IF(J1228="","",(J1228-G1228)/G1228)</f>
        <v/>
      </c>
      <c r="N1228" s="27">
        <f>IF(H1228="","",IF(D1228="HOLD",IF(ABS(K1228)&lt;0.03,"YES","NO"),IF(D1228="BUY",IF(K1228&gt;0,"YES","NO"),IF(D1228="SELL",IF(K1228&lt;0,"YES","NO"),""))))</f>
        <v/>
      </c>
    </row>
    <row r="1229" ht="15" customHeight="1">
      <c r="K1229" s="26">
        <f>IF(H1229="","",(H1229-G1229)/G1229)</f>
        <v/>
      </c>
      <c r="L1229" s="26">
        <f>IF(I1229="","",(I1229-G1229)/G1229)</f>
        <v/>
      </c>
      <c r="M1229" s="26">
        <f>IF(J1229="","",(J1229-G1229)/G1229)</f>
        <v/>
      </c>
      <c r="N1229" s="27">
        <f>IF(H1229="","",IF(D1229="HOLD",IF(ABS(K1229)&lt;0.03,"YES","NO"),IF(D1229="BUY",IF(K1229&gt;0,"YES","NO"),IF(D1229="SELL",IF(K1229&lt;0,"YES","NO"),""))))</f>
        <v/>
      </c>
    </row>
    <row r="1230" ht="15" customHeight="1">
      <c r="K1230" s="26">
        <f>IF(H1230="","",(H1230-G1230)/G1230)</f>
        <v/>
      </c>
      <c r="L1230" s="26">
        <f>IF(I1230="","",(I1230-G1230)/G1230)</f>
        <v/>
      </c>
      <c r="M1230" s="26">
        <f>IF(J1230="","",(J1230-G1230)/G1230)</f>
        <v/>
      </c>
      <c r="N1230" s="27">
        <f>IF(H1230="","",IF(D1230="HOLD",IF(ABS(K1230)&lt;0.03,"YES","NO"),IF(D1230="BUY",IF(K1230&gt;0,"YES","NO"),IF(D1230="SELL",IF(K1230&lt;0,"YES","NO"),""))))</f>
        <v/>
      </c>
    </row>
    <row r="1231" ht="15" customHeight="1">
      <c r="K1231" s="26">
        <f>IF(H1231="","",(H1231-G1231)/G1231)</f>
        <v/>
      </c>
      <c r="L1231" s="26">
        <f>IF(I1231="","",(I1231-G1231)/G1231)</f>
        <v/>
      </c>
      <c r="M1231" s="26">
        <f>IF(J1231="","",(J1231-G1231)/G1231)</f>
        <v/>
      </c>
      <c r="N1231" s="27">
        <f>IF(H1231="","",IF(D1231="HOLD",IF(ABS(K1231)&lt;0.03,"YES","NO"),IF(D1231="BUY",IF(K1231&gt;0,"YES","NO"),IF(D1231="SELL",IF(K1231&lt;0,"YES","NO"),""))))</f>
        <v/>
      </c>
    </row>
    <row r="1232" ht="15" customHeight="1">
      <c r="K1232" s="26">
        <f>IF(H1232="","",(H1232-G1232)/G1232)</f>
        <v/>
      </c>
      <c r="L1232" s="26">
        <f>IF(I1232="","",(I1232-G1232)/G1232)</f>
        <v/>
      </c>
      <c r="M1232" s="26">
        <f>IF(J1232="","",(J1232-G1232)/G1232)</f>
        <v/>
      </c>
      <c r="N1232" s="27">
        <f>IF(H1232="","",IF(D1232="HOLD",IF(ABS(K1232)&lt;0.03,"YES","NO"),IF(D1232="BUY",IF(K1232&gt;0,"YES","NO"),IF(D1232="SELL",IF(K1232&lt;0,"YES","NO"),""))))</f>
        <v/>
      </c>
    </row>
    <row r="1233" ht="15" customHeight="1">
      <c r="K1233" s="26">
        <f>IF(H1233="","",(H1233-G1233)/G1233)</f>
        <v/>
      </c>
      <c r="L1233" s="26">
        <f>IF(I1233="","",(I1233-G1233)/G1233)</f>
        <v/>
      </c>
      <c r="M1233" s="26">
        <f>IF(J1233="","",(J1233-G1233)/G1233)</f>
        <v/>
      </c>
      <c r="N1233" s="27">
        <f>IF(H1233="","",IF(D1233="HOLD",IF(ABS(K1233)&lt;0.03,"YES","NO"),IF(D1233="BUY",IF(K1233&gt;0,"YES","NO"),IF(D1233="SELL",IF(K1233&lt;0,"YES","NO"),""))))</f>
        <v/>
      </c>
    </row>
    <row r="1234" ht="15" customHeight="1">
      <c r="K1234" s="26">
        <f>IF(H1234="","",(H1234-G1234)/G1234)</f>
        <v/>
      </c>
      <c r="L1234" s="26">
        <f>IF(I1234="","",(I1234-G1234)/G1234)</f>
        <v/>
      </c>
      <c r="M1234" s="26">
        <f>IF(J1234="","",(J1234-G1234)/G1234)</f>
        <v/>
      </c>
      <c r="N1234" s="27">
        <f>IF(H1234="","",IF(D1234="HOLD",IF(ABS(K1234)&lt;0.03,"YES","NO"),IF(D1234="BUY",IF(K1234&gt;0,"YES","NO"),IF(D1234="SELL",IF(K1234&lt;0,"YES","NO"),""))))</f>
        <v/>
      </c>
    </row>
    <row r="1235" ht="15" customHeight="1">
      <c r="K1235" s="26">
        <f>IF(H1235="","",(H1235-G1235)/G1235)</f>
        <v/>
      </c>
      <c r="L1235" s="26">
        <f>IF(I1235="","",(I1235-G1235)/G1235)</f>
        <v/>
      </c>
      <c r="M1235" s="26">
        <f>IF(J1235="","",(J1235-G1235)/G1235)</f>
        <v/>
      </c>
      <c r="N1235" s="27">
        <f>IF(H1235="","",IF(D1235="HOLD",IF(ABS(K1235)&lt;0.03,"YES","NO"),IF(D1235="BUY",IF(K1235&gt;0,"YES","NO"),IF(D1235="SELL",IF(K1235&lt;0,"YES","NO"),""))))</f>
        <v/>
      </c>
    </row>
    <row r="1236" ht="15" customHeight="1">
      <c r="K1236" s="26">
        <f>IF(H1236="","",(H1236-G1236)/G1236)</f>
        <v/>
      </c>
      <c r="L1236" s="26">
        <f>IF(I1236="","",(I1236-G1236)/G1236)</f>
        <v/>
      </c>
      <c r="M1236" s="26">
        <f>IF(J1236="","",(J1236-G1236)/G1236)</f>
        <v/>
      </c>
      <c r="N1236" s="27">
        <f>IF(H1236="","",IF(D1236="HOLD",IF(ABS(K1236)&lt;0.03,"YES","NO"),IF(D1236="BUY",IF(K1236&gt;0,"YES","NO"),IF(D1236="SELL",IF(K1236&lt;0,"YES","NO"),""))))</f>
        <v/>
      </c>
    </row>
    <row r="1237" ht="15" customHeight="1">
      <c r="K1237" s="26">
        <f>IF(H1237="","",(H1237-G1237)/G1237)</f>
        <v/>
      </c>
      <c r="L1237" s="26">
        <f>IF(I1237="","",(I1237-G1237)/G1237)</f>
        <v/>
      </c>
      <c r="M1237" s="26">
        <f>IF(J1237="","",(J1237-G1237)/G1237)</f>
        <v/>
      </c>
      <c r="N1237" s="27">
        <f>IF(H1237="","",IF(D1237="HOLD",IF(ABS(K1237)&lt;0.03,"YES","NO"),IF(D1237="BUY",IF(K1237&gt;0,"YES","NO"),IF(D1237="SELL",IF(K1237&lt;0,"YES","NO"),""))))</f>
        <v/>
      </c>
    </row>
    <row r="1238" ht="15" customHeight="1">
      <c r="K1238" s="26">
        <f>IF(H1238="","",(H1238-G1238)/G1238)</f>
        <v/>
      </c>
      <c r="L1238" s="26">
        <f>IF(I1238="","",(I1238-G1238)/G1238)</f>
        <v/>
      </c>
      <c r="M1238" s="26">
        <f>IF(J1238="","",(J1238-G1238)/G1238)</f>
        <v/>
      </c>
      <c r="N1238" s="27">
        <f>IF(H1238="","",IF(D1238="HOLD",IF(ABS(K1238)&lt;0.03,"YES","NO"),IF(D1238="BUY",IF(K1238&gt;0,"YES","NO"),IF(D1238="SELL",IF(K1238&lt;0,"YES","NO"),""))))</f>
        <v/>
      </c>
    </row>
    <row r="1239" ht="15" customHeight="1">
      <c r="K1239" s="26">
        <f>IF(H1239="","",(H1239-G1239)/G1239)</f>
        <v/>
      </c>
      <c r="L1239" s="26">
        <f>IF(I1239="","",(I1239-G1239)/G1239)</f>
        <v/>
      </c>
      <c r="M1239" s="26">
        <f>IF(J1239="","",(J1239-G1239)/G1239)</f>
        <v/>
      </c>
      <c r="N1239" s="27">
        <f>IF(H1239="","",IF(D1239="HOLD",IF(ABS(K1239)&lt;0.03,"YES","NO"),IF(D1239="BUY",IF(K1239&gt;0,"YES","NO"),IF(D1239="SELL",IF(K1239&lt;0,"YES","NO"),""))))</f>
        <v/>
      </c>
    </row>
    <row r="1240" ht="15" customHeight="1">
      <c r="K1240" s="26">
        <f>IF(H1240="","",(H1240-G1240)/G1240)</f>
        <v/>
      </c>
      <c r="L1240" s="26">
        <f>IF(I1240="","",(I1240-G1240)/G1240)</f>
        <v/>
      </c>
      <c r="M1240" s="26">
        <f>IF(J1240="","",(J1240-G1240)/G1240)</f>
        <v/>
      </c>
      <c r="N1240" s="27">
        <f>IF(H1240="","",IF(D1240="HOLD",IF(ABS(K1240)&lt;0.03,"YES","NO"),IF(D1240="BUY",IF(K1240&gt;0,"YES","NO"),IF(D1240="SELL",IF(K1240&lt;0,"YES","NO"),""))))</f>
        <v/>
      </c>
    </row>
    <row r="1241" ht="15" customHeight="1">
      <c r="K1241" s="26">
        <f>IF(H1241="","",(H1241-G1241)/G1241)</f>
        <v/>
      </c>
      <c r="L1241" s="26">
        <f>IF(I1241="","",(I1241-G1241)/G1241)</f>
        <v/>
      </c>
      <c r="M1241" s="26">
        <f>IF(J1241="","",(J1241-G1241)/G1241)</f>
        <v/>
      </c>
      <c r="N1241" s="27">
        <f>IF(H1241="","",IF(D1241="HOLD",IF(ABS(K1241)&lt;0.03,"YES","NO"),IF(D1241="BUY",IF(K1241&gt;0,"YES","NO"),IF(D1241="SELL",IF(K1241&lt;0,"YES","NO"),""))))</f>
        <v/>
      </c>
    </row>
    <row r="1242" ht="15" customHeight="1">
      <c r="K1242" s="26">
        <f>IF(H1242="","",(H1242-G1242)/G1242)</f>
        <v/>
      </c>
      <c r="L1242" s="26">
        <f>IF(I1242="","",(I1242-G1242)/G1242)</f>
        <v/>
      </c>
      <c r="M1242" s="26">
        <f>IF(J1242="","",(J1242-G1242)/G1242)</f>
        <v/>
      </c>
      <c r="N1242" s="27">
        <f>IF(H1242="","",IF(D1242="HOLD",IF(ABS(K1242)&lt;0.03,"YES","NO"),IF(D1242="BUY",IF(K1242&gt;0,"YES","NO"),IF(D1242="SELL",IF(K1242&lt;0,"YES","NO"),""))))</f>
        <v/>
      </c>
    </row>
    <row r="1243" ht="15" customHeight="1">
      <c r="K1243" s="26">
        <f>IF(H1243="","",(H1243-G1243)/G1243)</f>
        <v/>
      </c>
      <c r="L1243" s="26">
        <f>IF(I1243="","",(I1243-G1243)/G1243)</f>
        <v/>
      </c>
      <c r="M1243" s="26">
        <f>IF(J1243="","",(J1243-G1243)/G1243)</f>
        <v/>
      </c>
      <c r="N1243" s="27">
        <f>IF(H1243="","",IF(D1243="HOLD",IF(ABS(K1243)&lt;0.03,"YES","NO"),IF(D1243="BUY",IF(K1243&gt;0,"YES","NO"),IF(D1243="SELL",IF(K1243&lt;0,"YES","NO"),""))))</f>
        <v/>
      </c>
    </row>
    <row r="1244" ht="15" customHeight="1">
      <c r="K1244" s="26">
        <f>IF(H1244="","",(H1244-G1244)/G1244)</f>
        <v/>
      </c>
      <c r="L1244" s="26">
        <f>IF(I1244="","",(I1244-G1244)/G1244)</f>
        <v/>
      </c>
      <c r="M1244" s="26">
        <f>IF(J1244="","",(J1244-G1244)/G1244)</f>
        <v/>
      </c>
      <c r="N1244" s="27">
        <f>IF(H1244="","",IF(D1244="HOLD",IF(ABS(K1244)&lt;0.03,"YES","NO"),IF(D1244="BUY",IF(K1244&gt;0,"YES","NO"),IF(D1244="SELL",IF(K1244&lt;0,"YES","NO"),""))))</f>
        <v/>
      </c>
    </row>
    <row r="1245" ht="15" customHeight="1">
      <c r="K1245" s="26">
        <f>IF(H1245="","",(H1245-G1245)/G1245)</f>
        <v/>
      </c>
      <c r="L1245" s="26">
        <f>IF(I1245="","",(I1245-G1245)/G1245)</f>
        <v/>
      </c>
      <c r="M1245" s="26">
        <f>IF(J1245="","",(J1245-G1245)/G1245)</f>
        <v/>
      </c>
      <c r="N1245" s="27">
        <f>IF(H1245="","",IF(D1245="HOLD",IF(ABS(K1245)&lt;0.03,"YES","NO"),IF(D1245="BUY",IF(K1245&gt;0,"YES","NO"),IF(D1245="SELL",IF(K1245&lt;0,"YES","NO"),""))))</f>
        <v/>
      </c>
    </row>
    <row r="1246" ht="15" customHeight="1">
      <c r="K1246" s="26">
        <f>IF(H1246="","",(H1246-G1246)/G1246)</f>
        <v/>
      </c>
      <c r="L1246" s="26">
        <f>IF(I1246="","",(I1246-G1246)/G1246)</f>
        <v/>
      </c>
      <c r="M1246" s="26">
        <f>IF(J1246="","",(J1246-G1246)/G1246)</f>
        <v/>
      </c>
      <c r="N1246" s="27">
        <f>IF(H1246="","",IF(D1246="HOLD",IF(ABS(K1246)&lt;0.03,"YES","NO"),IF(D1246="BUY",IF(K1246&gt;0,"YES","NO"),IF(D1246="SELL",IF(K1246&lt;0,"YES","NO"),""))))</f>
        <v/>
      </c>
    </row>
    <row r="1247" ht="15" customHeight="1">
      <c r="K1247" s="26">
        <f>IF(H1247="","",(H1247-G1247)/G1247)</f>
        <v/>
      </c>
      <c r="L1247" s="26">
        <f>IF(I1247="","",(I1247-G1247)/G1247)</f>
        <v/>
      </c>
      <c r="M1247" s="26">
        <f>IF(J1247="","",(J1247-G1247)/G1247)</f>
        <v/>
      </c>
      <c r="N1247" s="27">
        <f>IF(H1247="","",IF(D1247="HOLD",IF(ABS(K1247)&lt;0.03,"YES","NO"),IF(D1247="BUY",IF(K1247&gt;0,"YES","NO"),IF(D1247="SELL",IF(K1247&lt;0,"YES","NO"),""))))</f>
        <v/>
      </c>
    </row>
    <row r="1248" ht="15" customHeight="1">
      <c r="K1248" s="26">
        <f>IF(H1248="","",(H1248-G1248)/G1248)</f>
        <v/>
      </c>
      <c r="L1248" s="26">
        <f>IF(I1248="","",(I1248-G1248)/G1248)</f>
        <v/>
      </c>
      <c r="M1248" s="26">
        <f>IF(J1248="","",(J1248-G1248)/G1248)</f>
        <v/>
      </c>
      <c r="N1248" s="27">
        <f>IF(H1248="","",IF(D1248="HOLD",IF(ABS(K1248)&lt;0.03,"YES","NO"),IF(D1248="BUY",IF(K1248&gt;0,"YES","NO"),IF(D1248="SELL",IF(K1248&lt;0,"YES","NO"),""))))</f>
        <v/>
      </c>
    </row>
    <row r="1249" ht="15" customHeight="1">
      <c r="K1249" s="26">
        <f>IF(H1249="","",(H1249-G1249)/G1249)</f>
        <v/>
      </c>
      <c r="L1249" s="26">
        <f>IF(I1249="","",(I1249-G1249)/G1249)</f>
        <v/>
      </c>
      <c r="M1249" s="26">
        <f>IF(J1249="","",(J1249-G1249)/G1249)</f>
        <v/>
      </c>
      <c r="N1249" s="27">
        <f>IF(H1249="","",IF(D1249="HOLD",IF(ABS(K1249)&lt;0.03,"YES","NO"),IF(D1249="BUY",IF(K1249&gt;0,"YES","NO"),IF(D1249="SELL",IF(K1249&lt;0,"YES","NO"),""))))</f>
        <v/>
      </c>
    </row>
    <row r="1250" ht="15" customHeight="1">
      <c r="K1250" s="26">
        <f>IF(H1250="","",(H1250-G1250)/G1250)</f>
        <v/>
      </c>
      <c r="L1250" s="26">
        <f>IF(I1250="","",(I1250-G1250)/G1250)</f>
        <v/>
      </c>
      <c r="M1250" s="26">
        <f>IF(J1250="","",(J1250-G1250)/G1250)</f>
        <v/>
      </c>
      <c r="N1250" s="27">
        <f>IF(H1250="","",IF(D1250="HOLD",IF(ABS(K1250)&lt;0.03,"YES","NO"),IF(D1250="BUY",IF(K1250&gt;0,"YES","NO"),IF(D1250="SELL",IF(K1250&lt;0,"YES","NO"),""))))</f>
        <v/>
      </c>
    </row>
    <row r="1251" ht="15" customHeight="1">
      <c r="K1251" s="26">
        <f>IF(H1251="","",(H1251-G1251)/G1251)</f>
        <v/>
      </c>
      <c r="L1251" s="26">
        <f>IF(I1251="","",(I1251-G1251)/G1251)</f>
        <v/>
      </c>
      <c r="M1251" s="26">
        <f>IF(J1251="","",(J1251-G1251)/G1251)</f>
        <v/>
      </c>
      <c r="N1251" s="27">
        <f>IF(H1251="","",IF(D1251="HOLD",IF(ABS(K1251)&lt;0.03,"YES","NO"),IF(D1251="BUY",IF(K1251&gt;0,"YES","NO"),IF(D1251="SELL",IF(K1251&lt;0,"YES","NO"),""))))</f>
        <v/>
      </c>
    </row>
    <row r="1252" ht="15" customHeight="1">
      <c r="K1252" s="26">
        <f>IF(H1252="","",(H1252-G1252)/G1252)</f>
        <v/>
      </c>
      <c r="L1252" s="26">
        <f>IF(I1252="","",(I1252-G1252)/G1252)</f>
        <v/>
      </c>
      <c r="M1252" s="26">
        <f>IF(J1252="","",(J1252-G1252)/G1252)</f>
        <v/>
      </c>
      <c r="N1252" s="27">
        <f>IF(H1252="","",IF(D1252="HOLD",IF(ABS(K1252)&lt;0.03,"YES","NO"),IF(D1252="BUY",IF(K1252&gt;0,"YES","NO"),IF(D1252="SELL",IF(K1252&lt;0,"YES","NO"),""))))</f>
        <v/>
      </c>
    </row>
    <row r="1253" ht="15" customHeight="1">
      <c r="K1253" s="26">
        <f>IF(H1253="","",(H1253-G1253)/G1253)</f>
        <v/>
      </c>
      <c r="L1253" s="26">
        <f>IF(I1253="","",(I1253-G1253)/G1253)</f>
        <v/>
      </c>
      <c r="M1253" s="26">
        <f>IF(J1253="","",(J1253-G1253)/G1253)</f>
        <v/>
      </c>
      <c r="N1253" s="27">
        <f>IF(H1253="","",IF(D1253="HOLD",IF(ABS(K1253)&lt;0.03,"YES","NO"),IF(D1253="BUY",IF(K1253&gt;0,"YES","NO"),IF(D1253="SELL",IF(K1253&lt;0,"YES","NO"),""))))</f>
        <v/>
      </c>
    </row>
    <row r="1254" ht="15" customHeight="1">
      <c r="K1254" s="26">
        <f>IF(H1254="","",(H1254-G1254)/G1254)</f>
        <v/>
      </c>
      <c r="L1254" s="26">
        <f>IF(I1254="","",(I1254-G1254)/G1254)</f>
        <v/>
      </c>
      <c r="M1254" s="26">
        <f>IF(J1254="","",(J1254-G1254)/G1254)</f>
        <v/>
      </c>
      <c r="N1254" s="27">
        <f>IF(H1254="","",IF(D1254="HOLD",IF(ABS(K1254)&lt;0.03,"YES","NO"),IF(D1254="BUY",IF(K1254&gt;0,"YES","NO"),IF(D1254="SELL",IF(K1254&lt;0,"YES","NO"),""))))</f>
        <v/>
      </c>
    </row>
    <row r="1255" ht="15" customHeight="1">
      <c r="K1255" s="26">
        <f>IF(H1255="","",(H1255-G1255)/G1255)</f>
        <v/>
      </c>
      <c r="L1255" s="26">
        <f>IF(I1255="","",(I1255-G1255)/G1255)</f>
        <v/>
      </c>
      <c r="M1255" s="26">
        <f>IF(J1255="","",(J1255-G1255)/G1255)</f>
        <v/>
      </c>
      <c r="N1255" s="27">
        <f>IF(H1255="","",IF(D1255="HOLD",IF(ABS(K1255)&lt;0.03,"YES","NO"),IF(D1255="BUY",IF(K1255&gt;0,"YES","NO"),IF(D1255="SELL",IF(K1255&lt;0,"YES","NO"),""))))</f>
        <v/>
      </c>
    </row>
    <row r="1256" ht="15" customHeight="1">
      <c r="K1256" s="26">
        <f>IF(H1256="","",(H1256-G1256)/G1256)</f>
        <v/>
      </c>
      <c r="L1256" s="26">
        <f>IF(I1256="","",(I1256-G1256)/G1256)</f>
        <v/>
      </c>
      <c r="M1256" s="26">
        <f>IF(J1256="","",(J1256-G1256)/G1256)</f>
        <v/>
      </c>
      <c r="N1256" s="27">
        <f>IF(H1256="","",IF(D1256="HOLD",IF(ABS(K1256)&lt;0.03,"YES","NO"),IF(D1256="BUY",IF(K1256&gt;0,"YES","NO"),IF(D1256="SELL",IF(K1256&lt;0,"YES","NO"),""))))</f>
        <v/>
      </c>
    </row>
    <row r="1257" ht="15" customHeight="1">
      <c r="K1257" s="26">
        <f>IF(H1257="","",(H1257-G1257)/G1257)</f>
        <v/>
      </c>
      <c r="L1257" s="26">
        <f>IF(I1257="","",(I1257-G1257)/G1257)</f>
        <v/>
      </c>
      <c r="M1257" s="26">
        <f>IF(J1257="","",(J1257-G1257)/G1257)</f>
        <v/>
      </c>
      <c r="N1257" s="27">
        <f>IF(H1257="","",IF(D1257="HOLD",IF(ABS(K1257)&lt;0.03,"YES","NO"),IF(D1257="BUY",IF(K1257&gt;0,"YES","NO"),IF(D1257="SELL",IF(K1257&lt;0,"YES","NO"),""))))</f>
        <v/>
      </c>
    </row>
    <row r="1258" ht="15" customHeight="1">
      <c r="K1258" s="26">
        <f>IF(H1258="","",(H1258-G1258)/G1258)</f>
        <v/>
      </c>
      <c r="L1258" s="26">
        <f>IF(I1258="","",(I1258-G1258)/G1258)</f>
        <v/>
      </c>
      <c r="M1258" s="26">
        <f>IF(J1258="","",(J1258-G1258)/G1258)</f>
        <v/>
      </c>
      <c r="N1258" s="27">
        <f>IF(H1258="","",IF(D1258="HOLD",IF(ABS(K1258)&lt;0.03,"YES","NO"),IF(D1258="BUY",IF(K1258&gt;0,"YES","NO"),IF(D1258="SELL",IF(K1258&lt;0,"YES","NO"),""))))</f>
        <v/>
      </c>
    </row>
    <row r="1259" ht="15" customHeight="1">
      <c r="K1259" s="26">
        <f>IF(H1259="","",(H1259-G1259)/G1259)</f>
        <v/>
      </c>
      <c r="L1259" s="26">
        <f>IF(I1259="","",(I1259-G1259)/G1259)</f>
        <v/>
      </c>
      <c r="M1259" s="26">
        <f>IF(J1259="","",(J1259-G1259)/G1259)</f>
        <v/>
      </c>
      <c r="N1259" s="27">
        <f>IF(H1259="","",IF(D1259="HOLD",IF(ABS(K1259)&lt;0.03,"YES","NO"),IF(D1259="BUY",IF(K1259&gt;0,"YES","NO"),IF(D1259="SELL",IF(K1259&lt;0,"YES","NO"),""))))</f>
        <v/>
      </c>
    </row>
    <row r="1260" ht="15" customHeight="1">
      <c r="K1260" s="26">
        <f>IF(H1260="","",(H1260-G1260)/G1260)</f>
        <v/>
      </c>
      <c r="L1260" s="26">
        <f>IF(I1260="","",(I1260-G1260)/G1260)</f>
        <v/>
      </c>
      <c r="M1260" s="26">
        <f>IF(J1260="","",(J1260-G1260)/G1260)</f>
        <v/>
      </c>
      <c r="N1260" s="27">
        <f>IF(H1260="","",IF(D1260="HOLD",IF(ABS(K1260)&lt;0.03,"YES","NO"),IF(D1260="BUY",IF(K1260&gt;0,"YES","NO"),IF(D1260="SELL",IF(K1260&lt;0,"YES","NO"),""))))</f>
        <v/>
      </c>
    </row>
    <row r="1261" ht="15" customHeight="1">
      <c r="K1261" s="26">
        <f>IF(H1261="","",(H1261-G1261)/G1261)</f>
        <v/>
      </c>
      <c r="L1261" s="26">
        <f>IF(I1261="","",(I1261-G1261)/G1261)</f>
        <v/>
      </c>
      <c r="M1261" s="26">
        <f>IF(J1261="","",(J1261-G1261)/G1261)</f>
        <v/>
      </c>
      <c r="N1261" s="27">
        <f>IF(H1261="","",IF(D1261="HOLD",IF(ABS(K1261)&lt;0.03,"YES","NO"),IF(D1261="BUY",IF(K1261&gt;0,"YES","NO"),IF(D1261="SELL",IF(K1261&lt;0,"YES","NO"),""))))</f>
        <v/>
      </c>
    </row>
    <row r="1262" ht="15" customHeight="1">
      <c r="K1262" s="26">
        <f>IF(H1262="","",(H1262-G1262)/G1262)</f>
        <v/>
      </c>
      <c r="L1262" s="26">
        <f>IF(I1262="","",(I1262-G1262)/G1262)</f>
        <v/>
      </c>
      <c r="M1262" s="26">
        <f>IF(J1262="","",(J1262-G1262)/G1262)</f>
        <v/>
      </c>
      <c r="N1262" s="27">
        <f>IF(H1262="","",IF(D1262="HOLD",IF(ABS(K1262)&lt;0.03,"YES","NO"),IF(D1262="BUY",IF(K1262&gt;0,"YES","NO"),IF(D1262="SELL",IF(K1262&lt;0,"YES","NO"),""))))</f>
        <v/>
      </c>
    </row>
    <row r="1263" ht="15" customHeight="1">
      <c r="K1263" s="26">
        <f>IF(H1263="","",(H1263-G1263)/G1263)</f>
        <v/>
      </c>
      <c r="L1263" s="26">
        <f>IF(I1263="","",(I1263-G1263)/G1263)</f>
        <v/>
      </c>
      <c r="M1263" s="26">
        <f>IF(J1263="","",(J1263-G1263)/G1263)</f>
        <v/>
      </c>
      <c r="N1263" s="27">
        <f>IF(H1263="","",IF(D1263="HOLD",IF(ABS(K1263)&lt;0.03,"YES","NO"),IF(D1263="BUY",IF(K1263&gt;0,"YES","NO"),IF(D1263="SELL",IF(K1263&lt;0,"YES","NO"),""))))</f>
        <v/>
      </c>
    </row>
    <row r="1264" ht="15" customHeight="1">
      <c r="K1264" s="26">
        <f>IF(H1264="","",(H1264-G1264)/G1264)</f>
        <v/>
      </c>
      <c r="L1264" s="26">
        <f>IF(I1264="","",(I1264-G1264)/G1264)</f>
        <v/>
      </c>
      <c r="M1264" s="26">
        <f>IF(J1264="","",(J1264-G1264)/G1264)</f>
        <v/>
      </c>
      <c r="N1264" s="27">
        <f>IF(H1264="","",IF(D1264="HOLD",IF(ABS(K1264)&lt;0.03,"YES","NO"),IF(D1264="BUY",IF(K1264&gt;0,"YES","NO"),IF(D1264="SELL",IF(K1264&lt;0,"YES","NO"),""))))</f>
        <v/>
      </c>
    </row>
    <row r="1265" ht="15" customHeight="1">
      <c r="K1265" s="26">
        <f>IF(H1265="","",(H1265-G1265)/G1265)</f>
        <v/>
      </c>
      <c r="L1265" s="26">
        <f>IF(I1265="","",(I1265-G1265)/G1265)</f>
        <v/>
      </c>
      <c r="M1265" s="26">
        <f>IF(J1265="","",(J1265-G1265)/G1265)</f>
        <v/>
      </c>
      <c r="N1265" s="27">
        <f>IF(H1265="","",IF(D1265="HOLD",IF(ABS(K1265)&lt;0.03,"YES","NO"),IF(D1265="BUY",IF(K1265&gt;0,"YES","NO"),IF(D1265="SELL",IF(K1265&lt;0,"YES","NO"),""))))</f>
        <v/>
      </c>
    </row>
    <row r="1266" ht="15" customHeight="1">
      <c r="K1266" s="26">
        <f>IF(H1266="","",(H1266-G1266)/G1266)</f>
        <v/>
      </c>
      <c r="L1266" s="26">
        <f>IF(I1266="","",(I1266-G1266)/G1266)</f>
        <v/>
      </c>
      <c r="M1266" s="26">
        <f>IF(J1266="","",(J1266-G1266)/G1266)</f>
        <v/>
      </c>
      <c r="N1266" s="27">
        <f>IF(H1266="","",IF(D1266="HOLD",IF(ABS(K1266)&lt;0.03,"YES","NO"),IF(D1266="BUY",IF(K1266&gt;0,"YES","NO"),IF(D1266="SELL",IF(K1266&lt;0,"YES","NO"),""))))</f>
        <v/>
      </c>
    </row>
    <row r="1267" ht="15" customHeight="1">
      <c r="K1267" s="26">
        <f>IF(H1267="","",(H1267-G1267)/G1267)</f>
        <v/>
      </c>
      <c r="L1267" s="26">
        <f>IF(I1267="","",(I1267-G1267)/G1267)</f>
        <v/>
      </c>
      <c r="M1267" s="26">
        <f>IF(J1267="","",(J1267-G1267)/G1267)</f>
        <v/>
      </c>
      <c r="N1267" s="27">
        <f>IF(H1267="","",IF(D1267="HOLD",IF(ABS(K1267)&lt;0.03,"YES","NO"),IF(D1267="BUY",IF(K1267&gt;0,"YES","NO"),IF(D1267="SELL",IF(K1267&lt;0,"YES","NO"),""))))</f>
        <v/>
      </c>
    </row>
    <row r="1268" ht="15" customHeight="1">
      <c r="K1268" s="26">
        <f>IF(H1268="","",(H1268-G1268)/G1268)</f>
        <v/>
      </c>
      <c r="L1268" s="26">
        <f>IF(I1268="","",(I1268-G1268)/G1268)</f>
        <v/>
      </c>
      <c r="M1268" s="26">
        <f>IF(J1268="","",(J1268-G1268)/G1268)</f>
        <v/>
      </c>
      <c r="N1268" s="27">
        <f>IF(H1268="","",IF(D1268="HOLD",IF(ABS(K1268)&lt;0.03,"YES","NO"),IF(D1268="BUY",IF(K1268&gt;0,"YES","NO"),IF(D1268="SELL",IF(K1268&lt;0,"YES","NO"),""))))</f>
        <v/>
      </c>
    </row>
    <row r="1269" ht="15" customHeight="1">
      <c r="K1269" s="26">
        <f>IF(H1269="","",(H1269-G1269)/G1269)</f>
        <v/>
      </c>
      <c r="L1269" s="26">
        <f>IF(I1269="","",(I1269-G1269)/G1269)</f>
        <v/>
      </c>
      <c r="M1269" s="26">
        <f>IF(J1269="","",(J1269-G1269)/G1269)</f>
        <v/>
      </c>
      <c r="N1269" s="27">
        <f>IF(H1269="","",IF(D1269="HOLD",IF(ABS(K1269)&lt;0.03,"YES","NO"),IF(D1269="BUY",IF(K1269&gt;0,"YES","NO"),IF(D1269="SELL",IF(K1269&lt;0,"YES","NO"),""))))</f>
        <v/>
      </c>
    </row>
    <row r="1270" ht="15" customHeight="1">
      <c r="K1270" s="26">
        <f>IF(H1270="","",(H1270-G1270)/G1270)</f>
        <v/>
      </c>
      <c r="L1270" s="26">
        <f>IF(I1270="","",(I1270-G1270)/G1270)</f>
        <v/>
      </c>
      <c r="M1270" s="26">
        <f>IF(J1270="","",(J1270-G1270)/G1270)</f>
        <v/>
      </c>
      <c r="N1270" s="27">
        <f>IF(H1270="","",IF(D1270="HOLD",IF(ABS(K1270)&lt;0.03,"YES","NO"),IF(D1270="BUY",IF(K1270&gt;0,"YES","NO"),IF(D1270="SELL",IF(K1270&lt;0,"YES","NO"),""))))</f>
        <v/>
      </c>
    </row>
    <row r="1271" ht="15" customHeight="1">
      <c r="K1271" s="26">
        <f>IF(H1271="","",(H1271-G1271)/G1271)</f>
        <v/>
      </c>
      <c r="L1271" s="26">
        <f>IF(I1271="","",(I1271-G1271)/G1271)</f>
        <v/>
      </c>
      <c r="M1271" s="26">
        <f>IF(J1271="","",(J1271-G1271)/G1271)</f>
        <v/>
      </c>
      <c r="N1271" s="27">
        <f>IF(H1271="","",IF(D1271="HOLD",IF(ABS(K1271)&lt;0.03,"YES","NO"),IF(D1271="BUY",IF(K1271&gt;0,"YES","NO"),IF(D1271="SELL",IF(K1271&lt;0,"YES","NO"),""))))</f>
        <v/>
      </c>
    </row>
    <row r="1272" ht="15" customHeight="1">
      <c r="K1272" s="26">
        <f>IF(H1272="","",(H1272-G1272)/G1272)</f>
        <v/>
      </c>
      <c r="L1272" s="26">
        <f>IF(I1272="","",(I1272-G1272)/G1272)</f>
        <v/>
      </c>
      <c r="M1272" s="26">
        <f>IF(J1272="","",(J1272-G1272)/G1272)</f>
        <v/>
      </c>
      <c r="N1272" s="27">
        <f>IF(H1272="","",IF(D1272="HOLD",IF(ABS(K1272)&lt;0.03,"YES","NO"),IF(D1272="BUY",IF(K1272&gt;0,"YES","NO"),IF(D1272="SELL",IF(K1272&lt;0,"YES","NO"),""))))</f>
        <v/>
      </c>
    </row>
    <row r="1273" ht="15" customHeight="1">
      <c r="K1273" s="26">
        <f>IF(H1273="","",(H1273-G1273)/G1273)</f>
        <v/>
      </c>
      <c r="L1273" s="26">
        <f>IF(I1273="","",(I1273-G1273)/G1273)</f>
        <v/>
      </c>
      <c r="M1273" s="26">
        <f>IF(J1273="","",(J1273-G1273)/G1273)</f>
        <v/>
      </c>
      <c r="N1273" s="27">
        <f>IF(H1273="","",IF(D1273="HOLD",IF(ABS(K1273)&lt;0.03,"YES","NO"),IF(D1273="BUY",IF(K1273&gt;0,"YES","NO"),IF(D1273="SELL",IF(K1273&lt;0,"YES","NO"),""))))</f>
        <v/>
      </c>
    </row>
    <row r="1274" ht="15" customHeight="1">
      <c r="K1274" s="26">
        <f>IF(H1274="","",(H1274-G1274)/G1274)</f>
        <v/>
      </c>
      <c r="L1274" s="26">
        <f>IF(I1274="","",(I1274-G1274)/G1274)</f>
        <v/>
      </c>
      <c r="M1274" s="26">
        <f>IF(J1274="","",(J1274-G1274)/G1274)</f>
        <v/>
      </c>
      <c r="N1274" s="27">
        <f>IF(H1274="","",IF(D1274="HOLD",IF(ABS(K1274)&lt;0.03,"YES","NO"),IF(D1274="BUY",IF(K1274&gt;0,"YES","NO"),IF(D1274="SELL",IF(K1274&lt;0,"YES","NO"),""))))</f>
        <v/>
      </c>
    </row>
    <row r="1275" ht="15" customHeight="1">
      <c r="K1275" s="26">
        <f>IF(H1275="","",(H1275-G1275)/G1275)</f>
        <v/>
      </c>
      <c r="L1275" s="26">
        <f>IF(I1275="","",(I1275-G1275)/G1275)</f>
        <v/>
      </c>
      <c r="M1275" s="26">
        <f>IF(J1275="","",(J1275-G1275)/G1275)</f>
        <v/>
      </c>
      <c r="N1275" s="27">
        <f>IF(H1275="","",IF(D1275="HOLD",IF(ABS(K1275)&lt;0.03,"YES","NO"),IF(D1275="BUY",IF(K1275&gt;0,"YES","NO"),IF(D1275="SELL",IF(K1275&lt;0,"YES","NO"),""))))</f>
        <v/>
      </c>
    </row>
    <row r="1276" ht="15" customHeight="1">
      <c r="K1276" s="26">
        <f>IF(H1276="","",(H1276-G1276)/G1276)</f>
        <v/>
      </c>
      <c r="L1276" s="26">
        <f>IF(I1276="","",(I1276-G1276)/G1276)</f>
        <v/>
      </c>
      <c r="M1276" s="26">
        <f>IF(J1276="","",(J1276-G1276)/G1276)</f>
        <v/>
      </c>
      <c r="N1276" s="27">
        <f>IF(H1276="","",IF(D1276="HOLD",IF(ABS(K1276)&lt;0.03,"YES","NO"),IF(D1276="BUY",IF(K1276&gt;0,"YES","NO"),IF(D1276="SELL",IF(K1276&lt;0,"YES","NO"),""))))</f>
        <v/>
      </c>
    </row>
    <row r="1277" ht="15" customHeight="1">
      <c r="K1277" s="26">
        <f>IF(H1277="","",(H1277-G1277)/G1277)</f>
        <v/>
      </c>
      <c r="L1277" s="26">
        <f>IF(I1277="","",(I1277-G1277)/G1277)</f>
        <v/>
      </c>
      <c r="M1277" s="26">
        <f>IF(J1277="","",(J1277-G1277)/G1277)</f>
        <v/>
      </c>
      <c r="N1277" s="27">
        <f>IF(H1277="","",IF(D1277="HOLD",IF(ABS(K1277)&lt;0.03,"YES","NO"),IF(D1277="BUY",IF(K1277&gt;0,"YES","NO"),IF(D1277="SELL",IF(K1277&lt;0,"YES","NO"),""))))</f>
        <v/>
      </c>
    </row>
    <row r="1278" ht="15" customHeight="1">
      <c r="K1278" s="26">
        <f>IF(H1278="","",(H1278-G1278)/G1278)</f>
        <v/>
      </c>
      <c r="L1278" s="26">
        <f>IF(I1278="","",(I1278-G1278)/G1278)</f>
        <v/>
      </c>
      <c r="M1278" s="26">
        <f>IF(J1278="","",(J1278-G1278)/G1278)</f>
        <v/>
      </c>
      <c r="N1278" s="27">
        <f>IF(H1278="","",IF(D1278="HOLD",IF(ABS(K1278)&lt;0.03,"YES","NO"),IF(D1278="BUY",IF(K1278&gt;0,"YES","NO"),IF(D1278="SELL",IF(K1278&lt;0,"YES","NO"),""))))</f>
        <v/>
      </c>
    </row>
    <row r="1279" ht="15" customHeight="1">
      <c r="K1279" s="26">
        <f>IF(H1279="","",(H1279-G1279)/G1279)</f>
        <v/>
      </c>
      <c r="L1279" s="26">
        <f>IF(I1279="","",(I1279-G1279)/G1279)</f>
        <v/>
      </c>
      <c r="M1279" s="26">
        <f>IF(J1279="","",(J1279-G1279)/G1279)</f>
        <v/>
      </c>
      <c r="N1279" s="27">
        <f>IF(H1279="","",IF(D1279="HOLD",IF(ABS(K1279)&lt;0.03,"YES","NO"),IF(D1279="BUY",IF(K1279&gt;0,"YES","NO"),IF(D1279="SELL",IF(K1279&lt;0,"YES","NO"),""))))</f>
        <v/>
      </c>
    </row>
    <row r="1280" ht="15" customHeight="1">
      <c r="K1280" s="26">
        <f>IF(H1280="","",(H1280-G1280)/G1280)</f>
        <v/>
      </c>
      <c r="L1280" s="26">
        <f>IF(I1280="","",(I1280-G1280)/G1280)</f>
        <v/>
      </c>
      <c r="M1280" s="26">
        <f>IF(J1280="","",(J1280-G1280)/G1280)</f>
        <v/>
      </c>
      <c r="N1280" s="27">
        <f>IF(H1280="","",IF(D1280="HOLD",IF(ABS(K1280)&lt;0.03,"YES","NO"),IF(D1280="BUY",IF(K1280&gt;0,"YES","NO"),IF(D1280="SELL",IF(K1280&lt;0,"YES","NO"),""))))</f>
        <v/>
      </c>
    </row>
    <row r="1281" ht="15" customHeight="1">
      <c r="K1281" s="26">
        <f>IF(H1281="","",(H1281-G1281)/G1281)</f>
        <v/>
      </c>
      <c r="L1281" s="26">
        <f>IF(I1281="","",(I1281-G1281)/G1281)</f>
        <v/>
      </c>
      <c r="M1281" s="26">
        <f>IF(J1281="","",(J1281-G1281)/G1281)</f>
        <v/>
      </c>
      <c r="N1281" s="27">
        <f>IF(H1281="","",IF(D1281="HOLD",IF(ABS(K1281)&lt;0.03,"YES","NO"),IF(D1281="BUY",IF(K1281&gt;0,"YES","NO"),IF(D1281="SELL",IF(K1281&lt;0,"YES","NO"),""))))</f>
        <v/>
      </c>
    </row>
    <row r="1282" ht="15" customHeight="1">
      <c r="K1282" s="26">
        <f>IF(H1282="","",(H1282-G1282)/G1282)</f>
        <v/>
      </c>
      <c r="L1282" s="26">
        <f>IF(I1282="","",(I1282-G1282)/G1282)</f>
        <v/>
      </c>
      <c r="M1282" s="26">
        <f>IF(J1282="","",(J1282-G1282)/G1282)</f>
        <v/>
      </c>
      <c r="N1282" s="27">
        <f>IF(H1282="","",IF(D1282="HOLD",IF(ABS(K1282)&lt;0.03,"YES","NO"),IF(D1282="BUY",IF(K1282&gt;0,"YES","NO"),IF(D1282="SELL",IF(K1282&lt;0,"YES","NO"),""))))</f>
        <v/>
      </c>
    </row>
    <row r="1283" ht="15" customHeight="1">
      <c r="K1283" s="26">
        <f>IF(H1283="","",(H1283-G1283)/G1283)</f>
        <v/>
      </c>
      <c r="L1283" s="26">
        <f>IF(I1283="","",(I1283-G1283)/G1283)</f>
        <v/>
      </c>
      <c r="M1283" s="26">
        <f>IF(J1283="","",(J1283-G1283)/G1283)</f>
        <v/>
      </c>
      <c r="N1283" s="27">
        <f>IF(H1283="","",IF(D1283="HOLD",IF(ABS(K1283)&lt;0.03,"YES","NO"),IF(D1283="BUY",IF(K1283&gt;0,"YES","NO"),IF(D1283="SELL",IF(K1283&lt;0,"YES","NO"),""))))</f>
        <v/>
      </c>
    </row>
    <row r="1284" ht="15" customHeight="1">
      <c r="K1284" s="26">
        <f>IF(H1284="","",(H1284-G1284)/G1284)</f>
        <v/>
      </c>
      <c r="L1284" s="26">
        <f>IF(I1284="","",(I1284-G1284)/G1284)</f>
        <v/>
      </c>
      <c r="M1284" s="26">
        <f>IF(J1284="","",(J1284-G1284)/G1284)</f>
        <v/>
      </c>
      <c r="N1284" s="27">
        <f>IF(H1284="","",IF(D1284="HOLD",IF(ABS(K1284)&lt;0.03,"YES","NO"),IF(D1284="BUY",IF(K1284&gt;0,"YES","NO"),IF(D1284="SELL",IF(K1284&lt;0,"YES","NO"),""))))</f>
        <v/>
      </c>
    </row>
    <row r="1285" ht="15" customHeight="1">
      <c r="K1285" s="26">
        <f>IF(H1285="","",(H1285-G1285)/G1285)</f>
        <v/>
      </c>
      <c r="L1285" s="26">
        <f>IF(I1285="","",(I1285-G1285)/G1285)</f>
        <v/>
      </c>
      <c r="M1285" s="26">
        <f>IF(J1285="","",(J1285-G1285)/G1285)</f>
        <v/>
      </c>
      <c r="N1285" s="27">
        <f>IF(H1285="","",IF(D1285="HOLD",IF(ABS(K1285)&lt;0.03,"YES","NO"),IF(D1285="BUY",IF(K1285&gt;0,"YES","NO"),IF(D1285="SELL",IF(K1285&lt;0,"YES","NO"),""))))</f>
        <v/>
      </c>
    </row>
    <row r="1286" ht="15" customHeight="1">
      <c r="K1286" s="26">
        <f>IF(H1286="","",(H1286-G1286)/G1286)</f>
        <v/>
      </c>
      <c r="L1286" s="26">
        <f>IF(I1286="","",(I1286-G1286)/G1286)</f>
        <v/>
      </c>
      <c r="M1286" s="26">
        <f>IF(J1286="","",(J1286-G1286)/G1286)</f>
        <v/>
      </c>
      <c r="N1286" s="27">
        <f>IF(H1286="","",IF(D1286="HOLD",IF(ABS(K1286)&lt;0.03,"YES","NO"),IF(D1286="BUY",IF(K1286&gt;0,"YES","NO"),IF(D1286="SELL",IF(K1286&lt;0,"YES","NO"),""))))</f>
        <v/>
      </c>
    </row>
    <row r="1287" ht="15" customHeight="1">
      <c r="K1287" s="26">
        <f>IF(H1287="","",(H1287-G1287)/G1287)</f>
        <v/>
      </c>
      <c r="L1287" s="26">
        <f>IF(I1287="","",(I1287-G1287)/G1287)</f>
        <v/>
      </c>
      <c r="M1287" s="26">
        <f>IF(J1287="","",(J1287-G1287)/G1287)</f>
        <v/>
      </c>
      <c r="N1287" s="27">
        <f>IF(H1287="","",IF(D1287="HOLD",IF(ABS(K1287)&lt;0.03,"YES","NO"),IF(D1287="BUY",IF(K1287&gt;0,"YES","NO"),IF(D1287="SELL",IF(K1287&lt;0,"YES","NO"),""))))</f>
        <v/>
      </c>
    </row>
    <row r="1288" ht="15" customHeight="1">
      <c r="K1288" s="26">
        <f>IF(H1288="","",(H1288-G1288)/G1288)</f>
        <v/>
      </c>
      <c r="L1288" s="26">
        <f>IF(I1288="","",(I1288-G1288)/G1288)</f>
        <v/>
      </c>
      <c r="M1288" s="26">
        <f>IF(J1288="","",(J1288-G1288)/G1288)</f>
        <v/>
      </c>
      <c r="N1288" s="27">
        <f>IF(H1288="","",IF(D1288="HOLD",IF(ABS(K1288)&lt;0.03,"YES","NO"),IF(D1288="BUY",IF(K1288&gt;0,"YES","NO"),IF(D1288="SELL",IF(K1288&lt;0,"YES","NO"),""))))</f>
        <v/>
      </c>
    </row>
    <row r="1289" ht="15" customHeight="1">
      <c r="K1289" s="26">
        <f>IF(H1289="","",(H1289-G1289)/G1289)</f>
        <v/>
      </c>
      <c r="L1289" s="26">
        <f>IF(I1289="","",(I1289-G1289)/G1289)</f>
        <v/>
      </c>
      <c r="M1289" s="26">
        <f>IF(J1289="","",(J1289-G1289)/G1289)</f>
        <v/>
      </c>
      <c r="N1289" s="27">
        <f>IF(H1289="","",IF(D1289="HOLD",IF(ABS(K1289)&lt;0.03,"YES","NO"),IF(D1289="BUY",IF(K1289&gt;0,"YES","NO"),IF(D1289="SELL",IF(K1289&lt;0,"YES","NO"),""))))</f>
        <v/>
      </c>
    </row>
    <row r="1290" ht="15" customHeight="1">
      <c r="K1290" s="26">
        <f>IF(H1290="","",(H1290-G1290)/G1290)</f>
        <v/>
      </c>
      <c r="L1290" s="26">
        <f>IF(I1290="","",(I1290-G1290)/G1290)</f>
        <v/>
      </c>
      <c r="M1290" s="26">
        <f>IF(J1290="","",(J1290-G1290)/G1290)</f>
        <v/>
      </c>
      <c r="N1290" s="27">
        <f>IF(H1290="","",IF(D1290="HOLD",IF(ABS(K1290)&lt;0.03,"YES","NO"),IF(D1290="BUY",IF(K1290&gt;0,"YES","NO"),IF(D1290="SELL",IF(K1290&lt;0,"YES","NO"),""))))</f>
        <v/>
      </c>
    </row>
    <row r="1291" ht="15" customHeight="1">
      <c r="K1291" s="26">
        <f>IF(H1291="","",(H1291-G1291)/G1291)</f>
        <v/>
      </c>
      <c r="L1291" s="26">
        <f>IF(I1291="","",(I1291-G1291)/G1291)</f>
        <v/>
      </c>
      <c r="M1291" s="26">
        <f>IF(J1291="","",(J1291-G1291)/G1291)</f>
        <v/>
      </c>
      <c r="N1291" s="27">
        <f>IF(H1291="","",IF(D1291="HOLD",IF(ABS(K1291)&lt;0.03,"YES","NO"),IF(D1291="BUY",IF(K1291&gt;0,"YES","NO"),IF(D1291="SELL",IF(K1291&lt;0,"YES","NO"),""))))</f>
        <v/>
      </c>
    </row>
    <row r="1292" ht="15" customHeight="1">
      <c r="K1292" s="26">
        <f>IF(H1292="","",(H1292-G1292)/G1292)</f>
        <v/>
      </c>
      <c r="L1292" s="26">
        <f>IF(I1292="","",(I1292-G1292)/G1292)</f>
        <v/>
      </c>
      <c r="M1292" s="26">
        <f>IF(J1292="","",(J1292-G1292)/G1292)</f>
        <v/>
      </c>
      <c r="N1292" s="27">
        <f>IF(H1292="","",IF(D1292="HOLD",IF(ABS(K1292)&lt;0.03,"YES","NO"),IF(D1292="BUY",IF(K1292&gt;0,"YES","NO"),IF(D1292="SELL",IF(K1292&lt;0,"YES","NO"),""))))</f>
        <v/>
      </c>
    </row>
    <row r="1293" ht="15" customHeight="1">
      <c r="K1293" s="26">
        <f>IF(H1293="","",(H1293-G1293)/G1293)</f>
        <v/>
      </c>
      <c r="L1293" s="26">
        <f>IF(I1293="","",(I1293-G1293)/G1293)</f>
        <v/>
      </c>
      <c r="M1293" s="26">
        <f>IF(J1293="","",(J1293-G1293)/G1293)</f>
        <v/>
      </c>
      <c r="N1293" s="27">
        <f>IF(H1293="","",IF(D1293="HOLD",IF(ABS(K1293)&lt;0.03,"YES","NO"),IF(D1293="BUY",IF(K1293&gt;0,"YES","NO"),IF(D1293="SELL",IF(K1293&lt;0,"YES","NO"),""))))</f>
        <v/>
      </c>
    </row>
    <row r="1294" ht="15" customHeight="1">
      <c r="K1294" s="26">
        <f>IF(H1294="","",(H1294-G1294)/G1294)</f>
        <v/>
      </c>
      <c r="L1294" s="26">
        <f>IF(I1294="","",(I1294-G1294)/G1294)</f>
        <v/>
      </c>
      <c r="M1294" s="26">
        <f>IF(J1294="","",(J1294-G1294)/G1294)</f>
        <v/>
      </c>
      <c r="N1294" s="27">
        <f>IF(H1294="","",IF(D1294="HOLD",IF(ABS(K1294)&lt;0.03,"YES","NO"),IF(D1294="BUY",IF(K1294&gt;0,"YES","NO"),IF(D1294="SELL",IF(K1294&lt;0,"YES","NO"),""))))</f>
        <v/>
      </c>
    </row>
    <row r="1295" ht="15" customHeight="1">
      <c r="K1295" s="26">
        <f>IF(H1295="","",(H1295-G1295)/G1295)</f>
        <v/>
      </c>
      <c r="L1295" s="26">
        <f>IF(I1295="","",(I1295-G1295)/G1295)</f>
        <v/>
      </c>
      <c r="M1295" s="26">
        <f>IF(J1295="","",(J1295-G1295)/G1295)</f>
        <v/>
      </c>
      <c r="N1295" s="27">
        <f>IF(H1295="","",IF(D1295="HOLD",IF(ABS(K1295)&lt;0.03,"YES","NO"),IF(D1295="BUY",IF(K1295&gt;0,"YES","NO"),IF(D1295="SELL",IF(K1295&lt;0,"YES","NO"),""))))</f>
        <v/>
      </c>
    </row>
    <row r="1296" ht="15" customHeight="1">
      <c r="K1296" s="26">
        <f>IF(H1296="","",(H1296-G1296)/G1296)</f>
        <v/>
      </c>
      <c r="L1296" s="26">
        <f>IF(I1296="","",(I1296-G1296)/G1296)</f>
        <v/>
      </c>
      <c r="M1296" s="26">
        <f>IF(J1296="","",(J1296-G1296)/G1296)</f>
        <v/>
      </c>
      <c r="N1296" s="27">
        <f>IF(H1296="","",IF(D1296="HOLD",IF(ABS(K1296)&lt;0.03,"YES","NO"),IF(D1296="BUY",IF(K1296&gt;0,"YES","NO"),IF(D1296="SELL",IF(K1296&lt;0,"YES","NO"),""))))</f>
        <v/>
      </c>
    </row>
    <row r="1297" ht="15" customHeight="1">
      <c r="K1297" s="26">
        <f>IF(H1297="","",(H1297-G1297)/G1297)</f>
        <v/>
      </c>
      <c r="L1297" s="26">
        <f>IF(I1297="","",(I1297-G1297)/G1297)</f>
        <v/>
      </c>
      <c r="M1297" s="26">
        <f>IF(J1297="","",(J1297-G1297)/G1297)</f>
        <v/>
      </c>
      <c r="N1297" s="27">
        <f>IF(H1297="","",IF(D1297="HOLD",IF(ABS(K1297)&lt;0.03,"YES","NO"),IF(D1297="BUY",IF(K1297&gt;0,"YES","NO"),IF(D1297="SELL",IF(K1297&lt;0,"YES","NO"),""))))</f>
        <v/>
      </c>
    </row>
    <row r="1298" ht="15" customHeight="1">
      <c r="K1298" s="26">
        <f>IF(H1298="","",(H1298-G1298)/G1298)</f>
        <v/>
      </c>
      <c r="L1298" s="26">
        <f>IF(I1298="","",(I1298-G1298)/G1298)</f>
        <v/>
      </c>
      <c r="M1298" s="26">
        <f>IF(J1298="","",(J1298-G1298)/G1298)</f>
        <v/>
      </c>
      <c r="N1298" s="27">
        <f>IF(H1298="","",IF(D1298="HOLD",IF(ABS(K1298)&lt;0.03,"YES","NO"),IF(D1298="BUY",IF(K1298&gt;0,"YES","NO"),IF(D1298="SELL",IF(K1298&lt;0,"YES","NO"),""))))</f>
        <v/>
      </c>
    </row>
    <row r="1299" ht="15" customHeight="1">
      <c r="K1299" s="26">
        <f>IF(H1299="","",(H1299-G1299)/G1299)</f>
        <v/>
      </c>
      <c r="L1299" s="26">
        <f>IF(I1299="","",(I1299-G1299)/G1299)</f>
        <v/>
      </c>
      <c r="M1299" s="26">
        <f>IF(J1299="","",(J1299-G1299)/G1299)</f>
        <v/>
      </c>
      <c r="N1299" s="27">
        <f>IF(H1299="","",IF(D1299="HOLD",IF(ABS(K1299)&lt;0.03,"YES","NO"),IF(D1299="BUY",IF(K1299&gt;0,"YES","NO"),IF(D1299="SELL",IF(K1299&lt;0,"YES","NO"),""))))</f>
        <v/>
      </c>
    </row>
    <row r="1300" ht="15" customHeight="1">
      <c r="K1300" s="26">
        <f>IF(H1300="","",(H1300-G1300)/G1300)</f>
        <v/>
      </c>
      <c r="L1300" s="26">
        <f>IF(I1300="","",(I1300-G1300)/G1300)</f>
        <v/>
      </c>
      <c r="M1300" s="26">
        <f>IF(J1300="","",(J1300-G1300)/G1300)</f>
        <v/>
      </c>
      <c r="N1300" s="27">
        <f>IF(H1300="","",IF(D1300="HOLD",IF(ABS(K1300)&lt;0.03,"YES","NO"),IF(D1300="BUY",IF(K1300&gt;0,"YES","NO"),IF(D1300="SELL",IF(K1300&lt;0,"YES","NO"),""))))</f>
        <v/>
      </c>
    </row>
    <row r="1301" ht="15" customHeight="1">
      <c r="K1301" s="26">
        <f>IF(H1301="","",(H1301-G1301)/G1301)</f>
        <v/>
      </c>
      <c r="L1301" s="26">
        <f>IF(I1301="","",(I1301-G1301)/G1301)</f>
        <v/>
      </c>
      <c r="M1301" s="26">
        <f>IF(J1301="","",(J1301-G1301)/G1301)</f>
        <v/>
      </c>
      <c r="N1301" s="27">
        <f>IF(H1301="","",IF(D1301="HOLD",IF(ABS(K1301)&lt;0.03,"YES","NO"),IF(D1301="BUY",IF(K1301&gt;0,"YES","NO"),IF(D1301="SELL",IF(K1301&lt;0,"YES","NO"),""))))</f>
        <v/>
      </c>
    </row>
    <row r="1302" ht="15" customHeight="1">
      <c r="K1302" s="26">
        <f>IF(H1302="","",(H1302-G1302)/G1302)</f>
        <v/>
      </c>
      <c r="L1302" s="26">
        <f>IF(I1302="","",(I1302-G1302)/G1302)</f>
        <v/>
      </c>
      <c r="M1302" s="26">
        <f>IF(J1302="","",(J1302-G1302)/G1302)</f>
        <v/>
      </c>
      <c r="N1302" s="27">
        <f>IF(H1302="","",IF(D1302="HOLD",IF(ABS(K1302)&lt;0.03,"YES","NO"),IF(D1302="BUY",IF(K1302&gt;0,"YES","NO"),IF(D1302="SELL",IF(K1302&lt;0,"YES","NO"),""))))</f>
        <v/>
      </c>
    </row>
    <row r="1303" ht="15" customHeight="1">
      <c r="K1303" s="26">
        <f>IF(H1303="","",(H1303-G1303)/G1303)</f>
        <v/>
      </c>
      <c r="L1303" s="26">
        <f>IF(I1303="","",(I1303-G1303)/G1303)</f>
        <v/>
      </c>
      <c r="M1303" s="26">
        <f>IF(J1303="","",(J1303-G1303)/G1303)</f>
        <v/>
      </c>
      <c r="N1303" s="27">
        <f>IF(H1303="","",IF(D1303="HOLD",IF(ABS(K1303)&lt;0.03,"YES","NO"),IF(D1303="BUY",IF(K1303&gt;0,"YES","NO"),IF(D1303="SELL",IF(K1303&lt;0,"YES","NO"),""))))</f>
        <v/>
      </c>
    </row>
    <row r="1304" ht="15" customHeight="1">
      <c r="K1304" s="26">
        <f>IF(H1304="","",(H1304-G1304)/G1304)</f>
        <v/>
      </c>
      <c r="L1304" s="26">
        <f>IF(I1304="","",(I1304-G1304)/G1304)</f>
        <v/>
      </c>
      <c r="M1304" s="26">
        <f>IF(J1304="","",(J1304-G1304)/G1304)</f>
        <v/>
      </c>
      <c r="N1304" s="27">
        <f>IF(H1304="","",IF(D1304="HOLD",IF(ABS(K1304)&lt;0.03,"YES","NO"),IF(D1304="BUY",IF(K1304&gt;0,"YES","NO"),IF(D1304="SELL",IF(K1304&lt;0,"YES","NO"),""))))</f>
        <v/>
      </c>
    </row>
    <row r="1305" ht="15" customHeight="1">
      <c r="K1305" s="26">
        <f>IF(H1305="","",(H1305-G1305)/G1305)</f>
        <v/>
      </c>
      <c r="L1305" s="26">
        <f>IF(I1305="","",(I1305-G1305)/G1305)</f>
        <v/>
      </c>
      <c r="M1305" s="26">
        <f>IF(J1305="","",(J1305-G1305)/G1305)</f>
        <v/>
      </c>
      <c r="N1305" s="27">
        <f>IF(H1305="","",IF(D1305="HOLD",IF(ABS(K1305)&lt;0.03,"YES","NO"),IF(D1305="BUY",IF(K1305&gt;0,"YES","NO"),IF(D1305="SELL",IF(K1305&lt;0,"YES","NO"),""))))</f>
        <v/>
      </c>
    </row>
    <row r="1306" ht="15" customHeight="1">
      <c r="K1306" s="26">
        <f>IF(H1306="","",(H1306-G1306)/G1306)</f>
        <v/>
      </c>
      <c r="L1306" s="26">
        <f>IF(I1306="","",(I1306-G1306)/G1306)</f>
        <v/>
      </c>
      <c r="M1306" s="26">
        <f>IF(J1306="","",(J1306-G1306)/G1306)</f>
        <v/>
      </c>
      <c r="N1306" s="27">
        <f>IF(H1306="","",IF(D1306="HOLD",IF(ABS(K1306)&lt;0.03,"YES","NO"),IF(D1306="BUY",IF(K1306&gt;0,"YES","NO"),IF(D1306="SELL",IF(K1306&lt;0,"YES","NO"),""))))</f>
        <v/>
      </c>
    </row>
    <row r="1307" ht="15" customHeight="1">
      <c r="K1307" s="26">
        <f>IF(H1307="","",(H1307-G1307)/G1307)</f>
        <v/>
      </c>
      <c r="L1307" s="26">
        <f>IF(I1307="","",(I1307-G1307)/G1307)</f>
        <v/>
      </c>
      <c r="M1307" s="26">
        <f>IF(J1307="","",(J1307-G1307)/G1307)</f>
        <v/>
      </c>
      <c r="N1307" s="27">
        <f>IF(H1307="","",IF(D1307="HOLD",IF(ABS(K1307)&lt;0.03,"YES","NO"),IF(D1307="BUY",IF(K1307&gt;0,"YES","NO"),IF(D1307="SELL",IF(K1307&lt;0,"YES","NO"),""))))</f>
        <v/>
      </c>
    </row>
    <row r="1308" ht="15" customHeight="1">
      <c r="K1308" s="26">
        <f>IF(H1308="","",(H1308-G1308)/G1308)</f>
        <v/>
      </c>
      <c r="L1308" s="26">
        <f>IF(I1308="","",(I1308-G1308)/G1308)</f>
        <v/>
      </c>
      <c r="M1308" s="26">
        <f>IF(J1308="","",(J1308-G1308)/G1308)</f>
        <v/>
      </c>
      <c r="N1308" s="27">
        <f>IF(H1308="","",IF(D1308="HOLD",IF(ABS(K1308)&lt;0.03,"YES","NO"),IF(D1308="BUY",IF(K1308&gt;0,"YES","NO"),IF(D1308="SELL",IF(K1308&lt;0,"YES","NO"),""))))</f>
        <v/>
      </c>
    </row>
    <row r="1309" ht="15" customHeight="1">
      <c r="K1309" s="26">
        <f>IF(H1309="","",(H1309-G1309)/G1309)</f>
        <v/>
      </c>
      <c r="L1309" s="26">
        <f>IF(I1309="","",(I1309-G1309)/G1309)</f>
        <v/>
      </c>
      <c r="M1309" s="26">
        <f>IF(J1309="","",(J1309-G1309)/G1309)</f>
        <v/>
      </c>
      <c r="N1309" s="27">
        <f>IF(H1309="","",IF(D1309="HOLD",IF(ABS(K1309)&lt;0.03,"YES","NO"),IF(D1309="BUY",IF(K1309&gt;0,"YES","NO"),IF(D1309="SELL",IF(K1309&lt;0,"YES","NO"),""))))</f>
        <v/>
      </c>
    </row>
    <row r="1310" ht="15" customHeight="1">
      <c r="K1310" s="26">
        <f>IF(H1310="","",(H1310-G1310)/G1310)</f>
        <v/>
      </c>
      <c r="L1310" s="26">
        <f>IF(I1310="","",(I1310-G1310)/G1310)</f>
        <v/>
      </c>
      <c r="M1310" s="26">
        <f>IF(J1310="","",(J1310-G1310)/G1310)</f>
        <v/>
      </c>
      <c r="N1310" s="27">
        <f>IF(H1310="","",IF(D1310="HOLD",IF(ABS(K1310)&lt;0.03,"YES","NO"),IF(D1310="BUY",IF(K1310&gt;0,"YES","NO"),IF(D1310="SELL",IF(K1310&lt;0,"YES","NO"),""))))</f>
        <v/>
      </c>
    </row>
    <row r="1311" ht="15" customHeight="1">
      <c r="K1311" s="26">
        <f>IF(H1311="","",(H1311-G1311)/G1311)</f>
        <v/>
      </c>
      <c r="L1311" s="26">
        <f>IF(I1311="","",(I1311-G1311)/G1311)</f>
        <v/>
      </c>
      <c r="M1311" s="26">
        <f>IF(J1311="","",(J1311-G1311)/G1311)</f>
        <v/>
      </c>
      <c r="N1311" s="27">
        <f>IF(H1311="","",IF(D1311="HOLD",IF(ABS(K1311)&lt;0.03,"YES","NO"),IF(D1311="BUY",IF(K1311&gt;0,"YES","NO"),IF(D1311="SELL",IF(K1311&lt;0,"YES","NO"),""))))</f>
        <v/>
      </c>
    </row>
    <row r="1312" ht="15" customHeight="1">
      <c r="K1312" s="26">
        <f>IF(H1312="","",(H1312-G1312)/G1312)</f>
        <v/>
      </c>
      <c r="L1312" s="26">
        <f>IF(I1312="","",(I1312-G1312)/G1312)</f>
        <v/>
      </c>
      <c r="M1312" s="26">
        <f>IF(J1312="","",(J1312-G1312)/G1312)</f>
        <v/>
      </c>
      <c r="N1312" s="27">
        <f>IF(H1312="","",IF(D1312="HOLD",IF(ABS(K1312)&lt;0.03,"YES","NO"),IF(D1312="BUY",IF(K1312&gt;0,"YES","NO"),IF(D1312="SELL",IF(K1312&lt;0,"YES","NO"),""))))</f>
        <v/>
      </c>
    </row>
    <row r="1313" ht="15" customHeight="1">
      <c r="K1313" s="26">
        <f>IF(H1313="","",(H1313-G1313)/G1313)</f>
        <v/>
      </c>
      <c r="L1313" s="26">
        <f>IF(I1313="","",(I1313-G1313)/G1313)</f>
        <v/>
      </c>
      <c r="M1313" s="26">
        <f>IF(J1313="","",(J1313-G1313)/G1313)</f>
        <v/>
      </c>
      <c r="N1313" s="27">
        <f>IF(H1313="","",IF(D1313="HOLD",IF(ABS(K1313)&lt;0.03,"YES","NO"),IF(D1313="BUY",IF(K1313&gt;0,"YES","NO"),IF(D1313="SELL",IF(K1313&lt;0,"YES","NO"),""))))</f>
        <v/>
      </c>
    </row>
    <row r="1314" ht="15" customHeight="1">
      <c r="K1314" s="26">
        <f>IF(H1314="","",(H1314-G1314)/G1314)</f>
        <v/>
      </c>
      <c r="L1314" s="26">
        <f>IF(I1314="","",(I1314-G1314)/G1314)</f>
        <v/>
      </c>
      <c r="M1314" s="26">
        <f>IF(J1314="","",(J1314-G1314)/G1314)</f>
        <v/>
      </c>
      <c r="N1314" s="27">
        <f>IF(H1314="","",IF(D1314="HOLD",IF(ABS(K1314)&lt;0.03,"YES","NO"),IF(D1314="BUY",IF(K1314&gt;0,"YES","NO"),IF(D1314="SELL",IF(K1314&lt;0,"YES","NO"),""))))</f>
        <v/>
      </c>
    </row>
    <row r="1315" ht="15" customHeight="1">
      <c r="K1315" s="26">
        <f>IF(H1315="","",(H1315-G1315)/G1315)</f>
        <v/>
      </c>
      <c r="L1315" s="26">
        <f>IF(I1315="","",(I1315-G1315)/G1315)</f>
        <v/>
      </c>
      <c r="M1315" s="26">
        <f>IF(J1315="","",(J1315-G1315)/G1315)</f>
        <v/>
      </c>
      <c r="N1315" s="27">
        <f>IF(H1315="","",IF(D1315="HOLD",IF(ABS(K1315)&lt;0.03,"YES","NO"),IF(D1315="BUY",IF(K1315&gt;0,"YES","NO"),IF(D1315="SELL",IF(K1315&lt;0,"YES","NO"),""))))</f>
        <v/>
      </c>
    </row>
    <row r="1316" ht="15" customHeight="1">
      <c r="K1316" s="26">
        <f>IF(H1316="","",(H1316-G1316)/G1316)</f>
        <v/>
      </c>
      <c r="L1316" s="26">
        <f>IF(I1316="","",(I1316-G1316)/G1316)</f>
        <v/>
      </c>
      <c r="M1316" s="26">
        <f>IF(J1316="","",(J1316-G1316)/G1316)</f>
        <v/>
      </c>
      <c r="N1316" s="27">
        <f>IF(H1316="","",IF(D1316="HOLD",IF(ABS(K1316)&lt;0.03,"YES","NO"),IF(D1316="BUY",IF(K1316&gt;0,"YES","NO"),IF(D1316="SELL",IF(K1316&lt;0,"YES","NO"),""))))</f>
        <v/>
      </c>
    </row>
    <row r="1317" ht="15" customHeight="1">
      <c r="K1317" s="26">
        <f>IF(H1317="","",(H1317-G1317)/G1317)</f>
        <v/>
      </c>
      <c r="L1317" s="26">
        <f>IF(I1317="","",(I1317-G1317)/G1317)</f>
        <v/>
      </c>
      <c r="M1317" s="26">
        <f>IF(J1317="","",(J1317-G1317)/G1317)</f>
        <v/>
      </c>
      <c r="N1317" s="27">
        <f>IF(H1317="","",IF(D1317="HOLD",IF(ABS(K1317)&lt;0.03,"YES","NO"),IF(D1317="BUY",IF(K1317&gt;0,"YES","NO"),IF(D1317="SELL",IF(K1317&lt;0,"YES","NO"),""))))</f>
        <v/>
      </c>
    </row>
    <row r="1318" ht="15" customHeight="1">
      <c r="K1318" s="26">
        <f>IF(H1318="","",(H1318-G1318)/G1318)</f>
        <v/>
      </c>
      <c r="L1318" s="26">
        <f>IF(I1318="","",(I1318-G1318)/G1318)</f>
        <v/>
      </c>
      <c r="M1318" s="26">
        <f>IF(J1318="","",(J1318-G1318)/G1318)</f>
        <v/>
      </c>
      <c r="N1318" s="27">
        <f>IF(H1318="","",IF(D1318="HOLD",IF(ABS(K1318)&lt;0.03,"YES","NO"),IF(D1318="BUY",IF(K1318&gt;0,"YES","NO"),IF(D1318="SELL",IF(K1318&lt;0,"YES","NO"),""))))</f>
        <v/>
      </c>
    </row>
    <row r="1319" ht="15" customHeight="1">
      <c r="K1319" s="26">
        <f>IF(H1319="","",(H1319-G1319)/G1319)</f>
        <v/>
      </c>
      <c r="L1319" s="26">
        <f>IF(I1319="","",(I1319-G1319)/G1319)</f>
        <v/>
      </c>
      <c r="M1319" s="26">
        <f>IF(J1319="","",(J1319-G1319)/G1319)</f>
        <v/>
      </c>
      <c r="N1319" s="27">
        <f>IF(H1319="","",IF(D1319="HOLD",IF(ABS(K1319)&lt;0.03,"YES","NO"),IF(D1319="BUY",IF(K1319&gt;0,"YES","NO"),IF(D1319="SELL",IF(K1319&lt;0,"YES","NO"),""))))</f>
        <v/>
      </c>
    </row>
    <row r="1320" ht="15" customHeight="1">
      <c r="K1320" s="26">
        <f>IF(H1320="","",(H1320-G1320)/G1320)</f>
        <v/>
      </c>
      <c r="L1320" s="26">
        <f>IF(I1320="","",(I1320-G1320)/G1320)</f>
        <v/>
      </c>
      <c r="M1320" s="26">
        <f>IF(J1320="","",(J1320-G1320)/G1320)</f>
        <v/>
      </c>
      <c r="N1320" s="27">
        <f>IF(H1320="","",IF(D1320="HOLD",IF(ABS(K1320)&lt;0.03,"YES","NO"),IF(D1320="BUY",IF(K1320&gt;0,"YES","NO"),IF(D1320="SELL",IF(K1320&lt;0,"YES","NO"),""))))</f>
        <v/>
      </c>
    </row>
    <row r="1321" ht="15" customHeight="1">
      <c r="K1321" s="26">
        <f>IF(H1321="","",(H1321-G1321)/G1321)</f>
        <v/>
      </c>
      <c r="L1321" s="26">
        <f>IF(I1321="","",(I1321-G1321)/G1321)</f>
        <v/>
      </c>
      <c r="M1321" s="26">
        <f>IF(J1321="","",(J1321-G1321)/G1321)</f>
        <v/>
      </c>
      <c r="N1321" s="27">
        <f>IF(H1321="","",IF(D1321="HOLD",IF(ABS(K1321)&lt;0.03,"YES","NO"),IF(D1321="BUY",IF(K1321&gt;0,"YES","NO"),IF(D1321="SELL",IF(K1321&lt;0,"YES","NO"),""))))</f>
        <v/>
      </c>
    </row>
    <row r="1322" ht="15" customHeight="1">
      <c r="K1322" s="26">
        <f>IF(H1322="","",(H1322-G1322)/G1322)</f>
        <v/>
      </c>
      <c r="L1322" s="26">
        <f>IF(I1322="","",(I1322-G1322)/G1322)</f>
        <v/>
      </c>
      <c r="M1322" s="26">
        <f>IF(J1322="","",(J1322-G1322)/G1322)</f>
        <v/>
      </c>
      <c r="N1322" s="27">
        <f>IF(H1322="","",IF(D1322="HOLD",IF(ABS(K1322)&lt;0.03,"YES","NO"),IF(D1322="BUY",IF(K1322&gt;0,"YES","NO"),IF(D1322="SELL",IF(K1322&lt;0,"YES","NO"),""))))</f>
        <v/>
      </c>
    </row>
    <row r="1323" ht="15" customHeight="1">
      <c r="K1323" s="26">
        <f>IF(H1323="","",(H1323-G1323)/G1323)</f>
        <v/>
      </c>
      <c r="L1323" s="26">
        <f>IF(I1323="","",(I1323-G1323)/G1323)</f>
        <v/>
      </c>
      <c r="M1323" s="26">
        <f>IF(J1323="","",(J1323-G1323)/G1323)</f>
        <v/>
      </c>
      <c r="N1323" s="27">
        <f>IF(H1323="","",IF(D1323="HOLD",IF(ABS(K1323)&lt;0.03,"YES","NO"),IF(D1323="BUY",IF(K1323&gt;0,"YES","NO"),IF(D1323="SELL",IF(K1323&lt;0,"YES","NO"),""))))</f>
        <v/>
      </c>
    </row>
    <row r="1324" ht="15" customHeight="1">
      <c r="K1324" s="26">
        <f>IF(H1324="","",(H1324-G1324)/G1324)</f>
        <v/>
      </c>
      <c r="L1324" s="26">
        <f>IF(I1324="","",(I1324-G1324)/G1324)</f>
        <v/>
      </c>
      <c r="M1324" s="26">
        <f>IF(J1324="","",(J1324-G1324)/G1324)</f>
        <v/>
      </c>
      <c r="N1324" s="27">
        <f>IF(H1324="","",IF(D1324="HOLD",IF(ABS(K1324)&lt;0.03,"YES","NO"),IF(D1324="BUY",IF(K1324&gt;0,"YES","NO"),IF(D1324="SELL",IF(K1324&lt;0,"YES","NO"),""))))</f>
        <v/>
      </c>
    </row>
    <row r="1325" ht="15" customHeight="1">
      <c r="K1325" s="26">
        <f>IF(H1325="","",(H1325-G1325)/G1325)</f>
        <v/>
      </c>
      <c r="L1325" s="26">
        <f>IF(I1325="","",(I1325-G1325)/G1325)</f>
        <v/>
      </c>
      <c r="M1325" s="26">
        <f>IF(J1325="","",(J1325-G1325)/G1325)</f>
        <v/>
      </c>
      <c r="N1325" s="27">
        <f>IF(H1325="","",IF(D1325="HOLD",IF(ABS(K1325)&lt;0.03,"YES","NO"),IF(D1325="BUY",IF(K1325&gt;0,"YES","NO"),IF(D1325="SELL",IF(K1325&lt;0,"YES","NO"),""))))</f>
        <v/>
      </c>
    </row>
    <row r="1326" ht="15" customHeight="1">
      <c r="K1326" s="26">
        <f>IF(H1326="","",(H1326-G1326)/G1326)</f>
        <v/>
      </c>
      <c r="L1326" s="26">
        <f>IF(I1326="","",(I1326-G1326)/G1326)</f>
        <v/>
      </c>
      <c r="M1326" s="26">
        <f>IF(J1326="","",(J1326-G1326)/G1326)</f>
        <v/>
      </c>
      <c r="N1326" s="27">
        <f>IF(H1326="","",IF(D1326="HOLD",IF(ABS(K1326)&lt;0.03,"YES","NO"),IF(D1326="BUY",IF(K1326&gt;0,"YES","NO"),IF(D1326="SELL",IF(K1326&lt;0,"YES","NO"),""))))</f>
        <v/>
      </c>
    </row>
    <row r="1327" ht="15" customHeight="1">
      <c r="K1327" s="26">
        <f>IF(H1327="","",(H1327-G1327)/G1327)</f>
        <v/>
      </c>
      <c r="L1327" s="26">
        <f>IF(I1327="","",(I1327-G1327)/G1327)</f>
        <v/>
      </c>
      <c r="M1327" s="26">
        <f>IF(J1327="","",(J1327-G1327)/G1327)</f>
        <v/>
      </c>
      <c r="N1327" s="27">
        <f>IF(H1327="","",IF(D1327="HOLD",IF(ABS(K1327)&lt;0.03,"YES","NO"),IF(D1327="BUY",IF(K1327&gt;0,"YES","NO"),IF(D1327="SELL",IF(K1327&lt;0,"YES","NO"),""))))</f>
        <v/>
      </c>
    </row>
    <row r="1328" ht="15" customHeight="1">
      <c r="K1328" s="26">
        <f>IF(H1328="","",(H1328-G1328)/G1328)</f>
        <v/>
      </c>
      <c r="L1328" s="26">
        <f>IF(I1328="","",(I1328-G1328)/G1328)</f>
        <v/>
      </c>
      <c r="M1328" s="26">
        <f>IF(J1328="","",(J1328-G1328)/G1328)</f>
        <v/>
      </c>
      <c r="N1328" s="27">
        <f>IF(H1328="","",IF(D1328="HOLD",IF(ABS(K1328)&lt;0.03,"YES","NO"),IF(D1328="BUY",IF(K1328&gt;0,"YES","NO"),IF(D1328="SELL",IF(K1328&lt;0,"YES","NO"),""))))</f>
        <v/>
      </c>
    </row>
    <row r="1329" ht="15" customHeight="1">
      <c r="K1329" s="26">
        <f>IF(H1329="","",(H1329-G1329)/G1329)</f>
        <v/>
      </c>
      <c r="L1329" s="26">
        <f>IF(I1329="","",(I1329-G1329)/G1329)</f>
        <v/>
      </c>
      <c r="M1329" s="26">
        <f>IF(J1329="","",(J1329-G1329)/G1329)</f>
        <v/>
      </c>
      <c r="N1329" s="27">
        <f>IF(H1329="","",IF(D1329="HOLD",IF(ABS(K1329)&lt;0.03,"YES","NO"),IF(D1329="BUY",IF(K1329&gt;0,"YES","NO"),IF(D1329="SELL",IF(K1329&lt;0,"YES","NO"),""))))</f>
        <v/>
      </c>
    </row>
    <row r="1330" ht="15" customHeight="1">
      <c r="K1330" s="26">
        <f>IF(H1330="","",(H1330-G1330)/G1330)</f>
        <v/>
      </c>
      <c r="L1330" s="26">
        <f>IF(I1330="","",(I1330-G1330)/G1330)</f>
        <v/>
      </c>
      <c r="M1330" s="26">
        <f>IF(J1330="","",(J1330-G1330)/G1330)</f>
        <v/>
      </c>
      <c r="N1330" s="27">
        <f>IF(H1330="","",IF(D1330="HOLD",IF(ABS(K1330)&lt;0.03,"YES","NO"),IF(D1330="BUY",IF(K1330&gt;0,"YES","NO"),IF(D1330="SELL",IF(K1330&lt;0,"YES","NO"),""))))</f>
        <v/>
      </c>
    </row>
    <row r="1331" ht="15" customHeight="1">
      <c r="K1331" s="26">
        <f>IF(H1331="","",(H1331-G1331)/G1331)</f>
        <v/>
      </c>
      <c r="L1331" s="26">
        <f>IF(I1331="","",(I1331-G1331)/G1331)</f>
        <v/>
      </c>
      <c r="M1331" s="26">
        <f>IF(J1331="","",(J1331-G1331)/G1331)</f>
        <v/>
      </c>
      <c r="N1331" s="27">
        <f>IF(H1331="","",IF(D1331="HOLD",IF(ABS(K1331)&lt;0.03,"YES","NO"),IF(D1331="BUY",IF(K1331&gt;0,"YES","NO"),IF(D1331="SELL",IF(K1331&lt;0,"YES","NO"),""))))</f>
        <v/>
      </c>
    </row>
    <row r="1332" ht="15" customHeight="1">
      <c r="K1332" s="26">
        <f>IF(H1332="","",(H1332-G1332)/G1332)</f>
        <v/>
      </c>
      <c r="L1332" s="26">
        <f>IF(I1332="","",(I1332-G1332)/G1332)</f>
        <v/>
      </c>
      <c r="M1332" s="26">
        <f>IF(J1332="","",(J1332-G1332)/G1332)</f>
        <v/>
      </c>
      <c r="N1332" s="27">
        <f>IF(H1332="","",IF(D1332="HOLD",IF(ABS(K1332)&lt;0.03,"YES","NO"),IF(D1332="BUY",IF(K1332&gt;0,"YES","NO"),IF(D1332="SELL",IF(K1332&lt;0,"YES","NO"),""))))</f>
        <v/>
      </c>
    </row>
    <row r="1333" ht="15" customHeight="1">
      <c r="K1333" s="26">
        <f>IF(H1333="","",(H1333-G1333)/G1333)</f>
        <v/>
      </c>
      <c r="L1333" s="26">
        <f>IF(I1333="","",(I1333-G1333)/G1333)</f>
        <v/>
      </c>
      <c r="M1333" s="26">
        <f>IF(J1333="","",(J1333-G1333)/G1333)</f>
        <v/>
      </c>
      <c r="N1333" s="27">
        <f>IF(H1333="","",IF(D1333="HOLD",IF(ABS(K1333)&lt;0.03,"YES","NO"),IF(D1333="BUY",IF(K1333&gt;0,"YES","NO"),IF(D1333="SELL",IF(K1333&lt;0,"YES","NO"),""))))</f>
        <v/>
      </c>
    </row>
    <row r="1334" ht="15" customHeight="1">
      <c r="K1334" s="26">
        <f>IF(H1334="","",(H1334-G1334)/G1334)</f>
        <v/>
      </c>
      <c r="L1334" s="26">
        <f>IF(I1334="","",(I1334-G1334)/G1334)</f>
        <v/>
      </c>
      <c r="M1334" s="26">
        <f>IF(J1334="","",(J1334-G1334)/G1334)</f>
        <v/>
      </c>
      <c r="N1334" s="27">
        <f>IF(H1334="","",IF(D1334="HOLD",IF(ABS(K1334)&lt;0.03,"YES","NO"),IF(D1334="BUY",IF(K1334&gt;0,"YES","NO"),IF(D1334="SELL",IF(K1334&lt;0,"YES","NO"),""))))</f>
        <v/>
      </c>
    </row>
    <row r="1335" ht="15" customHeight="1">
      <c r="K1335" s="26">
        <f>IF(H1335="","",(H1335-G1335)/G1335)</f>
        <v/>
      </c>
      <c r="L1335" s="26">
        <f>IF(I1335="","",(I1335-G1335)/G1335)</f>
        <v/>
      </c>
      <c r="M1335" s="26">
        <f>IF(J1335="","",(J1335-G1335)/G1335)</f>
        <v/>
      </c>
      <c r="N1335" s="27">
        <f>IF(H1335="","",IF(D1335="HOLD",IF(ABS(K1335)&lt;0.03,"YES","NO"),IF(D1335="BUY",IF(K1335&gt;0,"YES","NO"),IF(D1335="SELL",IF(K1335&lt;0,"YES","NO"),""))))</f>
        <v/>
      </c>
    </row>
    <row r="1336" ht="15" customHeight="1">
      <c r="K1336" s="26">
        <f>IF(H1336="","",(H1336-G1336)/G1336)</f>
        <v/>
      </c>
      <c r="L1336" s="26">
        <f>IF(I1336="","",(I1336-G1336)/G1336)</f>
        <v/>
      </c>
      <c r="M1336" s="26">
        <f>IF(J1336="","",(J1336-G1336)/G1336)</f>
        <v/>
      </c>
      <c r="N1336" s="27">
        <f>IF(H1336="","",IF(D1336="HOLD",IF(ABS(K1336)&lt;0.03,"YES","NO"),IF(D1336="BUY",IF(K1336&gt;0,"YES","NO"),IF(D1336="SELL",IF(K1336&lt;0,"YES","NO"),""))))</f>
        <v/>
      </c>
    </row>
    <row r="1337" ht="15" customHeight="1">
      <c r="K1337" s="26">
        <f>IF(H1337="","",(H1337-G1337)/G1337)</f>
        <v/>
      </c>
      <c r="L1337" s="26">
        <f>IF(I1337="","",(I1337-G1337)/G1337)</f>
        <v/>
      </c>
      <c r="M1337" s="26">
        <f>IF(J1337="","",(J1337-G1337)/G1337)</f>
        <v/>
      </c>
      <c r="N1337" s="27">
        <f>IF(H1337="","",IF(D1337="HOLD",IF(ABS(K1337)&lt;0.03,"YES","NO"),IF(D1337="BUY",IF(K1337&gt;0,"YES","NO"),IF(D1337="SELL",IF(K1337&lt;0,"YES","NO"),""))))</f>
        <v/>
      </c>
    </row>
    <row r="1338" ht="15" customHeight="1">
      <c r="K1338" s="26">
        <f>IF(H1338="","",(H1338-G1338)/G1338)</f>
        <v/>
      </c>
      <c r="L1338" s="26">
        <f>IF(I1338="","",(I1338-G1338)/G1338)</f>
        <v/>
      </c>
      <c r="M1338" s="26">
        <f>IF(J1338="","",(J1338-G1338)/G1338)</f>
        <v/>
      </c>
      <c r="N1338" s="27">
        <f>IF(H1338="","",IF(D1338="HOLD",IF(ABS(K1338)&lt;0.03,"YES","NO"),IF(D1338="BUY",IF(K1338&gt;0,"YES","NO"),IF(D1338="SELL",IF(K1338&lt;0,"YES","NO"),""))))</f>
        <v/>
      </c>
    </row>
    <row r="1339" ht="15" customHeight="1">
      <c r="K1339" s="26">
        <f>IF(H1339="","",(H1339-G1339)/G1339)</f>
        <v/>
      </c>
      <c r="L1339" s="26">
        <f>IF(I1339="","",(I1339-G1339)/G1339)</f>
        <v/>
      </c>
      <c r="M1339" s="26">
        <f>IF(J1339="","",(J1339-G1339)/G1339)</f>
        <v/>
      </c>
      <c r="N1339" s="27">
        <f>IF(H1339="","",IF(D1339="HOLD",IF(ABS(K1339)&lt;0.03,"YES","NO"),IF(D1339="BUY",IF(K1339&gt;0,"YES","NO"),IF(D1339="SELL",IF(K1339&lt;0,"YES","NO"),""))))</f>
        <v/>
      </c>
    </row>
    <row r="1340" ht="15" customHeight="1">
      <c r="K1340" s="26">
        <f>IF(H1340="","",(H1340-G1340)/G1340)</f>
        <v/>
      </c>
      <c r="L1340" s="26">
        <f>IF(I1340="","",(I1340-G1340)/G1340)</f>
        <v/>
      </c>
      <c r="M1340" s="26">
        <f>IF(J1340="","",(J1340-G1340)/G1340)</f>
        <v/>
      </c>
      <c r="N1340" s="27">
        <f>IF(H1340="","",IF(D1340="HOLD",IF(ABS(K1340)&lt;0.03,"YES","NO"),IF(D1340="BUY",IF(K1340&gt;0,"YES","NO"),IF(D1340="SELL",IF(K1340&lt;0,"YES","NO"),""))))</f>
        <v/>
      </c>
    </row>
    <row r="1341" ht="15" customHeight="1">
      <c r="K1341" s="26">
        <f>IF(H1341="","",(H1341-G1341)/G1341)</f>
        <v/>
      </c>
      <c r="L1341" s="26">
        <f>IF(I1341="","",(I1341-G1341)/G1341)</f>
        <v/>
      </c>
      <c r="M1341" s="26">
        <f>IF(J1341="","",(J1341-G1341)/G1341)</f>
        <v/>
      </c>
      <c r="N1341" s="27">
        <f>IF(H1341="","",IF(D1341="HOLD",IF(ABS(K1341)&lt;0.03,"YES","NO"),IF(D1341="BUY",IF(K1341&gt;0,"YES","NO"),IF(D1341="SELL",IF(K1341&lt;0,"YES","NO"),""))))</f>
        <v/>
      </c>
    </row>
    <row r="1342" ht="15" customHeight="1">
      <c r="K1342" s="26">
        <f>IF(H1342="","",(H1342-G1342)/G1342)</f>
        <v/>
      </c>
      <c r="L1342" s="26">
        <f>IF(I1342="","",(I1342-G1342)/G1342)</f>
        <v/>
      </c>
      <c r="M1342" s="26">
        <f>IF(J1342="","",(J1342-G1342)/G1342)</f>
        <v/>
      </c>
      <c r="N1342" s="27">
        <f>IF(H1342="","",IF(D1342="HOLD",IF(ABS(K1342)&lt;0.03,"YES","NO"),IF(D1342="BUY",IF(K1342&gt;0,"YES","NO"),IF(D1342="SELL",IF(K1342&lt;0,"YES","NO"),""))))</f>
        <v/>
      </c>
    </row>
    <row r="1343" ht="15" customHeight="1">
      <c r="K1343" s="26">
        <f>IF(H1343="","",(H1343-G1343)/G1343)</f>
        <v/>
      </c>
      <c r="L1343" s="26">
        <f>IF(I1343="","",(I1343-G1343)/G1343)</f>
        <v/>
      </c>
      <c r="M1343" s="26">
        <f>IF(J1343="","",(J1343-G1343)/G1343)</f>
        <v/>
      </c>
      <c r="N1343" s="27">
        <f>IF(H1343="","",IF(D1343="HOLD",IF(ABS(K1343)&lt;0.03,"YES","NO"),IF(D1343="BUY",IF(K1343&gt;0,"YES","NO"),IF(D1343="SELL",IF(K1343&lt;0,"YES","NO"),""))))</f>
        <v/>
      </c>
    </row>
    <row r="1344" ht="15" customHeight="1">
      <c r="K1344" s="26">
        <f>IF(H1344="","",(H1344-G1344)/G1344)</f>
        <v/>
      </c>
      <c r="L1344" s="26">
        <f>IF(I1344="","",(I1344-G1344)/G1344)</f>
        <v/>
      </c>
      <c r="M1344" s="26">
        <f>IF(J1344="","",(J1344-G1344)/G1344)</f>
        <v/>
      </c>
      <c r="N1344" s="27">
        <f>IF(H1344="","",IF(D1344="HOLD",IF(ABS(K1344)&lt;0.03,"YES","NO"),IF(D1344="BUY",IF(K1344&gt;0,"YES","NO"),IF(D1344="SELL",IF(K1344&lt;0,"YES","NO"),""))))</f>
        <v/>
      </c>
    </row>
    <row r="1345" ht="15" customHeight="1">
      <c r="K1345" s="26">
        <f>IF(H1345="","",(H1345-G1345)/G1345)</f>
        <v/>
      </c>
      <c r="L1345" s="26">
        <f>IF(I1345="","",(I1345-G1345)/G1345)</f>
        <v/>
      </c>
      <c r="M1345" s="26">
        <f>IF(J1345="","",(J1345-G1345)/G1345)</f>
        <v/>
      </c>
      <c r="N1345" s="27">
        <f>IF(H1345="","",IF(D1345="HOLD",IF(ABS(K1345)&lt;0.03,"YES","NO"),IF(D1345="BUY",IF(K1345&gt;0,"YES","NO"),IF(D1345="SELL",IF(K1345&lt;0,"YES","NO"),""))))</f>
        <v/>
      </c>
    </row>
    <row r="1346" ht="15" customHeight="1">
      <c r="K1346" s="26">
        <f>IF(H1346="","",(H1346-G1346)/G1346)</f>
        <v/>
      </c>
      <c r="L1346" s="26">
        <f>IF(I1346="","",(I1346-G1346)/G1346)</f>
        <v/>
      </c>
      <c r="M1346" s="26">
        <f>IF(J1346="","",(J1346-G1346)/G1346)</f>
        <v/>
      </c>
      <c r="N1346" s="27">
        <f>IF(H1346="","",IF(D1346="HOLD",IF(ABS(K1346)&lt;0.03,"YES","NO"),IF(D1346="BUY",IF(K1346&gt;0,"YES","NO"),IF(D1346="SELL",IF(K1346&lt;0,"YES","NO"),""))))</f>
        <v/>
      </c>
    </row>
    <row r="1347" ht="15" customHeight="1">
      <c r="K1347" s="26">
        <f>IF(H1347="","",(H1347-G1347)/G1347)</f>
        <v/>
      </c>
      <c r="L1347" s="26">
        <f>IF(I1347="","",(I1347-G1347)/G1347)</f>
        <v/>
      </c>
      <c r="M1347" s="26">
        <f>IF(J1347="","",(J1347-G1347)/G1347)</f>
        <v/>
      </c>
      <c r="N1347" s="27">
        <f>IF(H1347="","",IF(D1347="HOLD",IF(ABS(K1347)&lt;0.03,"YES","NO"),IF(D1347="BUY",IF(K1347&gt;0,"YES","NO"),IF(D1347="SELL",IF(K1347&lt;0,"YES","NO"),""))))</f>
        <v/>
      </c>
    </row>
    <row r="1348" ht="15" customHeight="1">
      <c r="K1348" s="26">
        <f>IF(H1348="","",(H1348-G1348)/G1348)</f>
        <v/>
      </c>
      <c r="L1348" s="26">
        <f>IF(I1348="","",(I1348-G1348)/G1348)</f>
        <v/>
      </c>
      <c r="M1348" s="26">
        <f>IF(J1348="","",(J1348-G1348)/G1348)</f>
        <v/>
      </c>
      <c r="N1348" s="27">
        <f>IF(H1348="","",IF(D1348="HOLD",IF(ABS(K1348)&lt;0.03,"YES","NO"),IF(D1348="BUY",IF(K1348&gt;0,"YES","NO"),IF(D1348="SELL",IF(K1348&lt;0,"YES","NO"),""))))</f>
        <v/>
      </c>
    </row>
    <row r="1349" ht="15" customHeight="1">
      <c r="K1349" s="26">
        <f>IF(H1349="","",(H1349-G1349)/G1349)</f>
        <v/>
      </c>
      <c r="L1349" s="26">
        <f>IF(I1349="","",(I1349-G1349)/G1349)</f>
        <v/>
      </c>
      <c r="M1349" s="26">
        <f>IF(J1349="","",(J1349-G1349)/G1349)</f>
        <v/>
      </c>
      <c r="N1349" s="27">
        <f>IF(H1349="","",IF(D1349="HOLD",IF(ABS(K1349)&lt;0.03,"YES","NO"),IF(D1349="BUY",IF(K1349&gt;0,"YES","NO"),IF(D1349="SELL",IF(K1349&lt;0,"YES","NO"),""))))</f>
        <v/>
      </c>
    </row>
    <row r="1350" ht="15" customHeight="1">
      <c r="K1350" s="26">
        <f>IF(H1350="","",(H1350-G1350)/G1350)</f>
        <v/>
      </c>
      <c r="L1350" s="26">
        <f>IF(I1350="","",(I1350-G1350)/G1350)</f>
        <v/>
      </c>
      <c r="M1350" s="26">
        <f>IF(J1350="","",(J1350-G1350)/G1350)</f>
        <v/>
      </c>
      <c r="N1350" s="27">
        <f>IF(H1350="","",IF(D1350="HOLD",IF(ABS(K1350)&lt;0.03,"YES","NO"),IF(D1350="BUY",IF(K1350&gt;0,"YES","NO"),IF(D1350="SELL",IF(K1350&lt;0,"YES","NO"),""))))</f>
        <v/>
      </c>
    </row>
    <row r="1351" ht="15" customHeight="1">
      <c r="K1351" s="26">
        <f>IF(H1351="","",(H1351-G1351)/G1351)</f>
        <v/>
      </c>
      <c r="L1351" s="26">
        <f>IF(I1351="","",(I1351-G1351)/G1351)</f>
        <v/>
      </c>
      <c r="M1351" s="26">
        <f>IF(J1351="","",(J1351-G1351)/G1351)</f>
        <v/>
      </c>
      <c r="N1351" s="27">
        <f>IF(H1351="","",IF(D1351="HOLD",IF(ABS(K1351)&lt;0.03,"YES","NO"),IF(D1351="BUY",IF(K1351&gt;0,"YES","NO"),IF(D1351="SELL",IF(K1351&lt;0,"YES","NO"),""))))</f>
        <v/>
      </c>
    </row>
    <row r="1352" ht="15" customHeight="1">
      <c r="K1352" s="26">
        <f>IF(H1352="","",(H1352-G1352)/G1352)</f>
        <v/>
      </c>
      <c r="L1352" s="26">
        <f>IF(I1352="","",(I1352-G1352)/G1352)</f>
        <v/>
      </c>
      <c r="M1352" s="26">
        <f>IF(J1352="","",(J1352-G1352)/G1352)</f>
        <v/>
      </c>
      <c r="N1352" s="27">
        <f>IF(H1352="","",IF(D1352="HOLD",IF(ABS(K1352)&lt;0.03,"YES","NO"),IF(D1352="BUY",IF(K1352&gt;0,"YES","NO"),IF(D1352="SELL",IF(K1352&lt;0,"YES","NO"),""))))</f>
        <v/>
      </c>
    </row>
    <row r="1353" ht="15" customHeight="1">
      <c r="K1353" s="26">
        <f>IF(H1353="","",(H1353-G1353)/G1353)</f>
        <v/>
      </c>
      <c r="L1353" s="26">
        <f>IF(I1353="","",(I1353-G1353)/G1353)</f>
        <v/>
      </c>
      <c r="M1353" s="26">
        <f>IF(J1353="","",(J1353-G1353)/G1353)</f>
        <v/>
      </c>
      <c r="N1353" s="27">
        <f>IF(H1353="","",IF(D1353="HOLD",IF(ABS(K1353)&lt;0.03,"YES","NO"),IF(D1353="BUY",IF(K1353&gt;0,"YES","NO"),IF(D1353="SELL",IF(K1353&lt;0,"YES","NO"),""))))</f>
        <v/>
      </c>
    </row>
    <row r="1354" ht="15" customHeight="1">
      <c r="K1354" s="26">
        <f>IF(H1354="","",(H1354-G1354)/G1354)</f>
        <v/>
      </c>
      <c r="L1354" s="26">
        <f>IF(I1354="","",(I1354-G1354)/G1354)</f>
        <v/>
      </c>
      <c r="M1354" s="26">
        <f>IF(J1354="","",(J1354-G1354)/G1354)</f>
        <v/>
      </c>
      <c r="N1354" s="27">
        <f>IF(H1354="","",IF(D1354="HOLD",IF(ABS(K1354)&lt;0.03,"YES","NO"),IF(D1354="BUY",IF(K1354&gt;0,"YES","NO"),IF(D1354="SELL",IF(K1354&lt;0,"YES","NO"),""))))</f>
        <v/>
      </c>
    </row>
    <row r="1355" ht="15" customHeight="1">
      <c r="K1355" s="26">
        <f>IF(H1355="","",(H1355-G1355)/G1355)</f>
        <v/>
      </c>
      <c r="L1355" s="26">
        <f>IF(I1355="","",(I1355-G1355)/G1355)</f>
        <v/>
      </c>
      <c r="M1355" s="26">
        <f>IF(J1355="","",(J1355-G1355)/G1355)</f>
        <v/>
      </c>
      <c r="N1355" s="27">
        <f>IF(H1355="","",IF(D1355="HOLD",IF(ABS(K1355)&lt;0.03,"YES","NO"),IF(D1355="BUY",IF(K1355&gt;0,"YES","NO"),IF(D1355="SELL",IF(K1355&lt;0,"YES","NO"),""))))</f>
        <v/>
      </c>
    </row>
    <row r="1356" ht="15" customHeight="1">
      <c r="K1356" s="26">
        <f>IF(H1356="","",(H1356-G1356)/G1356)</f>
        <v/>
      </c>
      <c r="L1356" s="26">
        <f>IF(I1356="","",(I1356-G1356)/G1356)</f>
        <v/>
      </c>
      <c r="M1356" s="26">
        <f>IF(J1356="","",(J1356-G1356)/G1356)</f>
        <v/>
      </c>
      <c r="N1356" s="27">
        <f>IF(H1356="","",IF(D1356="HOLD",IF(ABS(K1356)&lt;0.03,"YES","NO"),IF(D1356="BUY",IF(K1356&gt;0,"YES","NO"),IF(D1356="SELL",IF(K1356&lt;0,"YES","NO"),""))))</f>
        <v/>
      </c>
    </row>
    <row r="1357" ht="15" customHeight="1">
      <c r="K1357" s="26">
        <f>IF(H1357="","",(H1357-G1357)/G1357)</f>
        <v/>
      </c>
      <c r="L1357" s="26">
        <f>IF(I1357="","",(I1357-G1357)/G1357)</f>
        <v/>
      </c>
      <c r="M1357" s="26">
        <f>IF(J1357="","",(J1357-G1357)/G1357)</f>
        <v/>
      </c>
      <c r="N1357" s="27">
        <f>IF(H1357="","",IF(D1357="HOLD",IF(ABS(K1357)&lt;0.03,"YES","NO"),IF(D1357="BUY",IF(K1357&gt;0,"YES","NO"),IF(D1357="SELL",IF(K1357&lt;0,"YES","NO"),""))))</f>
        <v/>
      </c>
    </row>
    <row r="1358" ht="15" customHeight="1">
      <c r="K1358" s="26">
        <f>IF(H1358="","",(H1358-G1358)/G1358)</f>
        <v/>
      </c>
      <c r="L1358" s="26">
        <f>IF(I1358="","",(I1358-G1358)/G1358)</f>
        <v/>
      </c>
      <c r="M1358" s="26">
        <f>IF(J1358="","",(J1358-G1358)/G1358)</f>
        <v/>
      </c>
      <c r="N1358" s="27">
        <f>IF(H1358="","",IF(D1358="HOLD",IF(ABS(K1358)&lt;0.03,"YES","NO"),IF(D1358="BUY",IF(K1358&gt;0,"YES","NO"),IF(D1358="SELL",IF(K1358&lt;0,"YES","NO"),""))))</f>
        <v/>
      </c>
    </row>
    <row r="1359" ht="15" customHeight="1">
      <c r="K1359" s="26">
        <f>IF(H1359="","",(H1359-G1359)/G1359)</f>
        <v/>
      </c>
      <c r="L1359" s="26">
        <f>IF(I1359="","",(I1359-G1359)/G1359)</f>
        <v/>
      </c>
      <c r="M1359" s="26">
        <f>IF(J1359="","",(J1359-G1359)/G1359)</f>
        <v/>
      </c>
      <c r="N1359" s="27">
        <f>IF(H1359="","",IF(D1359="HOLD",IF(ABS(K1359)&lt;0.03,"YES","NO"),IF(D1359="BUY",IF(K1359&gt;0,"YES","NO"),IF(D1359="SELL",IF(K1359&lt;0,"YES","NO"),""))))</f>
        <v/>
      </c>
    </row>
    <row r="1360" ht="15" customHeight="1">
      <c r="K1360" s="26">
        <f>IF(H1360="","",(H1360-G1360)/G1360)</f>
        <v/>
      </c>
      <c r="L1360" s="26">
        <f>IF(I1360="","",(I1360-G1360)/G1360)</f>
        <v/>
      </c>
      <c r="M1360" s="26">
        <f>IF(J1360="","",(J1360-G1360)/G1360)</f>
        <v/>
      </c>
      <c r="N1360" s="27">
        <f>IF(H1360="","",IF(D1360="HOLD",IF(ABS(K1360)&lt;0.03,"YES","NO"),IF(D1360="BUY",IF(K1360&gt;0,"YES","NO"),IF(D1360="SELL",IF(K1360&lt;0,"YES","NO"),""))))</f>
        <v/>
      </c>
    </row>
    <row r="1361" ht="15" customHeight="1">
      <c r="K1361" s="26">
        <f>IF(H1361="","",(H1361-G1361)/G1361)</f>
        <v/>
      </c>
      <c r="L1361" s="26">
        <f>IF(I1361="","",(I1361-G1361)/G1361)</f>
        <v/>
      </c>
      <c r="M1361" s="26">
        <f>IF(J1361="","",(J1361-G1361)/G1361)</f>
        <v/>
      </c>
      <c r="N1361" s="27">
        <f>IF(H1361="","",IF(D1361="HOLD",IF(ABS(K1361)&lt;0.03,"YES","NO"),IF(D1361="BUY",IF(K1361&gt;0,"YES","NO"),IF(D1361="SELL",IF(K1361&lt;0,"YES","NO"),""))))</f>
        <v/>
      </c>
    </row>
    <row r="1362" ht="15" customHeight="1">
      <c r="K1362" s="26">
        <f>IF(H1362="","",(H1362-G1362)/G1362)</f>
        <v/>
      </c>
      <c r="L1362" s="26">
        <f>IF(I1362="","",(I1362-G1362)/G1362)</f>
        <v/>
      </c>
      <c r="M1362" s="26">
        <f>IF(J1362="","",(J1362-G1362)/G1362)</f>
        <v/>
      </c>
      <c r="N1362" s="27">
        <f>IF(H1362="","",IF(D1362="HOLD",IF(ABS(K1362)&lt;0.03,"YES","NO"),IF(D1362="BUY",IF(K1362&gt;0,"YES","NO"),IF(D1362="SELL",IF(K1362&lt;0,"YES","NO"),""))))</f>
        <v/>
      </c>
    </row>
    <row r="1363" ht="15" customHeight="1">
      <c r="K1363" s="26">
        <f>IF(H1363="","",(H1363-G1363)/G1363)</f>
        <v/>
      </c>
      <c r="L1363" s="26">
        <f>IF(I1363="","",(I1363-G1363)/G1363)</f>
        <v/>
      </c>
      <c r="M1363" s="26">
        <f>IF(J1363="","",(J1363-G1363)/G1363)</f>
        <v/>
      </c>
      <c r="N1363" s="27">
        <f>IF(H1363="","",IF(D1363="HOLD",IF(ABS(K1363)&lt;0.03,"YES","NO"),IF(D1363="BUY",IF(K1363&gt;0,"YES","NO"),IF(D1363="SELL",IF(K1363&lt;0,"YES","NO"),""))))</f>
        <v/>
      </c>
    </row>
    <row r="1364" ht="15" customHeight="1">
      <c r="K1364" s="26">
        <f>IF(H1364="","",(H1364-G1364)/G1364)</f>
        <v/>
      </c>
      <c r="L1364" s="26">
        <f>IF(I1364="","",(I1364-G1364)/G1364)</f>
        <v/>
      </c>
      <c r="M1364" s="26">
        <f>IF(J1364="","",(J1364-G1364)/G1364)</f>
        <v/>
      </c>
      <c r="N1364" s="27">
        <f>IF(H1364="","",IF(D1364="HOLD",IF(ABS(K1364)&lt;0.03,"YES","NO"),IF(D1364="BUY",IF(K1364&gt;0,"YES","NO"),IF(D1364="SELL",IF(K1364&lt;0,"YES","NO"),""))))</f>
        <v/>
      </c>
    </row>
    <row r="1365" ht="15" customHeight="1">
      <c r="K1365" s="26">
        <f>IF(H1365="","",(H1365-G1365)/G1365)</f>
        <v/>
      </c>
      <c r="L1365" s="26">
        <f>IF(I1365="","",(I1365-G1365)/G1365)</f>
        <v/>
      </c>
      <c r="M1365" s="26">
        <f>IF(J1365="","",(J1365-G1365)/G1365)</f>
        <v/>
      </c>
      <c r="N1365" s="27">
        <f>IF(H1365="","",IF(D1365="HOLD",IF(ABS(K1365)&lt;0.03,"YES","NO"),IF(D1365="BUY",IF(K1365&gt;0,"YES","NO"),IF(D1365="SELL",IF(K1365&lt;0,"YES","NO"),""))))</f>
        <v/>
      </c>
    </row>
    <row r="1366" ht="15" customHeight="1">
      <c r="K1366" s="26">
        <f>IF(H1366="","",(H1366-G1366)/G1366)</f>
        <v/>
      </c>
      <c r="L1366" s="26">
        <f>IF(I1366="","",(I1366-G1366)/G1366)</f>
        <v/>
      </c>
      <c r="M1366" s="26">
        <f>IF(J1366="","",(J1366-G1366)/G1366)</f>
        <v/>
      </c>
      <c r="N1366" s="27">
        <f>IF(H1366="","",IF(D1366="HOLD",IF(ABS(K1366)&lt;0.03,"YES","NO"),IF(D1366="BUY",IF(K1366&gt;0,"YES","NO"),IF(D1366="SELL",IF(K1366&lt;0,"YES","NO"),""))))</f>
        <v/>
      </c>
    </row>
    <row r="1367" ht="15" customHeight="1">
      <c r="K1367" s="26">
        <f>IF(H1367="","",(H1367-G1367)/G1367)</f>
        <v/>
      </c>
      <c r="L1367" s="26">
        <f>IF(I1367="","",(I1367-G1367)/G1367)</f>
        <v/>
      </c>
      <c r="M1367" s="26">
        <f>IF(J1367="","",(J1367-G1367)/G1367)</f>
        <v/>
      </c>
      <c r="N1367" s="27">
        <f>IF(H1367="","",IF(D1367="HOLD",IF(ABS(K1367)&lt;0.03,"YES","NO"),IF(D1367="BUY",IF(K1367&gt;0,"YES","NO"),IF(D1367="SELL",IF(K1367&lt;0,"YES","NO"),""))))</f>
        <v/>
      </c>
    </row>
    <row r="1368" ht="15" customHeight="1">
      <c r="K1368" s="26">
        <f>IF(H1368="","",(H1368-G1368)/G1368)</f>
        <v/>
      </c>
      <c r="L1368" s="26">
        <f>IF(I1368="","",(I1368-G1368)/G1368)</f>
        <v/>
      </c>
      <c r="M1368" s="26">
        <f>IF(J1368="","",(J1368-G1368)/G1368)</f>
        <v/>
      </c>
      <c r="N1368" s="27">
        <f>IF(H1368="","",IF(D1368="HOLD",IF(ABS(K1368)&lt;0.03,"YES","NO"),IF(D1368="BUY",IF(K1368&gt;0,"YES","NO"),IF(D1368="SELL",IF(K1368&lt;0,"YES","NO"),""))))</f>
        <v/>
      </c>
    </row>
    <row r="1369" ht="15" customHeight="1">
      <c r="K1369" s="26">
        <f>IF(H1369="","",(H1369-G1369)/G1369)</f>
        <v/>
      </c>
      <c r="L1369" s="26">
        <f>IF(I1369="","",(I1369-G1369)/G1369)</f>
        <v/>
      </c>
      <c r="M1369" s="26">
        <f>IF(J1369="","",(J1369-G1369)/G1369)</f>
        <v/>
      </c>
      <c r="N1369" s="27">
        <f>IF(H1369="","",IF(D1369="HOLD",IF(ABS(K1369)&lt;0.03,"YES","NO"),IF(D1369="BUY",IF(K1369&gt;0,"YES","NO"),IF(D1369="SELL",IF(K1369&lt;0,"YES","NO"),""))))</f>
        <v/>
      </c>
    </row>
    <row r="1370" ht="15" customHeight="1">
      <c r="K1370" s="26">
        <f>IF(H1370="","",(H1370-G1370)/G1370)</f>
        <v/>
      </c>
      <c r="L1370" s="26">
        <f>IF(I1370="","",(I1370-G1370)/G1370)</f>
        <v/>
      </c>
      <c r="M1370" s="26">
        <f>IF(J1370="","",(J1370-G1370)/G1370)</f>
        <v/>
      </c>
      <c r="N1370" s="27">
        <f>IF(H1370="","",IF(D1370="HOLD",IF(ABS(K1370)&lt;0.03,"YES","NO"),IF(D1370="BUY",IF(K1370&gt;0,"YES","NO"),IF(D1370="SELL",IF(K1370&lt;0,"YES","NO"),""))))</f>
        <v/>
      </c>
    </row>
    <row r="1371" ht="15" customHeight="1">
      <c r="K1371" s="26">
        <f>IF(H1371="","",(H1371-G1371)/G1371)</f>
        <v/>
      </c>
      <c r="L1371" s="26">
        <f>IF(I1371="","",(I1371-G1371)/G1371)</f>
        <v/>
      </c>
      <c r="M1371" s="26">
        <f>IF(J1371="","",(J1371-G1371)/G1371)</f>
        <v/>
      </c>
      <c r="N1371" s="27">
        <f>IF(H1371="","",IF(D1371="HOLD",IF(ABS(K1371)&lt;0.03,"YES","NO"),IF(D1371="BUY",IF(K1371&gt;0,"YES","NO"),IF(D1371="SELL",IF(K1371&lt;0,"YES","NO"),""))))</f>
        <v/>
      </c>
    </row>
    <row r="1372" ht="15" customHeight="1">
      <c r="K1372" s="26">
        <f>IF(H1372="","",(H1372-G1372)/G1372)</f>
        <v/>
      </c>
      <c r="L1372" s="26">
        <f>IF(I1372="","",(I1372-G1372)/G1372)</f>
        <v/>
      </c>
      <c r="M1372" s="26">
        <f>IF(J1372="","",(J1372-G1372)/G1372)</f>
        <v/>
      </c>
      <c r="N1372" s="27">
        <f>IF(H1372="","",IF(D1372="HOLD",IF(ABS(K1372)&lt;0.03,"YES","NO"),IF(D1372="BUY",IF(K1372&gt;0,"YES","NO"),IF(D1372="SELL",IF(K1372&lt;0,"YES","NO"),""))))</f>
        <v/>
      </c>
    </row>
    <row r="1373" ht="15" customHeight="1">
      <c r="K1373" s="26">
        <f>IF(H1373="","",(H1373-G1373)/G1373)</f>
        <v/>
      </c>
      <c r="L1373" s="26">
        <f>IF(I1373="","",(I1373-G1373)/G1373)</f>
        <v/>
      </c>
      <c r="M1373" s="26">
        <f>IF(J1373="","",(J1373-G1373)/G1373)</f>
        <v/>
      </c>
      <c r="N1373" s="27">
        <f>IF(H1373="","",IF(D1373="HOLD",IF(ABS(K1373)&lt;0.03,"YES","NO"),IF(D1373="BUY",IF(K1373&gt;0,"YES","NO"),IF(D1373="SELL",IF(K1373&lt;0,"YES","NO"),""))))</f>
        <v/>
      </c>
    </row>
    <row r="1374" ht="15" customHeight="1">
      <c r="K1374" s="26">
        <f>IF(H1374="","",(H1374-G1374)/G1374)</f>
        <v/>
      </c>
      <c r="L1374" s="26">
        <f>IF(I1374="","",(I1374-G1374)/G1374)</f>
        <v/>
      </c>
      <c r="M1374" s="26">
        <f>IF(J1374="","",(J1374-G1374)/G1374)</f>
        <v/>
      </c>
      <c r="N1374" s="27">
        <f>IF(H1374="","",IF(D1374="HOLD",IF(ABS(K1374)&lt;0.03,"YES","NO"),IF(D1374="BUY",IF(K1374&gt;0,"YES","NO"),IF(D1374="SELL",IF(K1374&lt;0,"YES","NO"),""))))</f>
        <v/>
      </c>
    </row>
    <row r="1375" ht="15" customHeight="1">
      <c r="K1375" s="26">
        <f>IF(H1375="","",(H1375-G1375)/G1375)</f>
        <v/>
      </c>
      <c r="L1375" s="26">
        <f>IF(I1375="","",(I1375-G1375)/G1375)</f>
        <v/>
      </c>
      <c r="M1375" s="26">
        <f>IF(J1375="","",(J1375-G1375)/G1375)</f>
        <v/>
      </c>
      <c r="N1375" s="27">
        <f>IF(H1375="","",IF(D1375="HOLD",IF(ABS(K1375)&lt;0.03,"YES","NO"),IF(D1375="BUY",IF(K1375&gt;0,"YES","NO"),IF(D1375="SELL",IF(K1375&lt;0,"YES","NO"),""))))</f>
        <v/>
      </c>
    </row>
    <row r="1376" ht="15" customHeight="1">
      <c r="K1376" s="26">
        <f>IF(H1376="","",(H1376-G1376)/G1376)</f>
        <v/>
      </c>
      <c r="L1376" s="26">
        <f>IF(I1376="","",(I1376-G1376)/G1376)</f>
        <v/>
      </c>
      <c r="M1376" s="26">
        <f>IF(J1376="","",(J1376-G1376)/G1376)</f>
        <v/>
      </c>
      <c r="N1376" s="27">
        <f>IF(H1376="","",IF(D1376="HOLD",IF(ABS(K1376)&lt;0.03,"YES","NO"),IF(D1376="BUY",IF(K1376&gt;0,"YES","NO"),IF(D1376="SELL",IF(K1376&lt;0,"YES","NO"),""))))</f>
        <v/>
      </c>
    </row>
    <row r="1377" ht="15" customHeight="1">
      <c r="K1377" s="26">
        <f>IF(H1377="","",(H1377-G1377)/G1377)</f>
        <v/>
      </c>
      <c r="L1377" s="26">
        <f>IF(I1377="","",(I1377-G1377)/G1377)</f>
        <v/>
      </c>
      <c r="M1377" s="26">
        <f>IF(J1377="","",(J1377-G1377)/G1377)</f>
        <v/>
      </c>
      <c r="N1377" s="27">
        <f>IF(H1377="","",IF(D1377="HOLD",IF(ABS(K1377)&lt;0.03,"YES","NO"),IF(D1377="BUY",IF(K1377&gt;0,"YES","NO"),IF(D1377="SELL",IF(K1377&lt;0,"YES","NO"),""))))</f>
        <v/>
      </c>
    </row>
    <row r="1378" ht="15" customHeight="1">
      <c r="K1378" s="26">
        <f>IF(H1378="","",(H1378-G1378)/G1378)</f>
        <v/>
      </c>
      <c r="L1378" s="26">
        <f>IF(I1378="","",(I1378-G1378)/G1378)</f>
        <v/>
      </c>
      <c r="M1378" s="26">
        <f>IF(J1378="","",(J1378-G1378)/G1378)</f>
        <v/>
      </c>
      <c r="N1378" s="27">
        <f>IF(H1378="","",IF(D1378="HOLD",IF(ABS(K1378)&lt;0.03,"YES","NO"),IF(D1378="BUY",IF(K1378&gt;0,"YES","NO"),IF(D1378="SELL",IF(K1378&lt;0,"YES","NO"),""))))</f>
        <v/>
      </c>
    </row>
    <row r="1379" ht="15" customHeight="1">
      <c r="K1379" s="26">
        <f>IF(H1379="","",(H1379-G1379)/G1379)</f>
        <v/>
      </c>
      <c r="L1379" s="26">
        <f>IF(I1379="","",(I1379-G1379)/G1379)</f>
        <v/>
      </c>
      <c r="M1379" s="26">
        <f>IF(J1379="","",(J1379-G1379)/G1379)</f>
        <v/>
      </c>
      <c r="N1379" s="27">
        <f>IF(H1379="","",IF(D1379="HOLD",IF(ABS(K1379)&lt;0.03,"YES","NO"),IF(D1379="BUY",IF(K1379&gt;0,"YES","NO"),IF(D1379="SELL",IF(K1379&lt;0,"YES","NO"),""))))</f>
        <v/>
      </c>
    </row>
    <row r="1380" ht="15" customHeight="1">
      <c r="K1380" s="26">
        <f>IF(H1380="","",(H1380-G1380)/G1380)</f>
        <v/>
      </c>
      <c r="L1380" s="26">
        <f>IF(I1380="","",(I1380-G1380)/G1380)</f>
        <v/>
      </c>
      <c r="M1380" s="26">
        <f>IF(J1380="","",(J1380-G1380)/G1380)</f>
        <v/>
      </c>
      <c r="N1380" s="27">
        <f>IF(H1380="","",IF(D1380="HOLD",IF(ABS(K1380)&lt;0.03,"YES","NO"),IF(D1380="BUY",IF(K1380&gt;0,"YES","NO"),IF(D1380="SELL",IF(K1380&lt;0,"YES","NO"),""))))</f>
        <v/>
      </c>
    </row>
    <row r="1381" ht="15" customHeight="1">
      <c r="K1381" s="26">
        <f>IF(H1381="","",(H1381-G1381)/G1381)</f>
        <v/>
      </c>
      <c r="L1381" s="26">
        <f>IF(I1381="","",(I1381-G1381)/G1381)</f>
        <v/>
      </c>
      <c r="M1381" s="26">
        <f>IF(J1381="","",(J1381-G1381)/G1381)</f>
        <v/>
      </c>
      <c r="N1381" s="27">
        <f>IF(H1381="","",IF(D1381="HOLD",IF(ABS(K1381)&lt;0.03,"YES","NO"),IF(D1381="BUY",IF(K1381&gt;0,"YES","NO"),IF(D1381="SELL",IF(K1381&lt;0,"YES","NO"),""))))</f>
        <v/>
      </c>
    </row>
    <row r="1382" ht="15" customHeight="1">
      <c r="K1382" s="26">
        <f>IF(H1382="","",(H1382-G1382)/G1382)</f>
        <v/>
      </c>
      <c r="L1382" s="26">
        <f>IF(I1382="","",(I1382-G1382)/G1382)</f>
        <v/>
      </c>
      <c r="M1382" s="26">
        <f>IF(J1382="","",(J1382-G1382)/G1382)</f>
        <v/>
      </c>
      <c r="N1382" s="27">
        <f>IF(H1382="","",IF(D1382="HOLD",IF(ABS(K1382)&lt;0.03,"YES","NO"),IF(D1382="BUY",IF(K1382&gt;0,"YES","NO"),IF(D1382="SELL",IF(K1382&lt;0,"YES","NO"),""))))</f>
        <v/>
      </c>
    </row>
    <row r="1383" ht="15" customHeight="1">
      <c r="K1383" s="26">
        <f>IF(H1383="","",(H1383-G1383)/G1383)</f>
        <v/>
      </c>
      <c r="L1383" s="26">
        <f>IF(I1383="","",(I1383-G1383)/G1383)</f>
        <v/>
      </c>
      <c r="M1383" s="26">
        <f>IF(J1383="","",(J1383-G1383)/G1383)</f>
        <v/>
      </c>
      <c r="N1383" s="27">
        <f>IF(H1383="","",IF(D1383="HOLD",IF(ABS(K1383)&lt;0.03,"YES","NO"),IF(D1383="BUY",IF(K1383&gt;0,"YES","NO"),IF(D1383="SELL",IF(K1383&lt;0,"YES","NO"),""))))</f>
        <v/>
      </c>
    </row>
    <row r="1384" ht="15" customHeight="1">
      <c r="K1384" s="26">
        <f>IF(H1384="","",(H1384-G1384)/G1384)</f>
        <v/>
      </c>
      <c r="L1384" s="26">
        <f>IF(I1384="","",(I1384-G1384)/G1384)</f>
        <v/>
      </c>
      <c r="M1384" s="26">
        <f>IF(J1384="","",(J1384-G1384)/G1384)</f>
        <v/>
      </c>
      <c r="N1384" s="27">
        <f>IF(H1384="","",IF(D1384="HOLD",IF(ABS(K1384)&lt;0.03,"YES","NO"),IF(D1384="BUY",IF(K1384&gt;0,"YES","NO"),IF(D1384="SELL",IF(K1384&lt;0,"YES","NO"),""))))</f>
        <v/>
      </c>
    </row>
    <row r="1385" ht="15" customHeight="1">
      <c r="K1385" s="26">
        <f>IF(H1385="","",(H1385-G1385)/G1385)</f>
        <v/>
      </c>
      <c r="L1385" s="26">
        <f>IF(I1385="","",(I1385-G1385)/G1385)</f>
        <v/>
      </c>
      <c r="M1385" s="26">
        <f>IF(J1385="","",(J1385-G1385)/G1385)</f>
        <v/>
      </c>
      <c r="N1385" s="27">
        <f>IF(H1385="","",IF(D1385="HOLD",IF(ABS(K1385)&lt;0.03,"YES","NO"),IF(D1385="BUY",IF(K1385&gt;0,"YES","NO"),IF(D1385="SELL",IF(K1385&lt;0,"YES","NO"),""))))</f>
        <v/>
      </c>
    </row>
    <row r="1386" ht="15" customHeight="1">
      <c r="K1386" s="26">
        <f>IF(H1386="","",(H1386-G1386)/G1386)</f>
        <v/>
      </c>
      <c r="L1386" s="26">
        <f>IF(I1386="","",(I1386-G1386)/G1386)</f>
        <v/>
      </c>
      <c r="M1386" s="26">
        <f>IF(J1386="","",(J1386-G1386)/G1386)</f>
        <v/>
      </c>
      <c r="N1386" s="27">
        <f>IF(H1386="","",IF(D1386="HOLD",IF(ABS(K1386)&lt;0.03,"YES","NO"),IF(D1386="BUY",IF(K1386&gt;0,"YES","NO"),IF(D1386="SELL",IF(K1386&lt;0,"YES","NO"),""))))</f>
        <v/>
      </c>
    </row>
    <row r="1387" ht="15" customHeight="1">
      <c r="K1387" s="26">
        <f>IF(H1387="","",(H1387-G1387)/G1387)</f>
        <v/>
      </c>
      <c r="L1387" s="26">
        <f>IF(I1387="","",(I1387-G1387)/G1387)</f>
        <v/>
      </c>
      <c r="M1387" s="26">
        <f>IF(J1387="","",(J1387-G1387)/G1387)</f>
        <v/>
      </c>
      <c r="N1387" s="27">
        <f>IF(H1387="","",IF(D1387="HOLD",IF(ABS(K1387)&lt;0.03,"YES","NO"),IF(D1387="BUY",IF(K1387&gt;0,"YES","NO"),IF(D1387="SELL",IF(K1387&lt;0,"YES","NO"),""))))</f>
        <v/>
      </c>
    </row>
    <row r="1388" ht="15" customHeight="1">
      <c r="K1388" s="26">
        <f>IF(H1388="","",(H1388-G1388)/G1388)</f>
        <v/>
      </c>
      <c r="L1388" s="26">
        <f>IF(I1388="","",(I1388-G1388)/G1388)</f>
        <v/>
      </c>
      <c r="M1388" s="26">
        <f>IF(J1388="","",(J1388-G1388)/G1388)</f>
        <v/>
      </c>
      <c r="N1388" s="27">
        <f>IF(H1388="","",IF(D1388="HOLD",IF(ABS(K1388)&lt;0.03,"YES","NO"),IF(D1388="BUY",IF(K1388&gt;0,"YES","NO"),IF(D1388="SELL",IF(K1388&lt;0,"YES","NO"),""))))</f>
        <v/>
      </c>
    </row>
    <row r="1389" ht="15" customHeight="1">
      <c r="K1389" s="26">
        <f>IF(H1389="","",(H1389-G1389)/G1389)</f>
        <v/>
      </c>
      <c r="L1389" s="26">
        <f>IF(I1389="","",(I1389-G1389)/G1389)</f>
        <v/>
      </c>
      <c r="M1389" s="26">
        <f>IF(J1389="","",(J1389-G1389)/G1389)</f>
        <v/>
      </c>
      <c r="N1389" s="27">
        <f>IF(H1389="","",IF(D1389="HOLD",IF(ABS(K1389)&lt;0.03,"YES","NO"),IF(D1389="BUY",IF(K1389&gt;0,"YES","NO"),IF(D1389="SELL",IF(K1389&lt;0,"YES","NO"),""))))</f>
        <v/>
      </c>
    </row>
    <row r="1390" ht="15" customHeight="1">
      <c r="K1390" s="26">
        <f>IF(H1390="","",(H1390-G1390)/G1390)</f>
        <v/>
      </c>
      <c r="L1390" s="26">
        <f>IF(I1390="","",(I1390-G1390)/G1390)</f>
        <v/>
      </c>
      <c r="M1390" s="26">
        <f>IF(J1390="","",(J1390-G1390)/G1390)</f>
        <v/>
      </c>
      <c r="N1390" s="27">
        <f>IF(H1390="","",IF(D1390="HOLD",IF(ABS(K1390)&lt;0.03,"YES","NO"),IF(D1390="BUY",IF(K1390&gt;0,"YES","NO"),IF(D1390="SELL",IF(K1390&lt;0,"YES","NO"),""))))</f>
        <v/>
      </c>
    </row>
    <row r="1391" ht="15" customHeight="1">
      <c r="K1391" s="26">
        <f>IF(H1391="","",(H1391-G1391)/G1391)</f>
        <v/>
      </c>
      <c r="L1391" s="26">
        <f>IF(I1391="","",(I1391-G1391)/G1391)</f>
        <v/>
      </c>
      <c r="M1391" s="26">
        <f>IF(J1391="","",(J1391-G1391)/G1391)</f>
        <v/>
      </c>
      <c r="N1391" s="27">
        <f>IF(H1391="","",IF(D1391="HOLD",IF(ABS(K1391)&lt;0.03,"YES","NO"),IF(D1391="BUY",IF(K1391&gt;0,"YES","NO"),IF(D1391="SELL",IF(K1391&lt;0,"YES","NO"),""))))</f>
        <v/>
      </c>
    </row>
    <row r="1392" ht="15" customHeight="1">
      <c r="K1392" s="26">
        <f>IF(H1392="","",(H1392-G1392)/G1392)</f>
        <v/>
      </c>
      <c r="L1392" s="26">
        <f>IF(I1392="","",(I1392-G1392)/G1392)</f>
        <v/>
      </c>
      <c r="M1392" s="26">
        <f>IF(J1392="","",(J1392-G1392)/G1392)</f>
        <v/>
      </c>
      <c r="N1392" s="27">
        <f>IF(H1392="","",IF(D1392="HOLD",IF(ABS(K1392)&lt;0.03,"YES","NO"),IF(D1392="BUY",IF(K1392&gt;0,"YES","NO"),IF(D1392="SELL",IF(K1392&lt;0,"YES","NO"),""))))</f>
        <v/>
      </c>
    </row>
    <row r="1393" ht="15" customHeight="1">
      <c r="K1393" s="26">
        <f>IF(H1393="","",(H1393-G1393)/G1393)</f>
        <v/>
      </c>
      <c r="L1393" s="26">
        <f>IF(I1393="","",(I1393-G1393)/G1393)</f>
        <v/>
      </c>
      <c r="M1393" s="26">
        <f>IF(J1393="","",(J1393-G1393)/G1393)</f>
        <v/>
      </c>
      <c r="N1393" s="27">
        <f>IF(H1393="","",IF(D1393="HOLD",IF(ABS(K1393)&lt;0.03,"YES","NO"),IF(D1393="BUY",IF(K1393&gt;0,"YES","NO"),IF(D1393="SELL",IF(K1393&lt;0,"YES","NO"),""))))</f>
        <v/>
      </c>
    </row>
    <row r="1394" ht="15" customHeight="1">
      <c r="K1394" s="26">
        <f>IF(H1394="","",(H1394-G1394)/G1394)</f>
        <v/>
      </c>
      <c r="L1394" s="26">
        <f>IF(I1394="","",(I1394-G1394)/G1394)</f>
        <v/>
      </c>
      <c r="M1394" s="26">
        <f>IF(J1394="","",(J1394-G1394)/G1394)</f>
        <v/>
      </c>
      <c r="N1394" s="27">
        <f>IF(H1394="","",IF(D1394="HOLD",IF(ABS(K1394)&lt;0.03,"YES","NO"),IF(D1394="BUY",IF(K1394&gt;0,"YES","NO"),IF(D1394="SELL",IF(K1394&lt;0,"YES","NO"),""))))</f>
        <v/>
      </c>
    </row>
    <row r="1395" ht="15" customHeight="1">
      <c r="K1395" s="26">
        <f>IF(H1395="","",(H1395-G1395)/G1395)</f>
        <v/>
      </c>
      <c r="L1395" s="26">
        <f>IF(I1395="","",(I1395-G1395)/G1395)</f>
        <v/>
      </c>
      <c r="M1395" s="26">
        <f>IF(J1395="","",(J1395-G1395)/G1395)</f>
        <v/>
      </c>
      <c r="N1395" s="27">
        <f>IF(H1395="","",IF(D1395="HOLD",IF(ABS(K1395)&lt;0.03,"YES","NO"),IF(D1395="BUY",IF(K1395&gt;0,"YES","NO"),IF(D1395="SELL",IF(K1395&lt;0,"YES","NO"),""))))</f>
        <v/>
      </c>
    </row>
    <row r="1396" ht="15" customHeight="1">
      <c r="K1396" s="26">
        <f>IF(H1396="","",(H1396-G1396)/G1396)</f>
        <v/>
      </c>
      <c r="L1396" s="26">
        <f>IF(I1396="","",(I1396-G1396)/G1396)</f>
        <v/>
      </c>
      <c r="M1396" s="26">
        <f>IF(J1396="","",(J1396-G1396)/G1396)</f>
        <v/>
      </c>
      <c r="N1396" s="27">
        <f>IF(H1396="","",IF(D1396="HOLD",IF(ABS(K1396)&lt;0.03,"YES","NO"),IF(D1396="BUY",IF(K1396&gt;0,"YES","NO"),IF(D1396="SELL",IF(K1396&lt;0,"YES","NO"),""))))</f>
        <v/>
      </c>
    </row>
    <row r="1397" ht="15" customHeight="1">
      <c r="K1397" s="26">
        <f>IF(H1397="","",(H1397-G1397)/G1397)</f>
        <v/>
      </c>
      <c r="L1397" s="26">
        <f>IF(I1397="","",(I1397-G1397)/G1397)</f>
        <v/>
      </c>
      <c r="M1397" s="26">
        <f>IF(J1397="","",(J1397-G1397)/G1397)</f>
        <v/>
      </c>
      <c r="N1397" s="27">
        <f>IF(H1397="","",IF(D1397="HOLD",IF(ABS(K1397)&lt;0.03,"YES","NO"),IF(D1397="BUY",IF(K1397&gt;0,"YES","NO"),IF(D1397="SELL",IF(K1397&lt;0,"YES","NO"),""))))</f>
        <v/>
      </c>
    </row>
    <row r="1398" ht="15" customHeight="1">
      <c r="K1398" s="26">
        <f>IF(H1398="","",(H1398-G1398)/G1398)</f>
        <v/>
      </c>
      <c r="L1398" s="26">
        <f>IF(I1398="","",(I1398-G1398)/G1398)</f>
        <v/>
      </c>
      <c r="M1398" s="26">
        <f>IF(J1398="","",(J1398-G1398)/G1398)</f>
        <v/>
      </c>
      <c r="N1398" s="27">
        <f>IF(H1398="","",IF(D1398="HOLD",IF(ABS(K1398)&lt;0.03,"YES","NO"),IF(D1398="BUY",IF(K1398&gt;0,"YES","NO"),IF(D1398="SELL",IF(K1398&lt;0,"YES","NO"),""))))</f>
        <v/>
      </c>
    </row>
    <row r="1399" ht="15" customHeight="1">
      <c r="K1399" s="26">
        <f>IF(H1399="","",(H1399-G1399)/G1399)</f>
        <v/>
      </c>
      <c r="L1399" s="26">
        <f>IF(I1399="","",(I1399-G1399)/G1399)</f>
        <v/>
      </c>
      <c r="M1399" s="26">
        <f>IF(J1399="","",(J1399-G1399)/G1399)</f>
        <v/>
      </c>
      <c r="N1399" s="27">
        <f>IF(H1399="","",IF(D1399="HOLD",IF(ABS(K1399)&lt;0.03,"YES","NO"),IF(D1399="BUY",IF(K1399&gt;0,"YES","NO"),IF(D1399="SELL",IF(K1399&lt;0,"YES","NO"),""))))</f>
        <v/>
      </c>
    </row>
    <row r="1400" ht="15" customHeight="1">
      <c r="K1400" s="26">
        <f>IF(H1400="","",(H1400-G1400)/G1400)</f>
        <v/>
      </c>
      <c r="L1400" s="26">
        <f>IF(I1400="","",(I1400-G1400)/G1400)</f>
        <v/>
      </c>
      <c r="M1400" s="26">
        <f>IF(J1400="","",(J1400-G1400)/G1400)</f>
        <v/>
      </c>
      <c r="N1400" s="27">
        <f>IF(H1400="","",IF(D1400="HOLD",IF(ABS(K1400)&lt;0.03,"YES","NO"),IF(D1400="BUY",IF(K1400&gt;0,"YES","NO"),IF(D1400="SELL",IF(K1400&lt;0,"YES","NO"),""))))</f>
        <v/>
      </c>
    </row>
    <row r="1401" ht="15" customHeight="1">
      <c r="K1401" s="26">
        <f>IF(H1401="","",(H1401-G1401)/G1401)</f>
        <v/>
      </c>
      <c r="L1401" s="26">
        <f>IF(I1401="","",(I1401-G1401)/G1401)</f>
        <v/>
      </c>
      <c r="M1401" s="26">
        <f>IF(J1401="","",(J1401-G1401)/G1401)</f>
        <v/>
      </c>
      <c r="N1401" s="27">
        <f>IF(H1401="","",IF(D1401="HOLD",IF(ABS(K1401)&lt;0.03,"YES","NO"),IF(D1401="BUY",IF(K1401&gt;0,"YES","NO"),IF(D1401="SELL",IF(K1401&lt;0,"YES","NO"),""))))</f>
        <v/>
      </c>
    </row>
    <row r="1402" ht="15" customHeight="1">
      <c r="K1402" s="26">
        <f>IF(H1402="","",(H1402-G1402)/G1402)</f>
        <v/>
      </c>
      <c r="L1402" s="26">
        <f>IF(I1402="","",(I1402-G1402)/G1402)</f>
        <v/>
      </c>
      <c r="M1402" s="26">
        <f>IF(J1402="","",(J1402-G1402)/G1402)</f>
        <v/>
      </c>
      <c r="N1402" s="27">
        <f>IF(H1402="","",IF(D1402="HOLD",IF(ABS(K1402)&lt;0.03,"YES","NO"),IF(D1402="BUY",IF(K1402&gt;0,"YES","NO"),IF(D1402="SELL",IF(K1402&lt;0,"YES","NO"),""))))</f>
        <v/>
      </c>
    </row>
    <row r="1403" ht="15" customHeight="1">
      <c r="K1403" s="26">
        <f>IF(H1403="","",(H1403-G1403)/G1403)</f>
        <v/>
      </c>
      <c r="L1403" s="26">
        <f>IF(I1403="","",(I1403-G1403)/G1403)</f>
        <v/>
      </c>
      <c r="M1403" s="26">
        <f>IF(J1403="","",(J1403-G1403)/G1403)</f>
        <v/>
      </c>
      <c r="N1403" s="27">
        <f>IF(H1403="","",IF(D1403="HOLD",IF(ABS(K1403)&lt;0.03,"YES","NO"),IF(D1403="BUY",IF(K1403&gt;0,"YES","NO"),IF(D1403="SELL",IF(K1403&lt;0,"YES","NO"),""))))</f>
        <v/>
      </c>
    </row>
    <row r="1404" ht="15" customHeight="1">
      <c r="K1404" s="26">
        <f>IF(H1404="","",(H1404-G1404)/G1404)</f>
        <v/>
      </c>
      <c r="L1404" s="26">
        <f>IF(I1404="","",(I1404-G1404)/G1404)</f>
        <v/>
      </c>
      <c r="M1404" s="26">
        <f>IF(J1404="","",(J1404-G1404)/G1404)</f>
        <v/>
      </c>
      <c r="N1404" s="27">
        <f>IF(H1404="","",IF(D1404="HOLD",IF(ABS(K1404)&lt;0.03,"YES","NO"),IF(D1404="BUY",IF(K1404&gt;0,"YES","NO"),IF(D1404="SELL",IF(K1404&lt;0,"YES","NO"),""))))</f>
        <v/>
      </c>
    </row>
    <row r="1405" ht="15" customHeight="1">
      <c r="K1405" s="26">
        <f>IF(H1405="","",(H1405-G1405)/G1405)</f>
        <v/>
      </c>
      <c r="L1405" s="26">
        <f>IF(I1405="","",(I1405-G1405)/G1405)</f>
        <v/>
      </c>
      <c r="M1405" s="26">
        <f>IF(J1405="","",(J1405-G1405)/G1405)</f>
        <v/>
      </c>
      <c r="N1405" s="27">
        <f>IF(H1405="","",IF(D1405="HOLD",IF(ABS(K1405)&lt;0.03,"YES","NO"),IF(D1405="BUY",IF(K1405&gt;0,"YES","NO"),IF(D1405="SELL",IF(K1405&lt;0,"YES","NO"),""))))</f>
        <v/>
      </c>
    </row>
    <row r="1406" ht="15" customHeight="1">
      <c r="K1406" s="26">
        <f>IF(H1406="","",(H1406-G1406)/G1406)</f>
        <v/>
      </c>
      <c r="L1406" s="26">
        <f>IF(I1406="","",(I1406-G1406)/G1406)</f>
        <v/>
      </c>
      <c r="M1406" s="26">
        <f>IF(J1406="","",(J1406-G1406)/G1406)</f>
        <v/>
      </c>
      <c r="N1406" s="27">
        <f>IF(H1406="","",IF(D1406="HOLD",IF(ABS(K1406)&lt;0.03,"YES","NO"),IF(D1406="BUY",IF(K1406&gt;0,"YES","NO"),IF(D1406="SELL",IF(K1406&lt;0,"YES","NO"),""))))</f>
        <v/>
      </c>
    </row>
    <row r="1407" ht="15" customHeight="1">
      <c r="K1407" s="26">
        <f>IF(H1407="","",(H1407-G1407)/G1407)</f>
        <v/>
      </c>
      <c r="L1407" s="26">
        <f>IF(I1407="","",(I1407-G1407)/G1407)</f>
        <v/>
      </c>
      <c r="M1407" s="26">
        <f>IF(J1407="","",(J1407-G1407)/G1407)</f>
        <v/>
      </c>
      <c r="N1407" s="27">
        <f>IF(H1407="","",IF(D1407="HOLD",IF(ABS(K1407)&lt;0.03,"YES","NO"),IF(D1407="BUY",IF(K1407&gt;0,"YES","NO"),IF(D1407="SELL",IF(K1407&lt;0,"YES","NO"),""))))</f>
        <v/>
      </c>
    </row>
    <row r="1408" ht="15" customHeight="1">
      <c r="K1408" s="26">
        <f>IF(H1408="","",(H1408-G1408)/G1408)</f>
        <v/>
      </c>
      <c r="L1408" s="26">
        <f>IF(I1408="","",(I1408-G1408)/G1408)</f>
        <v/>
      </c>
      <c r="M1408" s="26">
        <f>IF(J1408="","",(J1408-G1408)/G1408)</f>
        <v/>
      </c>
      <c r="N1408" s="27">
        <f>IF(H1408="","",IF(D1408="HOLD",IF(ABS(K1408)&lt;0.03,"YES","NO"),IF(D1408="BUY",IF(K1408&gt;0,"YES","NO"),IF(D1408="SELL",IF(K1408&lt;0,"YES","NO"),""))))</f>
        <v/>
      </c>
    </row>
    <row r="1409" ht="15" customHeight="1">
      <c r="K1409" s="26">
        <f>IF(H1409="","",(H1409-G1409)/G1409)</f>
        <v/>
      </c>
      <c r="L1409" s="26">
        <f>IF(I1409="","",(I1409-G1409)/G1409)</f>
        <v/>
      </c>
      <c r="M1409" s="26">
        <f>IF(J1409="","",(J1409-G1409)/G1409)</f>
        <v/>
      </c>
      <c r="N1409" s="27">
        <f>IF(H1409="","",IF(D1409="HOLD",IF(ABS(K1409)&lt;0.03,"YES","NO"),IF(D1409="BUY",IF(K1409&gt;0,"YES","NO"),IF(D1409="SELL",IF(K1409&lt;0,"YES","NO"),""))))</f>
        <v/>
      </c>
    </row>
    <row r="1410" ht="15" customHeight="1">
      <c r="K1410" s="26">
        <f>IF(H1410="","",(H1410-G1410)/G1410)</f>
        <v/>
      </c>
      <c r="L1410" s="26">
        <f>IF(I1410="","",(I1410-G1410)/G1410)</f>
        <v/>
      </c>
      <c r="M1410" s="26">
        <f>IF(J1410="","",(J1410-G1410)/G1410)</f>
        <v/>
      </c>
      <c r="N1410" s="27">
        <f>IF(H1410="","",IF(D1410="HOLD",IF(ABS(K1410)&lt;0.03,"YES","NO"),IF(D1410="BUY",IF(K1410&gt;0,"YES","NO"),IF(D1410="SELL",IF(K1410&lt;0,"YES","NO"),""))))</f>
        <v/>
      </c>
    </row>
    <row r="1411" ht="15" customHeight="1">
      <c r="K1411" s="26">
        <f>IF(H1411="","",(H1411-G1411)/G1411)</f>
        <v/>
      </c>
      <c r="L1411" s="26">
        <f>IF(I1411="","",(I1411-G1411)/G1411)</f>
        <v/>
      </c>
      <c r="M1411" s="26">
        <f>IF(J1411="","",(J1411-G1411)/G1411)</f>
        <v/>
      </c>
      <c r="N1411" s="27">
        <f>IF(H1411="","",IF(D1411="HOLD",IF(ABS(K1411)&lt;0.03,"YES","NO"),IF(D1411="BUY",IF(K1411&gt;0,"YES","NO"),IF(D1411="SELL",IF(K1411&lt;0,"YES","NO"),""))))</f>
        <v/>
      </c>
    </row>
    <row r="1412" ht="15" customHeight="1">
      <c r="K1412" s="26">
        <f>IF(H1412="","",(H1412-G1412)/G1412)</f>
        <v/>
      </c>
      <c r="L1412" s="26">
        <f>IF(I1412="","",(I1412-G1412)/G1412)</f>
        <v/>
      </c>
      <c r="M1412" s="26">
        <f>IF(J1412="","",(J1412-G1412)/G1412)</f>
        <v/>
      </c>
      <c r="N1412" s="27">
        <f>IF(H1412="","",IF(D1412="HOLD",IF(ABS(K1412)&lt;0.03,"YES","NO"),IF(D1412="BUY",IF(K1412&gt;0,"YES","NO"),IF(D1412="SELL",IF(K1412&lt;0,"YES","NO"),""))))</f>
        <v/>
      </c>
    </row>
    <row r="1413" ht="15" customHeight="1">
      <c r="K1413" s="26">
        <f>IF(H1413="","",(H1413-G1413)/G1413)</f>
        <v/>
      </c>
      <c r="L1413" s="26">
        <f>IF(I1413="","",(I1413-G1413)/G1413)</f>
        <v/>
      </c>
      <c r="M1413" s="26">
        <f>IF(J1413="","",(J1413-G1413)/G1413)</f>
        <v/>
      </c>
      <c r="N1413" s="27">
        <f>IF(H1413="","",IF(D1413="HOLD",IF(ABS(K1413)&lt;0.03,"YES","NO"),IF(D1413="BUY",IF(K1413&gt;0,"YES","NO"),IF(D1413="SELL",IF(K1413&lt;0,"YES","NO"),""))))</f>
        <v/>
      </c>
    </row>
    <row r="1414" ht="15" customHeight="1">
      <c r="K1414" s="26">
        <f>IF(H1414="","",(H1414-G1414)/G1414)</f>
        <v/>
      </c>
      <c r="L1414" s="26">
        <f>IF(I1414="","",(I1414-G1414)/G1414)</f>
        <v/>
      </c>
      <c r="M1414" s="26">
        <f>IF(J1414="","",(J1414-G1414)/G1414)</f>
        <v/>
      </c>
      <c r="N1414" s="27">
        <f>IF(H1414="","",IF(D1414="HOLD",IF(ABS(K1414)&lt;0.03,"YES","NO"),IF(D1414="BUY",IF(K1414&gt;0,"YES","NO"),IF(D1414="SELL",IF(K1414&lt;0,"YES","NO"),""))))</f>
        <v/>
      </c>
    </row>
    <row r="1415" ht="15" customHeight="1">
      <c r="K1415" s="26">
        <f>IF(H1415="","",(H1415-G1415)/G1415)</f>
        <v/>
      </c>
      <c r="L1415" s="26">
        <f>IF(I1415="","",(I1415-G1415)/G1415)</f>
        <v/>
      </c>
      <c r="M1415" s="26">
        <f>IF(J1415="","",(J1415-G1415)/G1415)</f>
        <v/>
      </c>
      <c r="N1415" s="27">
        <f>IF(H1415="","",IF(D1415="HOLD",IF(ABS(K1415)&lt;0.03,"YES","NO"),IF(D1415="BUY",IF(K1415&gt;0,"YES","NO"),IF(D1415="SELL",IF(K1415&lt;0,"YES","NO"),""))))</f>
        <v/>
      </c>
    </row>
    <row r="1416" ht="15" customHeight="1">
      <c r="K1416" s="26">
        <f>IF(H1416="","",(H1416-G1416)/G1416)</f>
        <v/>
      </c>
      <c r="L1416" s="26">
        <f>IF(I1416="","",(I1416-G1416)/G1416)</f>
        <v/>
      </c>
      <c r="M1416" s="26">
        <f>IF(J1416="","",(J1416-G1416)/G1416)</f>
        <v/>
      </c>
      <c r="N1416" s="27">
        <f>IF(H1416="","",IF(D1416="HOLD",IF(ABS(K1416)&lt;0.03,"YES","NO"),IF(D1416="BUY",IF(K1416&gt;0,"YES","NO"),IF(D1416="SELL",IF(K1416&lt;0,"YES","NO"),""))))</f>
        <v/>
      </c>
    </row>
    <row r="1417" ht="15" customHeight="1">
      <c r="K1417" s="26">
        <f>IF(H1417="","",(H1417-G1417)/G1417)</f>
        <v/>
      </c>
      <c r="L1417" s="26">
        <f>IF(I1417="","",(I1417-G1417)/G1417)</f>
        <v/>
      </c>
      <c r="M1417" s="26">
        <f>IF(J1417="","",(J1417-G1417)/G1417)</f>
        <v/>
      </c>
      <c r="N1417" s="27">
        <f>IF(H1417="","",IF(D1417="HOLD",IF(ABS(K1417)&lt;0.03,"YES","NO"),IF(D1417="BUY",IF(K1417&gt;0,"YES","NO"),IF(D1417="SELL",IF(K1417&lt;0,"YES","NO"),""))))</f>
        <v/>
      </c>
    </row>
    <row r="1418" ht="15" customHeight="1">
      <c r="K1418" s="26">
        <f>IF(H1418="","",(H1418-G1418)/G1418)</f>
        <v/>
      </c>
      <c r="L1418" s="26">
        <f>IF(I1418="","",(I1418-G1418)/G1418)</f>
        <v/>
      </c>
      <c r="M1418" s="26">
        <f>IF(J1418="","",(J1418-G1418)/G1418)</f>
        <v/>
      </c>
      <c r="N1418" s="27">
        <f>IF(H1418="","",IF(D1418="HOLD",IF(ABS(K1418)&lt;0.03,"YES","NO"),IF(D1418="BUY",IF(K1418&gt;0,"YES","NO"),IF(D1418="SELL",IF(K1418&lt;0,"YES","NO"),""))))</f>
        <v/>
      </c>
    </row>
    <row r="1419" ht="15" customHeight="1">
      <c r="K1419" s="26">
        <f>IF(H1419="","",(H1419-G1419)/G1419)</f>
        <v/>
      </c>
      <c r="L1419" s="26">
        <f>IF(I1419="","",(I1419-G1419)/G1419)</f>
        <v/>
      </c>
      <c r="M1419" s="26">
        <f>IF(J1419="","",(J1419-G1419)/G1419)</f>
        <v/>
      </c>
      <c r="N1419" s="27">
        <f>IF(H1419="","",IF(D1419="HOLD",IF(ABS(K1419)&lt;0.03,"YES","NO"),IF(D1419="BUY",IF(K1419&gt;0,"YES","NO"),IF(D1419="SELL",IF(K1419&lt;0,"YES","NO"),""))))</f>
        <v/>
      </c>
    </row>
    <row r="1420" ht="15" customHeight="1">
      <c r="K1420" s="26">
        <f>IF(H1420="","",(H1420-G1420)/G1420)</f>
        <v/>
      </c>
      <c r="L1420" s="26">
        <f>IF(I1420="","",(I1420-G1420)/G1420)</f>
        <v/>
      </c>
      <c r="M1420" s="26">
        <f>IF(J1420="","",(J1420-G1420)/G1420)</f>
        <v/>
      </c>
      <c r="N1420" s="27">
        <f>IF(H1420="","",IF(D1420="HOLD",IF(ABS(K1420)&lt;0.03,"YES","NO"),IF(D1420="BUY",IF(K1420&gt;0,"YES","NO"),IF(D1420="SELL",IF(K1420&lt;0,"YES","NO"),""))))</f>
        <v/>
      </c>
    </row>
    <row r="1421" ht="15" customHeight="1">
      <c r="K1421" s="26">
        <f>IF(H1421="","",(H1421-G1421)/G1421)</f>
        <v/>
      </c>
      <c r="L1421" s="26">
        <f>IF(I1421="","",(I1421-G1421)/G1421)</f>
        <v/>
      </c>
      <c r="M1421" s="26">
        <f>IF(J1421="","",(J1421-G1421)/G1421)</f>
        <v/>
      </c>
      <c r="N1421" s="27">
        <f>IF(H1421="","",IF(D1421="HOLD",IF(ABS(K1421)&lt;0.03,"YES","NO"),IF(D1421="BUY",IF(K1421&gt;0,"YES","NO"),IF(D1421="SELL",IF(K1421&lt;0,"YES","NO"),""))))</f>
        <v/>
      </c>
    </row>
    <row r="1422" ht="15" customHeight="1">
      <c r="K1422" s="26">
        <f>IF(H1422="","",(H1422-G1422)/G1422)</f>
        <v/>
      </c>
      <c r="L1422" s="26">
        <f>IF(I1422="","",(I1422-G1422)/G1422)</f>
        <v/>
      </c>
      <c r="M1422" s="26">
        <f>IF(J1422="","",(J1422-G1422)/G1422)</f>
        <v/>
      </c>
      <c r="N1422" s="27">
        <f>IF(H1422="","",IF(D1422="HOLD",IF(ABS(K1422)&lt;0.03,"YES","NO"),IF(D1422="BUY",IF(K1422&gt;0,"YES","NO"),IF(D1422="SELL",IF(K1422&lt;0,"YES","NO"),""))))</f>
        <v/>
      </c>
    </row>
    <row r="1423" ht="15" customHeight="1">
      <c r="K1423" s="26">
        <f>IF(H1423="","",(H1423-G1423)/G1423)</f>
        <v/>
      </c>
      <c r="L1423" s="26">
        <f>IF(I1423="","",(I1423-G1423)/G1423)</f>
        <v/>
      </c>
      <c r="M1423" s="26">
        <f>IF(J1423="","",(J1423-G1423)/G1423)</f>
        <v/>
      </c>
      <c r="N1423" s="27">
        <f>IF(H1423="","",IF(D1423="HOLD",IF(ABS(K1423)&lt;0.03,"YES","NO"),IF(D1423="BUY",IF(K1423&gt;0,"YES","NO"),IF(D1423="SELL",IF(K1423&lt;0,"YES","NO"),""))))</f>
        <v/>
      </c>
    </row>
    <row r="1424" ht="15" customHeight="1">
      <c r="K1424" s="26">
        <f>IF(H1424="","",(H1424-G1424)/G1424)</f>
        <v/>
      </c>
      <c r="L1424" s="26">
        <f>IF(I1424="","",(I1424-G1424)/G1424)</f>
        <v/>
      </c>
      <c r="M1424" s="26">
        <f>IF(J1424="","",(J1424-G1424)/G1424)</f>
        <v/>
      </c>
      <c r="N1424" s="27">
        <f>IF(H1424="","",IF(D1424="HOLD",IF(ABS(K1424)&lt;0.03,"YES","NO"),IF(D1424="BUY",IF(K1424&gt;0,"YES","NO"),IF(D1424="SELL",IF(K1424&lt;0,"YES","NO"),""))))</f>
        <v/>
      </c>
    </row>
    <row r="1425" ht="15" customHeight="1">
      <c r="K1425" s="26">
        <f>IF(H1425="","",(H1425-G1425)/G1425)</f>
        <v/>
      </c>
      <c r="L1425" s="26">
        <f>IF(I1425="","",(I1425-G1425)/G1425)</f>
        <v/>
      </c>
      <c r="M1425" s="26">
        <f>IF(J1425="","",(J1425-G1425)/G1425)</f>
        <v/>
      </c>
      <c r="N1425" s="27">
        <f>IF(H1425="","",IF(D1425="HOLD",IF(ABS(K1425)&lt;0.03,"YES","NO"),IF(D1425="BUY",IF(K1425&gt;0,"YES","NO"),IF(D1425="SELL",IF(K1425&lt;0,"YES","NO"),""))))</f>
        <v/>
      </c>
    </row>
    <row r="1426" ht="15" customHeight="1">
      <c r="K1426" s="26">
        <f>IF(H1426="","",(H1426-G1426)/G1426)</f>
        <v/>
      </c>
      <c r="L1426" s="26">
        <f>IF(I1426="","",(I1426-G1426)/G1426)</f>
        <v/>
      </c>
      <c r="M1426" s="26">
        <f>IF(J1426="","",(J1426-G1426)/G1426)</f>
        <v/>
      </c>
      <c r="N1426" s="27">
        <f>IF(H1426="","",IF(D1426="HOLD",IF(ABS(K1426)&lt;0.03,"YES","NO"),IF(D1426="BUY",IF(K1426&gt;0,"YES","NO"),IF(D1426="SELL",IF(K1426&lt;0,"YES","NO"),""))))</f>
        <v/>
      </c>
    </row>
    <row r="1427" ht="15" customHeight="1">
      <c r="K1427" s="26">
        <f>IF(H1427="","",(H1427-G1427)/G1427)</f>
        <v/>
      </c>
      <c r="L1427" s="26">
        <f>IF(I1427="","",(I1427-G1427)/G1427)</f>
        <v/>
      </c>
      <c r="M1427" s="26">
        <f>IF(J1427="","",(J1427-G1427)/G1427)</f>
        <v/>
      </c>
      <c r="N1427" s="27">
        <f>IF(H1427="","",IF(D1427="HOLD",IF(ABS(K1427)&lt;0.03,"YES","NO"),IF(D1427="BUY",IF(K1427&gt;0,"YES","NO"),IF(D1427="SELL",IF(K1427&lt;0,"YES","NO"),""))))</f>
        <v/>
      </c>
    </row>
    <row r="1428" ht="15" customHeight="1">
      <c r="K1428" s="26">
        <f>IF(H1428="","",(H1428-G1428)/G1428)</f>
        <v/>
      </c>
      <c r="L1428" s="26">
        <f>IF(I1428="","",(I1428-G1428)/G1428)</f>
        <v/>
      </c>
      <c r="M1428" s="26">
        <f>IF(J1428="","",(J1428-G1428)/G1428)</f>
        <v/>
      </c>
      <c r="N1428" s="27">
        <f>IF(H1428="","",IF(D1428="HOLD",IF(ABS(K1428)&lt;0.03,"YES","NO"),IF(D1428="BUY",IF(K1428&gt;0,"YES","NO"),IF(D1428="SELL",IF(K1428&lt;0,"YES","NO"),""))))</f>
        <v/>
      </c>
    </row>
    <row r="1429" ht="15" customHeight="1">
      <c r="K1429" s="26">
        <f>IF(H1429="","",(H1429-G1429)/G1429)</f>
        <v/>
      </c>
      <c r="L1429" s="26">
        <f>IF(I1429="","",(I1429-G1429)/G1429)</f>
        <v/>
      </c>
      <c r="M1429" s="26">
        <f>IF(J1429="","",(J1429-G1429)/G1429)</f>
        <v/>
      </c>
      <c r="N1429" s="27">
        <f>IF(H1429="","",IF(D1429="HOLD",IF(ABS(K1429)&lt;0.03,"YES","NO"),IF(D1429="BUY",IF(K1429&gt;0,"YES","NO"),IF(D1429="SELL",IF(K1429&lt;0,"YES","NO"),""))))</f>
        <v/>
      </c>
    </row>
    <row r="1430" ht="15" customHeight="1">
      <c r="K1430" s="26">
        <f>IF(H1430="","",(H1430-G1430)/G1430)</f>
        <v/>
      </c>
      <c r="L1430" s="26">
        <f>IF(I1430="","",(I1430-G1430)/G1430)</f>
        <v/>
      </c>
      <c r="M1430" s="26">
        <f>IF(J1430="","",(J1430-G1430)/G1430)</f>
        <v/>
      </c>
      <c r="N1430" s="27">
        <f>IF(H1430="","",IF(D1430="HOLD",IF(ABS(K1430)&lt;0.03,"YES","NO"),IF(D1430="BUY",IF(K1430&gt;0,"YES","NO"),IF(D1430="SELL",IF(K1430&lt;0,"YES","NO"),""))))</f>
        <v/>
      </c>
    </row>
    <row r="1431" ht="15" customHeight="1">
      <c r="K1431" s="26">
        <f>IF(H1431="","",(H1431-G1431)/G1431)</f>
        <v/>
      </c>
      <c r="L1431" s="26">
        <f>IF(I1431="","",(I1431-G1431)/G1431)</f>
        <v/>
      </c>
      <c r="M1431" s="26">
        <f>IF(J1431="","",(J1431-G1431)/G1431)</f>
        <v/>
      </c>
      <c r="N1431" s="27">
        <f>IF(H1431="","",IF(D1431="HOLD",IF(ABS(K1431)&lt;0.03,"YES","NO"),IF(D1431="BUY",IF(K1431&gt;0,"YES","NO"),IF(D1431="SELL",IF(K1431&lt;0,"YES","NO"),""))))</f>
        <v/>
      </c>
    </row>
    <row r="1432" ht="15" customHeight="1">
      <c r="K1432" s="26">
        <f>IF(H1432="","",(H1432-G1432)/G1432)</f>
        <v/>
      </c>
      <c r="L1432" s="26">
        <f>IF(I1432="","",(I1432-G1432)/G1432)</f>
        <v/>
      </c>
      <c r="M1432" s="26">
        <f>IF(J1432="","",(J1432-G1432)/G1432)</f>
        <v/>
      </c>
      <c r="N1432" s="27">
        <f>IF(H1432="","",IF(D1432="HOLD",IF(ABS(K1432)&lt;0.03,"YES","NO"),IF(D1432="BUY",IF(K1432&gt;0,"YES","NO"),IF(D1432="SELL",IF(K1432&lt;0,"YES","NO"),""))))</f>
        <v/>
      </c>
    </row>
    <row r="1433" ht="15" customHeight="1">
      <c r="K1433" s="26">
        <f>IF(H1433="","",(H1433-G1433)/G1433)</f>
        <v/>
      </c>
      <c r="L1433" s="26">
        <f>IF(I1433="","",(I1433-G1433)/G1433)</f>
        <v/>
      </c>
      <c r="M1433" s="26">
        <f>IF(J1433="","",(J1433-G1433)/G1433)</f>
        <v/>
      </c>
      <c r="N1433" s="27">
        <f>IF(H1433="","",IF(D1433="HOLD",IF(ABS(K1433)&lt;0.03,"YES","NO"),IF(D1433="BUY",IF(K1433&gt;0,"YES","NO"),IF(D1433="SELL",IF(K1433&lt;0,"YES","NO"),""))))</f>
        <v/>
      </c>
    </row>
    <row r="1434" ht="15" customHeight="1">
      <c r="K1434" s="26">
        <f>IF(H1434="","",(H1434-G1434)/G1434)</f>
        <v/>
      </c>
      <c r="L1434" s="26">
        <f>IF(I1434="","",(I1434-G1434)/G1434)</f>
        <v/>
      </c>
      <c r="M1434" s="26">
        <f>IF(J1434="","",(J1434-G1434)/G1434)</f>
        <v/>
      </c>
      <c r="N1434" s="27">
        <f>IF(H1434="","",IF(D1434="HOLD",IF(ABS(K1434)&lt;0.03,"YES","NO"),IF(D1434="BUY",IF(K1434&gt;0,"YES","NO"),IF(D1434="SELL",IF(K1434&lt;0,"YES","NO"),""))))</f>
        <v/>
      </c>
    </row>
    <row r="1435" ht="15" customHeight="1">
      <c r="K1435" s="26">
        <f>IF(H1435="","",(H1435-G1435)/G1435)</f>
        <v/>
      </c>
      <c r="L1435" s="26">
        <f>IF(I1435="","",(I1435-G1435)/G1435)</f>
        <v/>
      </c>
      <c r="M1435" s="26">
        <f>IF(J1435="","",(J1435-G1435)/G1435)</f>
        <v/>
      </c>
      <c r="N1435" s="27">
        <f>IF(H1435="","",IF(D1435="HOLD",IF(ABS(K1435)&lt;0.03,"YES","NO"),IF(D1435="BUY",IF(K1435&gt;0,"YES","NO"),IF(D1435="SELL",IF(K1435&lt;0,"YES","NO"),""))))</f>
        <v/>
      </c>
    </row>
    <row r="1436" ht="15" customHeight="1">
      <c r="K1436" s="26">
        <f>IF(H1436="","",(H1436-G1436)/G1436)</f>
        <v/>
      </c>
      <c r="L1436" s="26">
        <f>IF(I1436="","",(I1436-G1436)/G1436)</f>
        <v/>
      </c>
      <c r="M1436" s="26">
        <f>IF(J1436="","",(J1436-G1436)/G1436)</f>
        <v/>
      </c>
      <c r="N1436" s="27">
        <f>IF(H1436="","",IF(D1436="HOLD",IF(ABS(K1436)&lt;0.03,"YES","NO"),IF(D1436="BUY",IF(K1436&gt;0,"YES","NO"),IF(D1436="SELL",IF(K1436&lt;0,"YES","NO"),""))))</f>
        <v/>
      </c>
    </row>
    <row r="1437" ht="15" customHeight="1">
      <c r="K1437" s="26">
        <f>IF(H1437="","",(H1437-G1437)/G1437)</f>
        <v/>
      </c>
      <c r="L1437" s="26">
        <f>IF(I1437="","",(I1437-G1437)/G1437)</f>
        <v/>
      </c>
      <c r="M1437" s="26">
        <f>IF(J1437="","",(J1437-G1437)/G1437)</f>
        <v/>
      </c>
      <c r="N1437" s="27">
        <f>IF(H1437="","",IF(D1437="HOLD",IF(ABS(K1437)&lt;0.03,"YES","NO"),IF(D1437="BUY",IF(K1437&gt;0,"YES","NO"),IF(D1437="SELL",IF(K1437&lt;0,"YES","NO"),""))))</f>
        <v/>
      </c>
    </row>
    <row r="1438" ht="15" customHeight="1">
      <c r="K1438" s="26">
        <f>IF(H1438="","",(H1438-G1438)/G1438)</f>
        <v/>
      </c>
      <c r="L1438" s="26">
        <f>IF(I1438="","",(I1438-G1438)/G1438)</f>
        <v/>
      </c>
      <c r="M1438" s="26">
        <f>IF(J1438="","",(J1438-G1438)/G1438)</f>
        <v/>
      </c>
      <c r="N1438" s="27">
        <f>IF(H1438="","",IF(D1438="HOLD",IF(ABS(K1438)&lt;0.03,"YES","NO"),IF(D1438="BUY",IF(K1438&gt;0,"YES","NO"),IF(D1438="SELL",IF(K1438&lt;0,"YES","NO"),""))))</f>
        <v/>
      </c>
    </row>
    <row r="1439" ht="15" customHeight="1">
      <c r="K1439" s="26">
        <f>IF(H1439="","",(H1439-G1439)/G1439)</f>
        <v/>
      </c>
      <c r="L1439" s="26">
        <f>IF(I1439="","",(I1439-G1439)/G1439)</f>
        <v/>
      </c>
      <c r="M1439" s="26">
        <f>IF(J1439="","",(J1439-G1439)/G1439)</f>
        <v/>
      </c>
      <c r="N1439" s="27">
        <f>IF(H1439="","",IF(D1439="HOLD",IF(ABS(K1439)&lt;0.03,"YES","NO"),IF(D1439="BUY",IF(K1439&gt;0,"YES","NO"),IF(D1439="SELL",IF(K1439&lt;0,"YES","NO"),""))))</f>
        <v/>
      </c>
    </row>
    <row r="1440" ht="15" customHeight="1">
      <c r="K1440" s="26">
        <f>IF(H1440="","",(H1440-G1440)/G1440)</f>
        <v/>
      </c>
      <c r="L1440" s="26">
        <f>IF(I1440="","",(I1440-G1440)/G1440)</f>
        <v/>
      </c>
      <c r="M1440" s="26">
        <f>IF(J1440="","",(J1440-G1440)/G1440)</f>
        <v/>
      </c>
      <c r="N1440" s="27">
        <f>IF(H1440="","",IF(D1440="HOLD",IF(ABS(K1440)&lt;0.03,"YES","NO"),IF(D1440="BUY",IF(K1440&gt;0,"YES","NO"),IF(D1440="SELL",IF(K1440&lt;0,"YES","NO"),""))))</f>
        <v/>
      </c>
    </row>
    <row r="1441" ht="15" customHeight="1">
      <c r="K1441" s="26">
        <f>IF(H1441="","",(H1441-G1441)/G1441)</f>
        <v/>
      </c>
      <c r="L1441" s="26">
        <f>IF(I1441="","",(I1441-G1441)/G1441)</f>
        <v/>
      </c>
      <c r="M1441" s="26">
        <f>IF(J1441="","",(J1441-G1441)/G1441)</f>
        <v/>
      </c>
      <c r="N1441" s="27">
        <f>IF(H1441="","",IF(D1441="HOLD",IF(ABS(K1441)&lt;0.03,"YES","NO"),IF(D1441="BUY",IF(K1441&gt;0,"YES","NO"),IF(D1441="SELL",IF(K1441&lt;0,"YES","NO"),""))))</f>
        <v/>
      </c>
    </row>
    <row r="1442" ht="15" customHeight="1">
      <c r="K1442" s="26">
        <f>IF(H1442="","",(H1442-G1442)/G1442)</f>
        <v/>
      </c>
      <c r="L1442" s="26">
        <f>IF(I1442="","",(I1442-G1442)/G1442)</f>
        <v/>
      </c>
      <c r="M1442" s="26">
        <f>IF(J1442="","",(J1442-G1442)/G1442)</f>
        <v/>
      </c>
      <c r="N1442" s="27">
        <f>IF(H1442="","",IF(D1442="HOLD",IF(ABS(K1442)&lt;0.03,"YES","NO"),IF(D1442="BUY",IF(K1442&gt;0,"YES","NO"),IF(D1442="SELL",IF(K1442&lt;0,"YES","NO"),""))))</f>
        <v/>
      </c>
    </row>
    <row r="1443" ht="15" customHeight="1">
      <c r="K1443" s="26">
        <f>IF(H1443="","",(H1443-G1443)/G1443)</f>
        <v/>
      </c>
      <c r="L1443" s="26">
        <f>IF(I1443="","",(I1443-G1443)/G1443)</f>
        <v/>
      </c>
      <c r="M1443" s="26">
        <f>IF(J1443="","",(J1443-G1443)/G1443)</f>
        <v/>
      </c>
      <c r="N1443" s="27">
        <f>IF(H1443="","",IF(D1443="HOLD",IF(ABS(K1443)&lt;0.03,"YES","NO"),IF(D1443="BUY",IF(K1443&gt;0,"YES","NO"),IF(D1443="SELL",IF(K1443&lt;0,"YES","NO"),""))))</f>
        <v/>
      </c>
    </row>
    <row r="1444" ht="15" customHeight="1">
      <c r="K1444" s="26">
        <f>IF(H1444="","",(H1444-G1444)/G1444)</f>
        <v/>
      </c>
      <c r="L1444" s="26">
        <f>IF(I1444="","",(I1444-G1444)/G1444)</f>
        <v/>
      </c>
      <c r="M1444" s="26">
        <f>IF(J1444="","",(J1444-G1444)/G1444)</f>
        <v/>
      </c>
      <c r="N1444" s="27">
        <f>IF(H1444="","",IF(D1444="HOLD",IF(ABS(K1444)&lt;0.03,"YES","NO"),IF(D1444="BUY",IF(K1444&gt;0,"YES","NO"),IF(D1444="SELL",IF(K1444&lt;0,"YES","NO"),""))))</f>
        <v/>
      </c>
    </row>
    <row r="1445" ht="15" customHeight="1">
      <c r="K1445" s="26">
        <f>IF(H1445="","",(H1445-G1445)/G1445)</f>
        <v/>
      </c>
      <c r="L1445" s="26">
        <f>IF(I1445="","",(I1445-G1445)/G1445)</f>
        <v/>
      </c>
      <c r="M1445" s="26">
        <f>IF(J1445="","",(J1445-G1445)/G1445)</f>
        <v/>
      </c>
      <c r="N1445" s="27">
        <f>IF(H1445="","",IF(D1445="HOLD",IF(ABS(K1445)&lt;0.03,"YES","NO"),IF(D1445="BUY",IF(K1445&gt;0,"YES","NO"),IF(D1445="SELL",IF(K1445&lt;0,"YES","NO"),""))))</f>
        <v/>
      </c>
    </row>
    <row r="1446" ht="15" customHeight="1">
      <c r="K1446" s="26">
        <f>IF(H1446="","",(H1446-G1446)/G1446)</f>
        <v/>
      </c>
      <c r="L1446" s="26">
        <f>IF(I1446="","",(I1446-G1446)/G1446)</f>
        <v/>
      </c>
      <c r="M1446" s="26">
        <f>IF(J1446="","",(J1446-G1446)/G1446)</f>
        <v/>
      </c>
      <c r="N1446" s="27">
        <f>IF(H1446="","",IF(D1446="HOLD",IF(ABS(K1446)&lt;0.03,"YES","NO"),IF(D1446="BUY",IF(K1446&gt;0,"YES","NO"),IF(D1446="SELL",IF(K1446&lt;0,"YES","NO"),""))))</f>
        <v/>
      </c>
    </row>
    <row r="1447" ht="15" customHeight="1">
      <c r="K1447" s="26">
        <f>IF(H1447="","",(H1447-G1447)/G1447)</f>
        <v/>
      </c>
      <c r="L1447" s="26">
        <f>IF(I1447="","",(I1447-G1447)/G1447)</f>
        <v/>
      </c>
      <c r="M1447" s="26">
        <f>IF(J1447="","",(J1447-G1447)/G1447)</f>
        <v/>
      </c>
      <c r="N1447" s="27">
        <f>IF(H1447="","",IF(D1447="HOLD",IF(ABS(K1447)&lt;0.03,"YES","NO"),IF(D1447="BUY",IF(K1447&gt;0,"YES","NO"),IF(D1447="SELL",IF(K1447&lt;0,"YES","NO"),""))))</f>
        <v/>
      </c>
    </row>
    <row r="1448" ht="15" customHeight="1">
      <c r="K1448" s="26">
        <f>IF(H1448="","",(H1448-G1448)/G1448)</f>
        <v/>
      </c>
      <c r="L1448" s="26">
        <f>IF(I1448="","",(I1448-G1448)/G1448)</f>
        <v/>
      </c>
      <c r="M1448" s="26">
        <f>IF(J1448="","",(J1448-G1448)/G1448)</f>
        <v/>
      </c>
      <c r="N1448" s="27">
        <f>IF(H1448="","",IF(D1448="HOLD",IF(ABS(K1448)&lt;0.03,"YES","NO"),IF(D1448="BUY",IF(K1448&gt;0,"YES","NO"),IF(D1448="SELL",IF(K1448&lt;0,"YES","NO"),""))))</f>
        <v/>
      </c>
    </row>
    <row r="1449" ht="15" customHeight="1">
      <c r="K1449" s="26">
        <f>IF(H1449="","",(H1449-G1449)/G1449)</f>
        <v/>
      </c>
      <c r="L1449" s="26">
        <f>IF(I1449="","",(I1449-G1449)/G1449)</f>
        <v/>
      </c>
      <c r="M1449" s="26">
        <f>IF(J1449="","",(J1449-G1449)/G1449)</f>
        <v/>
      </c>
      <c r="N1449" s="27">
        <f>IF(H1449="","",IF(D1449="HOLD",IF(ABS(K1449)&lt;0.03,"YES","NO"),IF(D1449="BUY",IF(K1449&gt;0,"YES","NO"),IF(D1449="SELL",IF(K1449&lt;0,"YES","NO"),""))))</f>
        <v/>
      </c>
    </row>
    <row r="1450" ht="15" customHeight="1">
      <c r="K1450" s="26">
        <f>IF(H1450="","",(H1450-G1450)/G1450)</f>
        <v/>
      </c>
      <c r="L1450" s="26">
        <f>IF(I1450="","",(I1450-G1450)/G1450)</f>
        <v/>
      </c>
      <c r="M1450" s="26">
        <f>IF(J1450="","",(J1450-G1450)/G1450)</f>
        <v/>
      </c>
      <c r="N1450" s="27">
        <f>IF(H1450="","",IF(D1450="HOLD",IF(ABS(K1450)&lt;0.03,"YES","NO"),IF(D1450="BUY",IF(K1450&gt;0,"YES","NO"),IF(D1450="SELL",IF(K1450&lt;0,"YES","NO"),""))))</f>
        <v/>
      </c>
    </row>
    <row r="1451" ht="15" customHeight="1">
      <c r="K1451" s="26">
        <f>IF(H1451="","",(H1451-G1451)/G1451)</f>
        <v/>
      </c>
      <c r="L1451" s="26">
        <f>IF(I1451="","",(I1451-G1451)/G1451)</f>
        <v/>
      </c>
      <c r="M1451" s="26">
        <f>IF(J1451="","",(J1451-G1451)/G1451)</f>
        <v/>
      </c>
      <c r="N1451" s="27">
        <f>IF(H1451="","",IF(D1451="HOLD",IF(ABS(K1451)&lt;0.03,"YES","NO"),IF(D1451="BUY",IF(K1451&gt;0,"YES","NO"),IF(D1451="SELL",IF(K1451&lt;0,"YES","NO"),""))))</f>
        <v/>
      </c>
    </row>
    <row r="1452" ht="15" customHeight="1">
      <c r="K1452" s="26">
        <f>IF(H1452="","",(H1452-G1452)/G1452)</f>
        <v/>
      </c>
      <c r="L1452" s="26">
        <f>IF(I1452="","",(I1452-G1452)/G1452)</f>
        <v/>
      </c>
      <c r="M1452" s="26">
        <f>IF(J1452="","",(J1452-G1452)/G1452)</f>
        <v/>
      </c>
      <c r="N1452" s="27">
        <f>IF(H1452="","",IF(D1452="HOLD",IF(ABS(K1452)&lt;0.03,"YES","NO"),IF(D1452="BUY",IF(K1452&gt;0,"YES","NO"),IF(D1452="SELL",IF(K1452&lt;0,"YES","NO"),""))))</f>
        <v/>
      </c>
    </row>
    <row r="1453" ht="15" customHeight="1">
      <c r="K1453" s="26">
        <f>IF(H1453="","",(H1453-G1453)/G1453)</f>
        <v/>
      </c>
      <c r="L1453" s="26">
        <f>IF(I1453="","",(I1453-G1453)/G1453)</f>
        <v/>
      </c>
      <c r="M1453" s="26">
        <f>IF(J1453="","",(J1453-G1453)/G1453)</f>
        <v/>
      </c>
      <c r="N1453" s="27">
        <f>IF(H1453="","",IF(D1453="HOLD",IF(ABS(K1453)&lt;0.03,"YES","NO"),IF(D1453="BUY",IF(K1453&gt;0,"YES","NO"),IF(D1453="SELL",IF(K1453&lt;0,"YES","NO"),""))))</f>
        <v/>
      </c>
    </row>
    <row r="1454" ht="15" customHeight="1">
      <c r="K1454" s="26">
        <f>IF(H1454="","",(H1454-G1454)/G1454)</f>
        <v/>
      </c>
      <c r="L1454" s="26">
        <f>IF(I1454="","",(I1454-G1454)/G1454)</f>
        <v/>
      </c>
      <c r="M1454" s="26">
        <f>IF(J1454="","",(J1454-G1454)/G1454)</f>
        <v/>
      </c>
      <c r="N1454" s="27">
        <f>IF(H1454="","",IF(D1454="HOLD",IF(ABS(K1454)&lt;0.03,"YES","NO"),IF(D1454="BUY",IF(K1454&gt;0,"YES","NO"),IF(D1454="SELL",IF(K1454&lt;0,"YES","NO"),""))))</f>
        <v/>
      </c>
    </row>
    <row r="1455" ht="15" customHeight="1">
      <c r="K1455" s="26">
        <f>IF(H1455="","",(H1455-G1455)/G1455)</f>
        <v/>
      </c>
      <c r="L1455" s="26">
        <f>IF(I1455="","",(I1455-G1455)/G1455)</f>
        <v/>
      </c>
      <c r="M1455" s="26">
        <f>IF(J1455="","",(J1455-G1455)/G1455)</f>
        <v/>
      </c>
      <c r="N1455" s="27">
        <f>IF(H1455="","",IF(D1455="HOLD",IF(ABS(K1455)&lt;0.03,"YES","NO"),IF(D1455="BUY",IF(K1455&gt;0,"YES","NO"),IF(D1455="SELL",IF(K1455&lt;0,"YES","NO"),""))))</f>
        <v/>
      </c>
    </row>
    <row r="1456" ht="15" customHeight="1">
      <c r="K1456" s="26">
        <f>IF(H1456="","",(H1456-G1456)/G1456)</f>
        <v/>
      </c>
      <c r="L1456" s="26">
        <f>IF(I1456="","",(I1456-G1456)/G1456)</f>
        <v/>
      </c>
      <c r="M1456" s="26">
        <f>IF(J1456="","",(J1456-G1456)/G1456)</f>
        <v/>
      </c>
      <c r="N1456" s="27">
        <f>IF(H1456="","",IF(D1456="HOLD",IF(ABS(K1456)&lt;0.03,"YES","NO"),IF(D1456="BUY",IF(K1456&gt;0,"YES","NO"),IF(D1456="SELL",IF(K1456&lt;0,"YES","NO"),""))))</f>
        <v/>
      </c>
    </row>
    <row r="1457" ht="15" customHeight="1">
      <c r="K1457" s="26">
        <f>IF(H1457="","",(H1457-G1457)/G1457)</f>
        <v/>
      </c>
      <c r="L1457" s="26">
        <f>IF(I1457="","",(I1457-G1457)/G1457)</f>
        <v/>
      </c>
      <c r="M1457" s="26">
        <f>IF(J1457="","",(J1457-G1457)/G1457)</f>
        <v/>
      </c>
      <c r="N1457" s="27">
        <f>IF(H1457="","",IF(D1457="HOLD",IF(ABS(K1457)&lt;0.03,"YES","NO"),IF(D1457="BUY",IF(K1457&gt;0,"YES","NO"),IF(D1457="SELL",IF(K1457&lt;0,"YES","NO"),""))))</f>
        <v/>
      </c>
    </row>
    <row r="1458" ht="15" customHeight="1">
      <c r="K1458" s="26">
        <f>IF(H1458="","",(H1458-G1458)/G1458)</f>
        <v/>
      </c>
      <c r="L1458" s="26">
        <f>IF(I1458="","",(I1458-G1458)/G1458)</f>
        <v/>
      </c>
      <c r="M1458" s="26">
        <f>IF(J1458="","",(J1458-G1458)/G1458)</f>
        <v/>
      </c>
      <c r="N1458" s="27">
        <f>IF(H1458="","",IF(D1458="HOLD",IF(ABS(K1458)&lt;0.03,"YES","NO"),IF(D1458="BUY",IF(K1458&gt;0,"YES","NO"),IF(D1458="SELL",IF(K1458&lt;0,"YES","NO"),""))))</f>
        <v/>
      </c>
    </row>
    <row r="1459" ht="15" customHeight="1">
      <c r="K1459" s="26">
        <f>IF(H1459="","",(H1459-G1459)/G1459)</f>
        <v/>
      </c>
      <c r="L1459" s="26">
        <f>IF(I1459="","",(I1459-G1459)/G1459)</f>
        <v/>
      </c>
      <c r="M1459" s="26">
        <f>IF(J1459="","",(J1459-G1459)/G1459)</f>
        <v/>
      </c>
      <c r="N1459" s="27">
        <f>IF(H1459="","",IF(D1459="HOLD",IF(ABS(K1459)&lt;0.03,"YES","NO"),IF(D1459="BUY",IF(K1459&gt;0,"YES","NO"),IF(D1459="SELL",IF(K1459&lt;0,"YES","NO"),""))))</f>
        <v/>
      </c>
    </row>
    <row r="1460" ht="15" customHeight="1">
      <c r="K1460" s="26">
        <f>IF(H1460="","",(H1460-G1460)/G1460)</f>
        <v/>
      </c>
      <c r="L1460" s="26">
        <f>IF(I1460="","",(I1460-G1460)/G1460)</f>
        <v/>
      </c>
      <c r="M1460" s="26">
        <f>IF(J1460="","",(J1460-G1460)/G1460)</f>
        <v/>
      </c>
      <c r="N1460" s="27">
        <f>IF(H1460="","",IF(D1460="HOLD",IF(ABS(K1460)&lt;0.03,"YES","NO"),IF(D1460="BUY",IF(K1460&gt;0,"YES","NO"),IF(D1460="SELL",IF(K1460&lt;0,"YES","NO"),""))))</f>
        <v/>
      </c>
    </row>
    <row r="1461" ht="15" customHeight="1">
      <c r="K1461" s="26">
        <f>IF(H1461="","",(H1461-G1461)/G1461)</f>
        <v/>
      </c>
      <c r="L1461" s="26">
        <f>IF(I1461="","",(I1461-G1461)/G1461)</f>
        <v/>
      </c>
      <c r="M1461" s="26">
        <f>IF(J1461="","",(J1461-G1461)/G1461)</f>
        <v/>
      </c>
      <c r="N1461" s="27">
        <f>IF(H1461="","",IF(D1461="HOLD",IF(ABS(K1461)&lt;0.03,"YES","NO"),IF(D1461="BUY",IF(K1461&gt;0,"YES","NO"),IF(D1461="SELL",IF(K1461&lt;0,"YES","NO"),""))))</f>
        <v/>
      </c>
    </row>
    <row r="1462" ht="15" customHeight="1">
      <c r="K1462" s="26">
        <f>IF(H1462="","",(H1462-G1462)/G1462)</f>
        <v/>
      </c>
      <c r="L1462" s="26">
        <f>IF(I1462="","",(I1462-G1462)/G1462)</f>
        <v/>
      </c>
      <c r="M1462" s="26">
        <f>IF(J1462="","",(J1462-G1462)/G1462)</f>
        <v/>
      </c>
      <c r="N1462" s="27">
        <f>IF(H1462="","",IF(D1462="HOLD",IF(ABS(K1462)&lt;0.03,"YES","NO"),IF(D1462="BUY",IF(K1462&gt;0,"YES","NO"),IF(D1462="SELL",IF(K1462&lt;0,"YES","NO"),""))))</f>
        <v/>
      </c>
    </row>
    <row r="1463" ht="15" customHeight="1">
      <c r="K1463" s="26">
        <f>IF(H1463="","",(H1463-G1463)/G1463)</f>
        <v/>
      </c>
      <c r="L1463" s="26">
        <f>IF(I1463="","",(I1463-G1463)/G1463)</f>
        <v/>
      </c>
      <c r="M1463" s="26">
        <f>IF(J1463="","",(J1463-G1463)/G1463)</f>
        <v/>
      </c>
      <c r="N1463" s="27">
        <f>IF(H1463="","",IF(D1463="HOLD",IF(ABS(K1463)&lt;0.03,"YES","NO"),IF(D1463="BUY",IF(K1463&gt;0,"YES","NO"),IF(D1463="SELL",IF(K1463&lt;0,"YES","NO"),""))))</f>
        <v/>
      </c>
    </row>
    <row r="1464" ht="15" customHeight="1">
      <c r="K1464" s="26">
        <f>IF(H1464="","",(H1464-G1464)/G1464)</f>
        <v/>
      </c>
      <c r="L1464" s="26">
        <f>IF(I1464="","",(I1464-G1464)/G1464)</f>
        <v/>
      </c>
      <c r="M1464" s="26">
        <f>IF(J1464="","",(J1464-G1464)/G1464)</f>
        <v/>
      </c>
      <c r="N1464" s="27">
        <f>IF(H1464="","",IF(D1464="HOLD",IF(ABS(K1464)&lt;0.03,"YES","NO"),IF(D1464="BUY",IF(K1464&gt;0,"YES","NO"),IF(D1464="SELL",IF(K1464&lt;0,"YES","NO"),""))))</f>
        <v/>
      </c>
    </row>
    <row r="1465" ht="15" customHeight="1">
      <c r="K1465" s="26">
        <f>IF(H1465="","",(H1465-G1465)/G1465)</f>
        <v/>
      </c>
      <c r="L1465" s="26">
        <f>IF(I1465="","",(I1465-G1465)/G1465)</f>
        <v/>
      </c>
      <c r="M1465" s="26">
        <f>IF(J1465="","",(J1465-G1465)/G1465)</f>
        <v/>
      </c>
      <c r="N1465" s="27">
        <f>IF(H1465="","",IF(D1465="HOLD",IF(ABS(K1465)&lt;0.03,"YES","NO"),IF(D1465="BUY",IF(K1465&gt;0,"YES","NO"),IF(D1465="SELL",IF(K1465&lt;0,"YES","NO"),""))))</f>
        <v/>
      </c>
    </row>
    <row r="1466" ht="15" customHeight="1">
      <c r="K1466" s="26">
        <f>IF(H1466="","",(H1466-G1466)/G1466)</f>
        <v/>
      </c>
      <c r="L1466" s="26">
        <f>IF(I1466="","",(I1466-G1466)/G1466)</f>
        <v/>
      </c>
      <c r="M1466" s="26">
        <f>IF(J1466="","",(J1466-G1466)/G1466)</f>
        <v/>
      </c>
      <c r="N1466" s="27">
        <f>IF(H1466="","",IF(D1466="HOLD",IF(ABS(K1466)&lt;0.03,"YES","NO"),IF(D1466="BUY",IF(K1466&gt;0,"YES","NO"),IF(D1466="SELL",IF(K1466&lt;0,"YES","NO"),""))))</f>
        <v/>
      </c>
    </row>
    <row r="1467" ht="15" customHeight="1">
      <c r="K1467" s="26">
        <f>IF(H1467="","",(H1467-G1467)/G1467)</f>
        <v/>
      </c>
      <c r="L1467" s="26">
        <f>IF(I1467="","",(I1467-G1467)/G1467)</f>
        <v/>
      </c>
      <c r="M1467" s="26">
        <f>IF(J1467="","",(J1467-G1467)/G1467)</f>
        <v/>
      </c>
      <c r="N1467" s="27">
        <f>IF(H1467="","",IF(D1467="HOLD",IF(ABS(K1467)&lt;0.03,"YES","NO"),IF(D1467="BUY",IF(K1467&gt;0,"YES","NO"),IF(D1467="SELL",IF(K1467&lt;0,"YES","NO"),""))))</f>
        <v/>
      </c>
    </row>
    <row r="1468" ht="15" customHeight="1">
      <c r="K1468" s="26">
        <f>IF(H1468="","",(H1468-G1468)/G1468)</f>
        <v/>
      </c>
      <c r="L1468" s="26">
        <f>IF(I1468="","",(I1468-G1468)/G1468)</f>
        <v/>
      </c>
      <c r="M1468" s="26">
        <f>IF(J1468="","",(J1468-G1468)/G1468)</f>
        <v/>
      </c>
      <c r="N1468" s="27">
        <f>IF(H1468="","",IF(D1468="HOLD",IF(ABS(K1468)&lt;0.03,"YES","NO"),IF(D1468="BUY",IF(K1468&gt;0,"YES","NO"),IF(D1468="SELL",IF(K1468&lt;0,"YES","NO"),""))))</f>
        <v/>
      </c>
    </row>
    <row r="1469" ht="15" customHeight="1">
      <c r="K1469" s="26">
        <f>IF(H1469="","",(H1469-G1469)/G1469)</f>
        <v/>
      </c>
      <c r="L1469" s="26">
        <f>IF(I1469="","",(I1469-G1469)/G1469)</f>
        <v/>
      </c>
      <c r="M1469" s="26">
        <f>IF(J1469="","",(J1469-G1469)/G1469)</f>
        <v/>
      </c>
      <c r="N1469" s="27">
        <f>IF(H1469="","",IF(D1469="HOLD",IF(ABS(K1469)&lt;0.03,"YES","NO"),IF(D1469="BUY",IF(K1469&gt;0,"YES","NO"),IF(D1469="SELL",IF(K1469&lt;0,"YES","NO"),""))))</f>
        <v/>
      </c>
    </row>
    <row r="1470" ht="15" customHeight="1">
      <c r="K1470" s="26">
        <f>IF(H1470="","",(H1470-G1470)/G1470)</f>
        <v/>
      </c>
      <c r="L1470" s="26">
        <f>IF(I1470="","",(I1470-G1470)/G1470)</f>
        <v/>
      </c>
      <c r="M1470" s="26">
        <f>IF(J1470="","",(J1470-G1470)/G1470)</f>
        <v/>
      </c>
      <c r="N1470" s="27">
        <f>IF(H1470="","",IF(D1470="HOLD",IF(ABS(K1470)&lt;0.03,"YES","NO"),IF(D1470="BUY",IF(K1470&gt;0,"YES","NO"),IF(D1470="SELL",IF(K1470&lt;0,"YES","NO"),""))))</f>
        <v/>
      </c>
    </row>
    <row r="1471" ht="15" customHeight="1">
      <c r="K1471" s="26">
        <f>IF(H1471="","",(H1471-G1471)/G1471)</f>
        <v/>
      </c>
      <c r="L1471" s="26">
        <f>IF(I1471="","",(I1471-G1471)/G1471)</f>
        <v/>
      </c>
      <c r="M1471" s="26">
        <f>IF(J1471="","",(J1471-G1471)/G1471)</f>
        <v/>
      </c>
      <c r="N1471" s="27">
        <f>IF(H1471="","",IF(D1471="HOLD",IF(ABS(K1471)&lt;0.03,"YES","NO"),IF(D1471="BUY",IF(K1471&gt;0,"YES","NO"),IF(D1471="SELL",IF(K1471&lt;0,"YES","NO"),""))))</f>
        <v/>
      </c>
    </row>
    <row r="1472" ht="15" customHeight="1">
      <c r="K1472" s="26">
        <f>IF(H1472="","",(H1472-G1472)/G1472)</f>
        <v/>
      </c>
      <c r="L1472" s="26">
        <f>IF(I1472="","",(I1472-G1472)/G1472)</f>
        <v/>
      </c>
      <c r="M1472" s="26">
        <f>IF(J1472="","",(J1472-G1472)/G1472)</f>
        <v/>
      </c>
      <c r="N1472" s="27">
        <f>IF(H1472="","",IF(D1472="HOLD",IF(ABS(K1472)&lt;0.03,"YES","NO"),IF(D1472="BUY",IF(K1472&gt;0,"YES","NO"),IF(D1472="SELL",IF(K1472&lt;0,"YES","NO"),""))))</f>
        <v/>
      </c>
    </row>
    <row r="1473" ht="15" customHeight="1">
      <c r="K1473" s="26">
        <f>IF(H1473="","",(H1473-G1473)/G1473)</f>
        <v/>
      </c>
      <c r="L1473" s="26">
        <f>IF(I1473="","",(I1473-G1473)/G1473)</f>
        <v/>
      </c>
      <c r="M1473" s="26">
        <f>IF(J1473="","",(J1473-G1473)/G1473)</f>
        <v/>
      </c>
      <c r="N1473" s="27">
        <f>IF(H1473="","",IF(D1473="HOLD",IF(ABS(K1473)&lt;0.03,"YES","NO"),IF(D1473="BUY",IF(K1473&gt;0,"YES","NO"),IF(D1473="SELL",IF(K1473&lt;0,"YES","NO"),""))))</f>
        <v/>
      </c>
    </row>
    <row r="1474" ht="15" customHeight="1">
      <c r="K1474" s="26">
        <f>IF(H1474="","",(H1474-G1474)/G1474)</f>
        <v/>
      </c>
      <c r="L1474" s="26">
        <f>IF(I1474="","",(I1474-G1474)/G1474)</f>
        <v/>
      </c>
      <c r="M1474" s="26">
        <f>IF(J1474="","",(J1474-G1474)/G1474)</f>
        <v/>
      </c>
      <c r="N1474" s="27">
        <f>IF(H1474="","",IF(D1474="HOLD",IF(ABS(K1474)&lt;0.03,"YES","NO"),IF(D1474="BUY",IF(K1474&gt;0,"YES","NO"),IF(D1474="SELL",IF(K1474&lt;0,"YES","NO"),""))))</f>
        <v/>
      </c>
    </row>
    <row r="1475" ht="15" customHeight="1">
      <c r="K1475" s="26">
        <f>IF(H1475="","",(H1475-G1475)/G1475)</f>
        <v/>
      </c>
      <c r="L1475" s="26">
        <f>IF(I1475="","",(I1475-G1475)/G1475)</f>
        <v/>
      </c>
      <c r="M1475" s="26">
        <f>IF(J1475="","",(J1475-G1475)/G1475)</f>
        <v/>
      </c>
      <c r="N1475" s="27">
        <f>IF(H1475="","",IF(D1475="HOLD",IF(ABS(K1475)&lt;0.03,"YES","NO"),IF(D1475="BUY",IF(K1475&gt;0,"YES","NO"),IF(D1475="SELL",IF(K1475&lt;0,"YES","NO"),""))))</f>
        <v/>
      </c>
    </row>
    <row r="1476" ht="15" customHeight="1">
      <c r="K1476" s="26">
        <f>IF(H1476="","",(H1476-G1476)/G1476)</f>
        <v/>
      </c>
      <c r="L1476" s="26">
        <f>IF(I1476="","",(I1476-G1476)/G1476)</f>
        <v/>
      </c>
      <c r="M1476" s="26">
        <f>IF(J1476="","",(J1476-G1476)/G1476)</f>
        <v/>
      </c>
      <c r="N1476" s="27">
        <f>IF(H1476="","",IF(D1476="HOLD",IF(ABS(K1476)&lt;0.03,"YES","NO"),IF(D1476="BUY",IF(K1476&gt;0,"YES","NO"),IF(D1476="SELL",IF(K1476&lt;0,"YES","NO"),""))))</f>
        <v/>
      </c>
    </row>
    <row r="1477" ht="15" customHeight="1">
      <c r="K1477" s="26">
        <f>IF(H1477="","",(H1477-G1477)/G1477)</f>
        <v/>
      </c>
      <c r="L1477" s="26">
        <f>IF(I1477="","",(I1477-G1477)/G1477)</f>
        <v/>
      </c>
      <c r="M1477" s="26">
        <f>IF(J1477="","",(J1477-G1477)/G1477)</f>
        <v/>
      </c>
      <c r="N1477" s="27">
        <f>IF(H1477="","",IF(D1477="HOLD",IF(ABS(K1477)&lt;0.03,"YES","NO"),IF(D1477="BUY",IF(K1477&gt;0,"YES","NO"),IF(D1477="SELL",IF(K1477&lt;0,"YES","NO"),""))))</f>
        <v/>
      </c>
    </row>
    <row r="1478" ht="15" customHeight="1">
      <c r="K1478" s="26">
        <f>IF(H1478="","",(H1478-G1478)/G1478)</f>
        <v/>
      </c>
      <c r="L1478" s="26">
        <f>IF(I1478="","",(I1478-G1478)/G1478)</f>
        <v/>
      </c>
      <c r="M1478" s="26">
        <f>IF(J1478="","",(J1478-G1478)/G1478)</f>
        <v/>
      </c>
      <c r="N1478" s="27">
        <f>IF(H1478="","",IF(D1478="HOLD",IF(ABS(K1478)&lt;0.03,"YES","NO"),IF(D1478="BUY",IF(K1478&gt;0,"YES","NO"),IF(D1478="SELL",IF(K1478&lt;0,"YES","NO"),""))))</f>
        <v/>
      </c>
    </row>
    <row r="1479" ht="15" customHeight="1">
      <c r="K1479" s="26">
        <f>IF(H1479="","",(H1479-G1479)/G1479)</f>
        <v/>
      </c>
      <c r="L1479" s="26">
        <f>IF(I1479="","",(I1479-G1479)/G1479)</f>
        <v/>
      </c>
      <c r="M1479" s="26">
        <f>IF(J1479="","",(J1479-G1479)/G1479)</f>
        <v/>
      </c>
      <c r="N1479" s="27">
        <f>IF(H1479="","",IF(D1479="HOLD",IF(ABS(K1479)&lt;0.03,"YES","NO"),IF(D1479="BUY",IF(K1479&gt;0,"YES","NO"),IF(D1479="SELL",IF(K1479&lt;0,"YES","NO"),""))))</f>
        <v/>
      </c>
    </row>
    <row r="1480" ht="15" customHeight="1">
      <c r="K1480" s="26">
        <f>IF(H1480="","",(H1480-G1480)/G1480)</f>
        <v/>
      </c>
      <c r="L1480" s="26">
        <f>IF(I1480="","",(I1480-G1480)/G1480)</f>
        <v/>
      </c>
      <c r="M1480" s="26">
        <f>IF(J1480="","",(J1480-G1480)/G1480)</f>
        <v/>
      </c>
      <c r="N1480" s="27">
        <f>IF(H1480="","",IF(D1480="HOLD",IF(ABS(K1480)&lt;0.03,"YES","NO"),IF(D1480="BUY",IF(K1480&gt;0,"YES","NO"),IF(D1480="SELL",IF(K1480&lt;0,"YES","NO"),""))))</f>
        <v/>
      </c>
    </row>
    <row r="1481" ht="15" customHeight="1">
      <c r="K1481" s="26">
        <f>IF(H1481="","",(H1481-G1481)/G1481)</f>
        <v/>
      </c>
      <c r="L1481" s="26">
        <f>IF(I1481="","",(I1481-G1481)/G1481)</f>
        <v/>
      </c>
      <c r="M1481" s="26">
        <f>IF(J1481="","",(J1481-G1481)/G1481)</f>
        <v/>
      </c>
      <c r="N1481" s="27">
        <f>IF(H1481="","",IF(D1481="HOLD",IF(ABS(K1481)&lt;0.03,"YES","NO"),IF(D1481="BUY",IF(K1481&gt;0,"YES","NO"),IF(D1481="SELL",IF(K1481&lt;0,"YES","NO"),""))))</f>
        <v/>
      </c>
    </row>
    <row r="1482" ht="15" customHeight="1">
      <c r="K1482" s="26">
        <f>IF(H1482="","",(H1482-G1482)/G1482)</f>
        <v/>
      </c>
      <c r="L1482" s="26">
        <f>IF(I1482="","",(I1482-G1482)/G1482)</f>
        <v/>
      </c>
      <c r="M1482" s="26">
        <f>IF(J1482="","",(J1482-G1482)/G1482)</f>
        <v/>
      </c>
      <c r="N1482" s="27">
        <f>IF(H1482="","",IF(D1482="HOLD",IF(ABS(K1482)&lt;0.03,"YES","NO"),IF(D1482="BUY",IF(K1482&gt;0,"YES","NO"),IF(D1482="SELL",IF(K1482&lt;0,"YES","NO"),""))))</f>
        <v/>
      </c>
    </row>
    <row r="1483" ht="15" customHeight="1">
      <c r="K1483" s="26">
        <f>IF(H1483="","",(H1483-G1483)/G1483)</f>
        <v/>
      </c>
      <c r="L1483" s="26">
        <f>IF(I1483="","",(I1483-G1483)/G1483)</f>
        <v/>
      </c>
      <c r="M1483" s="26">
        <f>IF(J1483="","",(J1483-G1483)/G1483)</f>
        <v/>
      </c>
      <c r="N1483" s="27">
        <f>IF(H1483="","",IF(D1483="HOLD",IF(ABS(K1483)&lt;0.03,"YES","NO"),IF(D1483="BUY",IF(K1483&gt;0,"YES","NO"),IF(D1483="SELL",IF(K1483&lt;0,"YES","NO"),""))))</f>
        <v/>
      </c>
    </row>
    <row r="1484" ht="15" customHeight="1">
      <c r="K1484" s="26">
        <f>IF(H1484="","",(H1484-G1484)/G1484)</f>
        <v/>
      </c>
      <c r="L1484" s="26">
        <f>IF(I1484="","",(I1484-G1484)/G1484)</f>
        <v/>
      </c>
      <c r="M1484" s="26">
        <f>IF(J1484="","",(J1484-G1484)/G1484)</f>
        <v/>
      </c>
      <c r="N1484" s="27">
        <f>IF(H1484="","",IF(D1484="HOLD",IF(ABS(K1484)&lt;0.03,"YES","NO"),IF(D1484="BUY",IF(K1484&gt;0,"YES","NO"),IF(D1484="SELL",IF(K1484&lt;0,"YES","NO"),""))))</f>
        <v/>
      </c>
    </row>
    <row r="1485" ht="15" customHeight="1">
      <c r="K1485" s="26">
        <f>IF(H1485="","",(H1485-G1485)/G1485)</f>
        <v/>
      </c>
      <c r="L1485" s="26">
        <f>IF(I1485="","",(I1485-G1485)/G1485)</f>
        <v/>
      </c>
      <c r="M1485" s="26">
        <f>IF(J1485="","",(J1485-G1485)/G1485)</f>
        <v/>
      </c>
      <c r="N1485" s="27">
        <f>IF(H1485="","",IF(D1485="HOLD",IF(ABS(K1485)&lt;0.03,"YES","NO"),IF(D1485="BUY",IF(K1485&gt;0,"YES","NO"),IF(D1485="SELL",IF(K1485&lt;0,"YES","NO"),""))))</f>
        <v/>
      </c>
    </row>
    <row r="1486" ht="15" customHeight="1">
      <c r="K1486" s="26">
        <f>IF(H1486="","",(H1486-G1486)/G1486)</f>
        <v/>
      </c>
      <c r="L1486" s="26">
        <f>IF(I1486="","",(I1486-G1486)/G1486)</f>
        <v/>
      </c>
      <c r="M1486" s="26">
        <f>IF(J1486="","",(J1486-G1486)/G1486)</f>
        <v/>
      </c>
      <c r="N1486" s="27">
        <f>IF(H1486="","",IF(D1486="HOLD",IF(ABS(K1486)&lt;0.03,"YES","NO"),IF(D1486="BUY",IF(K1486&gt;0,"YES","NO"),IF(D1486="SELL",IF(K1486&lt;0,"YES","NO"),""))))</f>
        <v/>
      </c>
    </row>
    <row r="1487" ht="15" customHeight="1">
      <c r="K1487" s="26">
        <f>IF(H1487="","",(H1487-G1487)/G1487)</f>
        <v/>
      </c>
      <c r="L1487" s="26">
        <f>IF(I1487="","",(I1487-G1487)/G1487)</f>
        <v/>
      </c>
      <c r="M1487" s="26">
        <f>IF(J1487="","",(J1487-G1487)/G1487)</f>
        <v/>
      </c>
      <c r="N1487" s="27">
        <f>IF(H1487="","",IF(D1487="HOLD",IF(ABS(K1487)&lt;0.03,"YES","NO"),IF(D1487="BUY",IF(K1487&gt;0,"YES","NO"),IF(D1487="SELL",IF(K1487&lt;0,"YES","NO"),""))))</f>
        <v/>
      </c>
    </row>
    <row r="1488" ht="15" customHeight="1">
      <c r="K1488" s="26">
        <f>IF(H1488="","",(H1488-G1488)/G1488)</f>
        <v/>
      </c>
      <c r="L1488" s="26">
        <f>IF(I1488="","",(I1488-G1488)/G1488)</f>
        <v/>
      </c>
      <c r="M1488" s="26">
        <f>IF(J1488="","",(J1488-G1488)/G1488)</f>
        <v/>
      </c>
      <c r="N1488" s="27">
        <f>IF(H1488="","",IF(D1488="HOLD",IF(ABS(K1488)&lt;0.03,"YES","NO"),IF(D1488="BUY",IF(K1488&gt;0,"YES","NO"),IF(D1488="SELL",IF(K1488&lt;0,"YES","NO"),""))))</f>
        <v/>
      </c>
    </row>
    <row r="1489" ht="15" customHeight="1">
      <c r="K1489" s="26">
        <f>IF(H1489="","",(H1489-G1489)/G1489)</f>
        <v/>
      </c>
      <c r="L1489" s="26">
        <f>IF(I1489="","",(I1489-G1489)/G1489)</f>
        <v/>
      </c>
      <c r="M1489" s="26">
        <f>IF(J1489="","",(J1489-G1489)/G1489)</f>
        <v/>
      </c>
      <c r="N1489" s="27">
        <f>IF(H1489="","",IF(D1489="HOLD",IF(ABS(K1489)&lt;0.03,"YES","NO"),IF(D1489="BUY",IF(K1489&gt;0,"YES","NO"),IF(D1489="SELL",IF(K1489&lt;0,"YES","NO"),""))))</f>
        <v/>
      </c>
    </row>
    <row r="1490" ht="15" customHeight="1">
      <c r="K1490" s="26">
        <f>IF(H1490="","",(H1490-G1490)/G1490)</f>
        <v/>
      </c>
      <c r="L1490" s="26">
        <f>IF(I1490="","",(I1490-G1490)/G1490)</f>
        <v/>
      </c>
      <c r="M1490" s="26">
        <f>IF(J1490="","",(J1490-G1490)/G1490)</f>
        <v/>
      </c>
      <c r="N1490" s="27">
        <f>IF(H1490="","",IF(D1490="HOLD",IF(ABS(K1490)&lt;0.03,"YES","NO"),IF(D1490="BUY",IF(K1490&gt;0,"YES","NO"),IF(D1490="SELL",IF(K1490&lt;0,"YES","NO"),""))))</f>
        <v/>
      </c>
    </row>
    <row r="1491" ht="15" customHeight="1">
      <c r="K1491" s="26">
        <f>IF(H1491="","",(H1491-G1491)/G1491)</f>
        <v/>
      </c>
      <c r="L1491" s="26">
        <f>IF(I1491="","",(I1491-G1491)/G1491)</f>
        <v/>
      </c>
      <c r="M1491" s="26">
        <f>IF(J1491="","",(J1491-G1491)/G1491)</f>
        <v/>
      </c>
      <c r="N1491" s="27">
        <f>IF(H1491="","",IF(D1491="HOLD",IF(ABS(K1491)&lt;0.03,"YES","NO"),IF(D1491="BUY",IF(K1491&gt;0,"YES","NO"),IF(D1491="SELL",IF(K1491&lt;0,"YES","NO"),""))))</f>
        <v/>
      </c>
    </row>
    <row r="1492" ht="15" customHeight="1">
      <c r="K1492" s="26">
        <f>IF(H1492="","",(H1492-G1492)/G1492)</f>
        <v/>
      </c>
      <c r="L1492" s="26">
        <f>IF(I1492="","",(I1492-G1492)/G1492)</f>
        <v/>
      </c>
      <c r="M1492" s="26">
        <f>IF(J1492="","",(J1492-G1492)/G1492)</f>
        <v/>
      </c>
      <c r="N1492" s="27">
        <f>IF(H1492="","",IF(D1492="HOLD",IF(ABS(K1492)&lt;0.03,"YES","NO"),IF(D1492="BUY",IF(K1492&gt;0,"YES","NO"),IF(D1492="SELL",IF(K1492&lt;0,"YES","NO"),""))))</f>
        <v/>
      </c>
    </row>
    <row r="1493" ht="15" customHeight="1">
      <c r="K1493" s="26">
        <f>IF(H1493="","",(H1493-G1493)/G1493)</f>
        <v/>
      </c>
      <c r="L1493" s="26">
        <f>IF(I1493="","",(I1493-G1493)/G1493)</f>
        <v/>
      </c>
      <c r="M1493" s="26">
        <f>IF(J1493="","",(J1493-G1493)/G1493)</f>
        <v/>
      </c>
      <c r="N1493" s="27">
        <f>IF(H1493="","",IF(D1493="HOLD",IF(ABS(K1493)&lt;0.03,"YES","NO"),IF(D1493="BUY",IF(K1493&gt;0,"YES","NO"),IF(D1493="SELL",IF(K1493&lt;0,"YES","NO"),""))))</f>
        <v/>
      </c>
    </row>
    <row r="1494" ht="15" customHeight="1">
      <c r="K1494" s="26">
        <f>IF(H1494="","",(H1494-G1494)/G1494)</f>
        <v/>
      </c>
      <c r="L1494" s="26">
        <f>IF(I1494="","",(I1494-G1494)/G1494)</f>
        <v/>
      </c>
      <c r="M1494" s="26">
        <f>IF(J1494="","",(J1494-G1494)/G1494)</f>
        <v/>
      </c>
      <c r="N1494" s="27">
        <f>IF(H1494="","",IF(D1494="HOLD",IF(ABS(K1494)&lt;0.03,"YES","NO"),IF(D1494="BUY",IF(K1494&gt;0,"YES","NO"),IF(D1494="SELL",IF(K1494&lt;0,"YES","NO"),""))))</f>
        <v/>
      </c>
    </row>
    <row r="1495" ht="15" customHeight="1">
      <c r="K1495" s="26">
        <f>IF(H1495="","",(H1495-G1495)/G1495)</f>
        <v/>
      </c>
      <c r="L1495" s="26">
        <f>IF(I1495="","",(I1495-G1495)/G1495)</f>
        <v/>
      </c>
      <c r="M1495" s="26">
        <f>IF(J1495="","",(J1495-G1495)/G1495)</f>
        <v/>
      </c>
      <c r="N1495" s="27">
        <f>IF(H1495="","",IF(D1495="HOLD",IF(ABS(K1495)&lt;0.03,"YES","NO"),IF(D1495="BUY",IF(K1495&gt;0,"YES","NO"),IF(D1495="SELL",IF(K1495&lt;0,"YES","NO"),""))))</f>
        <v/>
      </c>
    </row>
    <row r="1496" ht="15" customHeight="1">
      <c r="K1496" s="26">
        <f>IF(H1496="","",(H1496-G1496)/G1496)</f>
        <v/>
      </c>
      <c r="L1496" s="26">
        <f>IF(I1496="","",(I1496-G1496)/G1496)</f>
        <v/>
      </c>
      <c r="M1496" s="26">
        <f>IF(J1496="","",(J1496-G1496)/G1496)</f>
        <v/>
      </c>
      <c r="N1496" s="27">
        <f>IF(H1496="","",IF(D1496="HOLD",IF(ABS(K1496)&lt;0.03,"YES","NO"),IF(D1496="BUY",IF(K1496&gt;0,"YES","NO"),IF(D1496="SELL",IF(K1496&lt;0,"YES","NO"),""))))</f>
        <v/>
      </c>
    </row>
    <row r="1497" ht="15" customHeight="1">
      <c r="K1497" s="26">
        <f>IF(H1497="","",(H1497-G1497)/G1497)</f>
        <v/>
      </c>
      <c r="L1497" s="26">
        <f>IF(I1497="","",(I1497-G1497)/G1497)</f>
        <v/>
      </c>
      <c r="M1497" s="26">
        <f>IF(J1497="","",(J1497-G1497)/G1497)</f>
        <v/>
      </c>
      <c r="N1497" s="27">
        <f>IF(H1497="","",IF(D1497="HOLD",IF(ABS(K1497)&lt;0.03,"YES","NO"),IF(D1497="BUY",IF(K1497&gt;0,"YES","NO"),IF(D1497="SELL",IF(K1497&lt;0,"YES","NO"),""))))</f>
        <v/>
      </c>
    </row>
    <row r="1498" ht="15" customHeight="1">
      <c r="K1498" s="26">
        <f>IF(H1498="","",(H1498-G1498)/G1498)</f>
        <v/>
      </c>
      <c r="L1498" s="26">
        <f>IF(I1498="","",(I1498-G1498)/G1498)</f>
        <v/>
      </c>
      <c r="M1498" s="26">
        <f>IF(J1498="","",(J1498-G1498)/G1498)</f>
        <v/>
      </c>
      <c r="N1498" s="27">
        <f>IF(H1498="","",IF(D1498="HOLD",IF(ABS(K1498)&lt;0.03,"YES","NO"),IF(D1498="BUY",IF(K1498&gt;0,"YES","NO"),IF(D1498="SELL",IF(K1498&lt;0,"YES","NO"),""))))</f>
        <v/>
      </c>
    </row>
    <row r="1499" ht="15" customHeight="1">
      <c r="K1499" s="26">
        <f>IF(H1499="","",(H1499-G1499)/G1499)</f>
        <v/>
      </c>
      <c r="L1499" s="26">
        <f>IF(I1499="","",(I1499-G1499)/G1499)</f>
        <v/>
      </c>
      <c r="M1499" s="26">
        <f>IF(J1499="","",(J1499-G1499)/G1499)</f>
        <v/>
      </c>
      <c r="N1499" s="27">
        <f>IF(H1499="","",IF(D1499="HOLD",IF(ABS(K1499)&lt;0.03,"YES","NO"),IF(D1499="BUY",IF(K1499&gt;0,"YES","NO"),IF(D1499="SELL",IF(K1499&lt;0,"YES","NO"),""))))</f>
        <v/>
      </c>
    </row>
    <row r="1500" ht="15" customHeight="1">
      <c r="K1500" s="26">
        <f>IF(H1500="","",(H1500-G1500)/G1500)</f>
        <v/>
      </c>
      <c r="L1500" s="26">
        <f>IF(I1500="","",(I1500-G1500)/G1500)</f>
        <v/>
      </c>
      <c r="M1500" s="26">
        <f>IF(J1500="","",(J1500-G1500)/G1500)</f>
        <v/>
      </c>
      <c r="N1500" s="27">
        <f>IF(H1500="","",IF(D1500="HOLD",IF(ABS(K1500)&lt;0.03,"YES","NO"),IF(D1500="BUY",IF(K1500&gt;0,"YES","NO"),IF(D1500="SELL",IF(K1500&lt;0,"YES","NO"),""))))</f>
        <v/>
      </c>
    </row>
    <row r="1501" ht="15" customHeight="1">
      <c r="K1501" s="26">
        <f>IF(H1501="","",(H1501-G1501)/G1501)</f>
        <v/>
      </c>
      <c r="L1501" s="26">
        <f>IF(I1501="","",(I1501-G1501)/G1501)</f>
        <v/>
      </c>
      <c r="M1501" s="26">
        <f>IF(J1501="","",(J1501-G1501)/G1501)</f>
        <v/>
      </c>
      <c r="N1501" s="27">
        <f>IF(H1501="","",IF(D1501="HOLD",IF(ABS(K1501)&lt;0.03,"YES","NO"),IF(D1501="BUY",IF(K1501&gt;0,"YES","NO"),IF(D1501="SELL",IF(K1501&lt;0,"YES","NO"),""))))</f>
        <v/>
      </c>
    </row>
    <row r="1502" ht="15" customHeight="1">
      <c r="K1502" s="26">
        <f>IF(H1502="","",(H1502-G1502)/G1502)</f>
        <v/>
      </c>
      <c r="L1502" s="26">
        <f>IF(I1502="","",(I1502-G1502)/G1502)</f>
        <v/>
      </c>
      <c r="M1502" s="26">
        <f>IF(J1502="","",(J1502-G1502)/G1502)</f>
        <v/>
      </c>
      <c r="N1502" s="27">
        <f>IF(H1502="","",IF(D1502="HOLD",IF(ABS(K1502)&lt;0.03,"YES","NO"),IF(D1502="BUY",IF(K1502&gt;0,"YES","NO"),IF(D1502="SELL",IF(K1502&lt;0,"YES","NO"),""))))</f>
        <v/>
      </c>
    </row>
    <row r="1503" ht="15" customHeight="1">
      <c r="K1503" s="26">
        <f>IF(H1503="","",(H1503-G1503)/G1503)</f>
        <v/>
      </c>
      <c r="L1503" s="26">
        <f>IF(I1503="","",(I1503-G1503)/G1503)</f>
        <v/>
      </c>
      <c r="M1503" s="26">
        <f>IF(J1503="","",(J1503-G1503)/G1503)</f>
        <v/>
      </c>
      <c r="N1503" s="27">
        <f>IF(H1503="","",IF(D1503="HOLD",IF(ABS(K1503)&lt;0.03,"YES","NO"),IF(D1503="BUY",IF(K1503&gt;0,"YES","NO"),IF(D1503="SELL",IF(K1503&lt;0,"YES","NO"),""))))</f>
        <v/>
      </c>
    </row>
    <row r="1504" ht="15" customHeight="1">
      <c r="K1504" s="26">
        <f>IF(H1504="","",(H1504-G1504)/G1504)</f>
        <v/>
      </c>
      <c r="L1504" s="26">
        <f>IF(I1504="","",(I1504-G1504)/G1504)</f>
        <v/>
      </c>
      <c r="M1504" s="26">
        <f>IF(J1504="","",(J1504-G1504)/G1504)</f>
        <v/>
      </c>
      <c r="N1504" s="27">
        <f>IF(H1504="","",IF(D1504="HOLD",IF(ABS(K1504)&lt;0.03,"YES","NO"),IF(D1504="BUY",IF(K1504&gt;0,"YES","NO"),IF(D1504="SELL",IF(K1504&lt;0,"YES","NO"),""))))</f>
        <v/>
      </c>
    </row>
    <row r="1505" ht="15" customHeight="1">
      <c r="K1505" s="26">
        <f>IF(H1505="","",(H1505-G1505)/G1505)</f>
        <v/>
      </c>
      <c r="L1505" s="26">
        <f>IF(I1505="","",(I1505-G1505)/G1505)</f>
        <v/>
      </c>
      <c r="M1505" s="26">
        <f>IF(J1505="","",(J1505-G1505)/G1505)</f>
        <v/>
      </c>
      <c r="N1505" s="27">
        <f>IF(H1505="","",IF(D1505="HOLD",IF(ABS(K1505)&lt;0.03,"YES","NO"),IF(D1505="BUY",IF(K1505&gt;0,"YES","NO"),IF(D1505="SELL",IF(K1505&lt;0,"YES","NO"),""))))</f>
        <v/>
      </c>
    </row>
    <row r="1506" ht="15" customHeight="1">
      <c r="K1506" s="26">
        <f>IF(H1506="","",(H1506-G1506)/G1506)</f>
        <v/>
      </c>
      <c r="L1506" s="26">
        <f>IF(I1506="","",(I1506-G1506)/G1506)</f>
        <v/>
      </c>
      <c r="M1506" s="26">
        <f>IF(J1506="","",(J1506-G1506)/G1506)</f>
        <v/>
      </c>
      <c r="N1506" s="27">
        <f>IF(H1506="","",IF(D1506="HOLD",IF(ABS(K1506)&lt;0.03,"YES","NO"),IF(D1506="BUY",IF(K1506&gt;0,"YES","NO"),IF(D1506="SELL",IF(K1506&lt;0,"YES","NO"),""))))</f>
        <v/>
      </c>
    </row>
    <row r="1507" ht="15" customHeight="1">
      <c r="K1507" s="26">
        <f>IF(H1507="","",(H1507-G1507)/G1507)</f>
        <v/>
      </c>
      <c r="L1507" s="26">
        <f>IF(I1507="","",(I1507-G1507)/G1507)</f>
        <v/>
      </c>
      <c r="M1507" s="26">
        <f>IF(J1507="","",(J1507-G1507)/G1507)</f>
        <v/>
      </c>
      <c r="N1507" s="27">
        <f>IF(H1507="","",IF(D1507="HOLD",IF(ABS(K1507)&lt;0.03,"YES","NO"),IF(D1507="BUY",IF(K1507&gt;0,"YES","NO"),IF(D1507="SELL",IF(K1507&lt;0,"YES","NO"),""))))</f>
        <v/>
      </c>
    </row>
    <row r="1508" ht="15" customHeight="1">
      <c r="K1508" s="26">
        <f>IF(H1508="","",(H1508-G1508)/G1508)</f>
        <v/>
      </c>
      <c r="L1508" s="26">
        <f>IF(I1508="","",(I1508-G1508)/G1508)</f>
        <v/>
      </c>
      <c r="M1508" s="26">
        <f>IF(J1508="","",(J1508-G1508)/G1508)</f>
        <v/>
      </c>
      <c r="N1508" s="27">
        <f>IF(H1508="","",IF(D1508="HOLD",IF(ABS(K1508)&lt;0.03,"YES","NO"),IF(D1508="BUY",IF(K1508&gt;0,"YES","NO"),IF(D1508="SELL",IF(K1508&lt;0,"YES","NO"),""))))</f>
        <v/>
      </c>
    </row>
    <row r="1509" ht="15" customHeight="1">
      <c r="K1509" s="26">
        <f>IF(H1509="","",(H1509-G1509)/G1509)</f>
        <v/>
      </c>
      <c r="L1509" s="26">
        <f>IF(I1509="","",(I1509-G1509)/G1509)</f>
        <v/>
      </c>
      <c r="M1509" s="26">
        <f>IF(J1509="","",(J1509-G1509)/G1509)</f>
        <v/>
      </c>
      <c r="N1509" s="27">
        <f>IF(H1509="","",IF(D1509="HOLD",IF(ABS(K1509)&lt;0.03,"YES","NO"),IF(D1509="BUY",IF(K1509&gt;0,"YES","NO"),IF(D1509="SELL",IF(K1509&lt;0,"YES","NO"),""))))</f>
        <v/>
      </c>
    </row>
    <row r="1510" ht="15" customHeight="1">
      <c r="K1510" s="26">
        <f>IF(H1510="","",(H1510-G1510)/G1510)</f>
        <v/>
      </c>
      <c r="L1510" s="26">
        <f>IF(I1510="","",(I1510-G1510)/G1510)</f>
        <v/>
      </c>
      <c r="M1510" s="26">
        <f>IF(J1510="","",(J1510-G1510)/G1510)</f>
        <v/>
      </c>
      <c r="N1510" s="27">
        <f>IF(H1510="","",IF(D1510="HOLD",IF(ABS(K1510)&lt;0.03,"YES","NO"),IF(D1510="BUY",IF(K1510&gt;0,"YES","NO"),IF(D1510="SELL",IF(K1510&lt;0,"YES","NO"),""))))</f>
        <v/>
      </c>
    </row>
    <row r="1511" ht="15" customHeight="1">
      <c r="K1511" s="26">
        <f>IF(H1511="","",(H1511-G1511)/G1511)</f>
        <v/>
      </c>
      <c r="L1511" s="26">
        <f>IF(I1511="","",(I1511-G1511)/G1511)</f>
        <v/>
      </c>
      <c r="M1511" s="26">
        <f>IF(J1511="","",(J1511-G1511)/G1511)</f>
        <v/>
      </c>
      <c r="N1511" s="27">
        <f>IF(H1511="","",IF(D1511="HOLD",IF(ABS(K1511)&lt;0.03,"YES","NO"),IF(D1511="BUY",IF(K1511&gt;0,"YES","NO"),IF(D1511="SELL",IF(K1511&lt;0,"YES","NO"),""))))</f>
        <v/>
      </c>
    </row>
    <row r="1512" ht="15" customHeight="1">
      <c r="K1512" s="26">
        <f>IF(H1512="","",(H1512-G1512)/G1512)</f>
        <v/>
      </c>
      <c r="L1512" s="26">
        <f>IF(I1512="","",(I1512-G1512)/G1512)</f>
        <v/>
      </c>
      <c r="M1512" s="26">
        <f>IF(J1512="","",(J1512-G1512)/G1512)</f>
        <v/>
      </c>
      <c r="N1512" s="27">
        <f>IF(H1512="","",IF(D1512="HOLD",IF(ABS(K1512)&lt;0.03,"YES","NO"),IF(D1512="BUY",IF(K1512&gt;0,"YES","NO"),IF(D1512="SELL",IF(K1512&lt;0,"YES","NO"),""))))</f>
        <v/>
      </c>
    </row>
    <row r="1513" ht="15" customHeight="1">
      <c r="K1513" s="26">
        <f>IF(H1513="","",(H1513-G1513)/G1513)</f>
        <v/>
      </c>
      <c r="L1513" s="26">
        <f>IF(I1513="","",(I1513-G1513)/G1513)</f>
        <v/>
      </c>
      <c r="M1513" s="26">
        <f>IF(J1513="","",(J1513-G1513)/G1513)</f>
        <v/>
      </c>
      <c r="N1513" s="27">
        <f>IF(H1513="","",IF(D1513="HOLD",IF(ABS(K1513)&lt;0.03,"YES","NO"),IF(D1513="BUY",IF(K1513&gt;0,"YES","NO"),IF(D1513="SELL",IF(K1513&lt;0,"YES","NO"),""))))</f>
        <v/>
      </c>
    </row>
    <row r="1514" ht="15" customHeight="1">
      <c r="K1514" s="26">
        <f>IF(H1514="","",(H1514-G1514)/G1514)</f>
        <v/>
      </c>
      <c r="L1514" s="26">
        <f>IF(I1514="","",(I1514-G1514)/G1514)</f>
        <v/>
      </c>
      <c r="M1514" s="26">
        <f>IF(J1514="","",(J1514-G1514)/G1514)</f>
        <v/>
      </c>
      <c r="N1514" s="27">
        <f>IF(H1514="","",IF(D1514="HOLD",IF(ABS(K1514)&lt;0.03,"YES","NO"),IF(D1514="BUY",IF(K1514&gt;0,"YES","NO"),IF(D1514="SELL",IF(K1514&lt;0,"YES","NO"),""))))</f>
        <v/>
      </c>
    </row>
    <row r="1515" ht="15" customHeight="1">
      <c r="K1515" s="26">
        <f>IF(H1515="","",(H1515-G1515)/G1515)</f>
        <v/>
      </c>
      <c r="L1515" s="26">
        <f>IF(I1515="","",(I1515-G1515)/G1515)</f>
        <v/>
      </c>
      <c r="M1515" s="26">
        <f>IF(J1515="","",(J1515-G1515)/G1515)</f>
        <v/>
      </c>
      <c r="N1515" s="27">
        <f>IF(H1515="","",IF(D1515="HOLD",IF(ABS(K1515)&lt;0.03,"YES","NO"),IF(D1515="BUY",IF(K1515&gt;0,"YES","NO"),IF(D1515="SELL",IF(K1515&lt;0,"YES","NO"),""))))</f>
        <v/>
      </c>
    </row>
    <row r="1516" ht="15" customHeight="1">
      <c r="K1516" s="26">
        <f>IF(H1516="","",(H1516-G1516)/G1516)</f>
        <v/>
      </c>
      <c r="L1516" s="26">
        <f>IF(I1516="","",(I1516-G1516)/G1516)</f>
        <v/>
      </c>
      <c r="M1516" s="26">
        <f>IF(J1516="","",(J1516-G1516)/G1516)</f>
        <v/>
      </c>
      <c r="N1516" s="27">
        <f>IF(H1516="","",IF(D1516="HOLD",IF(ABS(K1516)&lt;0.03,"YES","NO"),IF(D1516="BUY",IF(K1516&gt;0,"YES","NO"),IF(D1516="SELL",IF(K1516&lt;0,"YES","NO"),""))))</f>
        <v/>
      </c>
    </row>
    <row r="1517" ht="15" customHeight="1">
      <c r="K1517" s="26">
        <f>IF(H1517="","",(H1517-G1517)/G1517)</f>
        <v/>
      </c>
      <c r="L1517" s="26">
        <f>IF(I1517="","",(I1517-G1517)/G1517)</f>
        <v/>
      </c>
      <c r="M1517" s="26">
        <f>IF(J1517="","",(J1517-G1517)/G1517)</f>
        <v/>
      </c>
      <c r="N1517" s="27">
        <f>IF(H1517="","",IF(D1517="HOLD",IF(ABS(K1517)&lt;0.03,"YES","NO"),IF(D1517="BUY",IF(K1517&gt;0,"YES","NO"),IF(D1517="SELL",IF(K1517&lt;0,"YES","NO"),""))))</f>
        <v/>
      </c>
    </row>
    <row r="1518" ht="15" customHeight="1">
      <c r="K1518" s="26">
        <f>IF(H1518="","",(H1518-G1518)/G1518)</f>
        <v/>
      </c>
      <c r="L1518" s="26">
        <f>IF(I1518="","",(I1518-G1518)/G1518)</f>
        <v/>
      </c>
      <c r="M1518" s="26">
        <f>IF(J1518="","",(J1518-G1518)/G1518)</f>
        <v/>
      </c>
      <c r="N1518" s="27">
        <f>IF(H1518="","",IF(D1518="HOLD",IF(ABS(K1518)&lt;0.03,"YES","NO"),IF(D1518="BUY",IF(K1518&gt;0,"YES","NO"),IF(D1518="SELL",IF(K1518&lt;0,"YES","NO"),""))))</f>
        <v/>
      </c>
    </row>
    <row r="1519" ht="15" customHeight="1">
      <c r="K1519" s="26">
        <f>IF(H1519="","",(H1519-G1519)/G1519)</f>
        <v/>
      </c>
      <c r="L1519" s="26">
        <f>IF(I1519="","",(I1519-G1519)/G1519)</f>
        <v/>
      </c>
      <c r="M1519" s="26">
        <f>IF(J1519="","",(J1519-G1519)/G1519)</f>
        <v/>
      </c>
      <c r="N1519" s="27">
        <f>IF(H1519="","",IF(D1519="HOLD",IF(ABS(K1519)&lt;0.03,"YES","NO"),IF(D1519="BUY",IF(K1519&gt;0,"YES","NO"),IF(D1519="SELL",IF(K1519&lt;0,"YES","NO"),""))))</f>
        <v/>
      </c>
    </row>
    <row r="1520" ht="15" customHeight="1">
      <c r="K1520" s="26">
        <f>IF(H1520="","",(H1520-G1520)/G1520)</f>
        <v/>
      </c>
      <c r="L1520" s="26">
        <f>IF(I1520="","",(I1520-G1520)/G1520)</f>
        <v/>
      </c>
      <c r="M1520" s="26">
        <f>IF(J1520="","",(J1520-G1520)/G1520)</f>
        <v/>
      </c>
      <c r="N1520" s="27">
        <f>IF(H1520="","",IF(D1520="HOLD",IF(ABS(K1520)&lt;0.03,"YES","NO"),IF(D1520="BUY",IF(K1520&gt;0,"YES","NO"),IF(D1520="SELL",IF(K1520&lt;0,"YES","NO"),""))))</f>
        <v/>
      </c>
    </row>
    <row r="1521" ht="15" customHeight="1">
      <c r="K1521" s="26">
        <f>IF(H1521="","",(H1521-G1521)/G1521)</f>
        <v/>
      </c>
      <c r="L1521" s="26">
        <f>IF(I1521="","",(I1521-G1521)/G1521)</f>
        <v/>
      </c>
      <c r="M1521" s="26">
        <f>IF(J1521="","",(J1521-G1521)/G1521)</f>
        <v/>
      </c>
      <c r="N1521" s="27">
        <f>IF(H1521="","",IF(D1521="HOLD",IF(ABS(K1521)&lt;0.03,"YES","NO"),IF(D1521="BUY",IF(K1521&gt;0,"YES","NO"),IF(D1521="SELL",IF(K1521&lt;0,"YES","NO"),""))))</f>
        <v/>
      </c>
    </row>
    <row r="1522" ht="15" customHeight="1">
      <c r="K1522" s="26">
        <f>IF(H1522="","",(H1522-G1522)/G1522)</f>
        <v/>
      </c>
      <c r="L1522" s="26">
        <f>IF(I1522="","",(I1522-G1522)/G1522)</f>
        <v/>
      </c>
      <c r="M1522" s="26">
        <f>IF(J1522="","",(J1522-G1522)/G1522)</f>
        <v/>
      </c>
      <c r="N1522" s="27">
        <f>IF(H1522="","",IF(D1522="HOLD",IF(ABS(K1522)&lt;0.03,"YES","NO"),IF(D1522="BUY",IF(K1522&gt;0,"YES","NO"),IF(D1522="SELL",IF(K1522&lt;0,"YES","NO"),""))))</f>
        <v/>
      </c>
    </row>
    <row r="1523" ht="15" customHeight="1">
      <c r="K1523" s="26">
        <f>IF(H1523="","",(H1523-G1523)/G1523)</f>
        <v/>
      </c>
      <c r="L1523" s="26">
        <f>IF(I1523="","",(I1523-G1523)/G1523)</f>
        <v/>
      </c>
      <c r="M1523" s="26">
        <f>IF(J1523="","",(J1523-G1523)/G1523)</f>
        <v/>
      </c>
      <c r="N1523" s="27">
        <f>IF(H1523="","",IF(D1523="HOLD",IF(ABS(K1523)&lt;0.03,"YES","NO"),IF(D1523="BUY",IF(K1523&gt;0,"YES","NO"),IF(D1523="SELL",IF(K1523&lt;0,"YES","NO"),""))))</f>
        <v/>
      </c>
    </row>
    <row r="1524" ht="15" customHeight="1">
      <c r="K1524" s="26">
        <f>IF(H1524="","",(H1524-G1524)/G1524)</f>
        <v/>
      </c>
      <c r="L1524" s="26">
        <f>IF(I1524="","",(I1524-G1524)/G1524)</f>
        <v/>
      </c>
      <c r="M1524" s="26">
        <f>IF(J1524="","",(J1524-G1524)/G1524)</f>
        <v/>
      </c>
      <c r="N1524" s="27">
        <f>IF(H1524="","",IF(D1524="HOLD",IF(ABS(K1524)&lt;0.03,"YES","NO"),IF(D1524="BUY",IF(K1524&gt;0,"YES","NO"),IF(D1524="SELL",IF(K1524&lt;0,"YES","NO"),""))))</f>
        <v/>
      </c>
    </row>
    <row r="1525" ht="15" customHeight="1">
      <c r="K1525" s="26">
        <f>IF(H1525="","",(H1525-G1525)/G1525)</f>
        <v/>
      </c>
      <c r="L1525" s="26">
        <f>IF(I1525="","",(I1525-G1525)/G1525)</f>
        <v/>
      </c>
      <c r="M1525" s="26">
        <f>IF(J1525="","",(J1525-G1525)/G1525)</f>
        <v/>
      </c>
      <c r="N1525" s="27">
        <f>IF(H1525="","",IF(D1525="HOLD",IF(ABS(K1525)&lt;0.03,"YES","NO"),IF(D1525="BUY",IF(K1525&gt;0,"YES","NO"),IF(D1525="SELL",IF(K1525&lt;0,"YES","NO"),""))))</f>
        <v/>
      </c>
    </row>
    <row r="1526" ht="15" customHeight="1">
      <c r="K1526" s="26">
        <f>IF(H1526="","",(H1526-G1526)/G1526)</f>
        <v/>
      </c>
      <c r="L1526" s="26">
        <f>IF(I1526="","",(I1526-G1526)/G1526)</f>
        <v/>
      </c>
      <c r="M1526" s="26">
        <f>IF(J1526="","",(J1526-G1526)/G1526)</f>
        <v/>
      </c>
      <c r="N1526" s="27">
        <f>IF(H1526="","",IF(D1526="HOLD",IF(ABS(K1526)&lt;0.03,"YES","NO"),IF(D1526="BUY",IF(K1526&gt;0,"YES","NO"),IF(D1526="SELL",IF(K1526&lt;0,"YES","NO"),""))))</f>
        <v/>
      </c>
    </row>
    <row r="1527" ht="15" customHeight="1">
      <c r="K1527" s="26">
        <f>IF(H1527="","",(H1527-G1527)/G1527)</f>
        <v/>
      </c>
      <c r="L1527" s="26">
        <f>IF(I1527="","",(I1527-G1527)/G1527)</f>
        <v/>
      </c>
      <c r="M1527" s="26">
        <f>IF(J1527="","",(J1527-G1527)/G1527)</f>
        <v/>
      </c>
      <c r="N1527" s="27">
        <f>IF(H1527="","",IF(D1527="HOLD",IF(ABS(K1527)&lt;0.03,"YES","NO"),IF(D1527="BUY",IF(K1527&gt;0,"YES","NO"),IF(D1527="SELL",IF(K1527&lt;0,"YES","NO"),""))))</f>
        <v/>
      </c>
    </row>
    <row r="1528" ht="15" customHeight="1">
      <c r="K1528" s="26">
        <f>IF(H1528="","",(H1528-G1528)/G1528)</f>
        <v/>
      </c>
      <c r="L1528" s="26">
        <f>IF(I1528="","",(I1528-G1528)/G1528)</f>
        <v/>
      </c>
      <c r="M1528" s="26">
        <f>IF(J1528="","",(J1528-G1528)/G1528)</f>
        <v/>
      </c>
      <c r="N1528" s="27">
        <f>IF(H1528="","",IF(D1528="HOLD",IF(ABS(K1528)&lt;0.03,"YES","NO"),IF(D1528="BUY",IF(K1528&gt;0,"YES","NO"),IF(D1528="SELL",IF(K1528&lt;0,"YES","NO"),""))))</f>
        <v/>
      </c>
    </row>
    <row r="1529" ht="15" customHeight="1">
      <c r="K1529" s="26">
        <f>IF(H1529="","",(H1529-G1529)/G1529)</f>
        <v/>
      </c>
      <c r="L1529" s="26">
        <f>IF(I1529="","",(I1529-G1529)/G1529)</f>
        <v/>
      </c>
      <c r="M1529" s="26">
        <f>IF(J1529="","",(J1529-G1529)/G1529)</f>
        <v/>
      </c>
      <c r="N1529" s="27">
        <f>IF(H1529="","",IF(D1529="HOLD",IF(ABS(K1529)&lt;0.03,"YES","NO"),IF(D1529="BUY",IF(K1529&gt;0,"YES","NO"),IF(D1529="SELL",IF(K1529&lt;0,"YES","NO"),""))))</f>
        <v/>
      </c>
    </row>
    <row r="1530" ht="15" customHeight="1">
      <c r="K1530" s="26">
        <f>IF(H1530="","",(H1530-G1530)/G1530)</f>
        <v/>
      </c>
      <c r="L1530" s="26">
        <f>IF(I1530="","",(I1530-G1530)/G1530)</f>
        <v/>
      </c>
      <c r="M1530" s="26">
        <f>IF(J1530="","",(J1530-G1530)/G1530)</f>
        <v/>
      </c>
      <c r="N1530" s="27">
        <f>IF(H1530="","",IF(D1530="HOLD",IF(ABS(K1530)&lt;0.03,"YES","NO"),IF(D1530="BUY",IF(K1530&gt;0,"YES","NO"),IF(D1530="SELL",IF(K1530&lt;0,"YES","NO"),""))))</f>
        <v/>
      </c>
    </row>
    <row r="1531" ht="15" customHeight="1">
      <c r="K1531" s="26">
        <f>IF(H1531="","",(H1531-G1531)/G1531)</f>
        <v/>
      </c>
      <c r="L1531" s="26">
        <f>IF(I1531="","",(I1531-G1531)/G1531)</f>
        <v/>
      </c>
      <c r="M1531" s="26">
        <f>IF(J1531="","",(J1531-G1531)/G1531)</f>
        <v/>
      </c>
      <c r="N1531" s="27">
        <f>IF(H1531="","",IF(D1531="HOLD",IF(ABS(K1531)&lt;0.03,"YES","NO"),IF(D1531="BUY",IF(K1531&gt;0,"YES","NO"),IF(D1531="SELL",IF(K1531&lt;0,"YES","NO"),""))))</f>
        <v/>
      </c>
    </row>
    <row r="1532" ht="15" customHeight="1">
      <c r="K1532" s="26">
        <f>IF(H1532="","",(H1532-G1532)/G1532)</f>
        <v/>
      </c>
      <c r="L1532" s="26">
        <f>IF(I1532="","",(I1532-G1532)/G1532)</f>
        <v/>
      </c>
      <c r="M1532" s="26">
        <f>IF(J1532="","",(J1532-G1532)/G1532)</f>
        <v/>
      </c>
      <c r="N1532" s="27">
        <f>IF(H1532="","",IF(D1532="HOLD",IF(ABS(K1532)&lt;0.03,"YES","NO"),IF(D1532="BUY",IF(K1532&gt;0,"YES","NO"),IF(D1532="SELL",IF(K1532&lt;0,"YES","NO"),""))))</f>
        <v/>
      </c>
    </row>
    <row r="1533" ht="15" customHeight="1">
      <c r="K1533" s="26">
        <f>IF(H1533="","",(H1533-G1533)/G1533)</f>
        <v/>
      </c>
      <c r="L1533" s="26">
        <f>IF(I1533="","",(I1533-G1533)/G1533)</f>
        <v/>
      </c>
      <c r="M1533" s="26">
        <f>IF(J1533="","",(J1533-G1533)/G1533)</f>
        <v/>
      </c>
      <c r="N1533" s="27">
        <f>IF(H1533="","",IF(D1533="HOLD",IF(ABS(K1533)&lt;0.03,"YES","NO"),IF(D1533="BUY",IF(K1533&gt;0,"YES","NO"),IF(D1533="SELL",IF(K1533&lt;0,"YES","NO"),""))))</f>
        <v/>
      </c>
    </row>
    <row r="1534" ht="15" customHeight="1">
      <c r="K1534" s="26">
        <f>IF(H1534="","",(H1534-G1534)/G1534)</f>
        <v/>
      </c>
      <c r="L1534" s="26">
        <f>IF(I1534="","",(I1534-G1534)/G1534)</f>
        <v/>
      </c>
      <c r="M1534" s="26">
        <f>IF(J1534="","",(J1534-G1534)/G1534)</f>
        <v/>
      </c>
      <c r="N1534" s="27">
        <f>IF(H1534="","",IF(D1534="HOLD",IF(ABS(K1534)&lt;0.03,"YES","NO"),IF(D1534="BUY",IF(K1534&gt;0,"YES","NO"),IF(D1534="SELL",IF(K1534&lt;0,"YES","NO"),""))))</f>
        <v/>
      </c>
    </row>
    <row r="1535" ht="15" customHeight="1">
      <c r="K1535" s="26">
        <f>IF(H1535="","",(H1535-G1535)/G1535)</f>
        <v/>
      </c>
      <c r="L1535" s="26">
        <f>IF(I1535="","",(I1535-G1535)/G1535)</f>
        <v/>
      </c>
      <c r="M1535" s="26">
        <f>IF(J1535="","",(J1535-G1535)/G1535)</f>
        <v/>
      </c>
      <c r="N1535" s="27">
        <f>IF(H1535="","",IF(D1535="HOLD",IF(ABS(K1535)&lt;0.03,"YES","NO"),IF(D1535="BUY",IF(K1535&gt;0,"YES","NO"),IF(D1535="SELL",IF(K1535&lt;0,"YES","NO"),""))))</f>
        <v/>
      </c>
    </row>
    <row r="1536" ht="15" customHeight="1">
      <c r="K1536" s="26">
        <f>IF(H1536="","",(H1536-G1536)/G1536)</f>
        <v/>
      </c>
      <c r="L1536" s="26">
        <f>IF(I1536="","",(I1536-G1536)/G1536)</f>
        <v/>
      </c>
      <c r="M1536" s="26">
        <f>IF(J1536="","",(J1536-G1536)/G1536)</f>
        <v/>
      </c>
      <c r="N1536" s="27">
        <f>IF(H1536="","",IF(D1536="HOLD",IF(ABS(K1536)&lt;0.03,"YES","NO"),IF(D1536="BUY",IF(K1536&gt;0,"YES","NO"),IF(D1536="SELL",IF(K1536&lt;0,"YES","NO"),""))))</f>
        <v/>
      </c>
    </row>
    <row r="1537" ht="15" customHeight="1">
      <c r="K1537" s="26">
        <f>IF(H1537="","",(H1537-G1537)/G1537)</f>
        <v/>
      </c>
      <c r="L1537" s="26">
        <f>IF(I1537="","",(I1537-G1537)/G1537)</f>
        <v/>
      </c>
      <c r="M1537" s="26">
        <f>IF(J1537="","",(J1537-G1537)/G1537)</f>
        <v/>
      </c>
      <c r="N1537" s="27">
        <f>IF(H1537="","",IF(D1537="HOLD",IF(ABS(K1537)&lt;0.03,"YES","NO"),IF(D1537="BUY",IF(K1537&gt;0,"YES","NO"),IF(D1537="SELL",IF(K1537&lt;0,"YES","NO"),""))))</f>
        <v/>
      </c>
    </row>
    <row r="1538" ht="15" customHeight="1">
      <c r="K1538" s="26">
        <f>IF(H1538="","",(H1538-G1538)/G1538)</f>
        <v/>
      </c>
      <c r="L1538" s="26">
        <f>IF(I1538="","",(I1538-G1538)/G1538)</f>
        <v/>
      </c>
      <c r="M1538" s="26">
        <f>IF(J1538="","",(J1538-G1538)/G1538)</f>
        <v/>
      </c>
      <c r="N1538" s="27">
        <f>IF(H1538="","",IF(D1538="HOLD",IF(ABS(K1538)&lt;0.03,"YES","NO"),IF(D1538="BUY",IF(K1538&gt;0,"YES","NO"),IF(D1538="SELL",IF(K1538&lt;0,"YES","NO"),""))))</f>
        <v/>
      </c>
    </row>
    <row r="1539" ht="15" customHeight="1">
      <c r="K1539" s="26">
        <f>IF(H1539="","",(H1539-G1539)/G1539)</f>
        <v/>
      </c>
      <c r="L1539" s="26">
        <f>IF(I1539="","",(I1539-G1539)/G1539)</f>
        <v/>
      </c>
      <c r="M1539" s="26">
        <f>IF(J1539="","",(J1539-G1539)/G1539)</f>
        <v/>
      </c>
      <c r="N1539" s="27">
        <f>IF(H1539="","",IF(D1539="HOLD",IF(ABS(K1539)&lt;0.03,"YES","NO"),IF(D1539="BUY",IF(K1539&gt;0,"YES","NO"),IF(D1539="SELL",IF(K1539&lt;0,"YES","NO"),""))))</f>
        <v/>
      </c>
    </row>
    <row r="1540" ht="15" customHeight="1">
      <c r="K1540" s="26">
        <f>IF(H1540="","",(H1540-G1540)/G1540)</f>
        <v/>
      </c>
      <c r="L1540" s="26">
        <f>IF(I1540="","",(I1540-G1540)/G1540)</f>
        <v/>
      </c>
      <c r="M1540" s="26">
        <f>IF(J1540="","",(J1540-G1540)/G1540)</f>
        <v/>
      </c>
      <c r="N1540" s="27">
        <f>IF(H1540="","",IF(D1540="HOLD",IF(ABS(K1540)&lt;0.03,"YES","NO"),IF(D1540="BUY",IF(K1540&gt;0,"YES","NO"),IF(D1540="SELL",IF(K1540&lt;0,"YES","NO"),""))))</f>
        <v/>
      </c>
    </row>
    <row r="1541" ht="15" customHeight="1">
      <c r="K1541" s="26">
        <f>IF(H1541="","",(H1541-G1541)/G1541)</f>
        <v/>
      </c>
      <c r="L1541" s="26">
        <f>IF(I1541="","",(I1541-G1541)/G1541)</f>
        <v/>
      </c>
      <c r="M1541" s="26">
        <f>IF(J1541="","",(J1541-G1541)/G1541)</f>
        <v/>
      </c>
      <c r="N1541" s="27">
        <f>IF(H1541="","",IF(D1541="HOLD",IF(ABS(K1541)&lt;0.03,"YES","NO"),IF(D1541="BUY",IF(K1541&gt;0,"YES","NO"),IF(D1541="SELL",IF(K1541&lt;0,"YES","NO"),""))))</f>
        <v/>
      </c>
    </row>
    <row r="1542" ht="15" customHeight="1">
      <c r="K1542" s="26">
        <f>IF(H1542="","",(H1542-G1542)/G1542)</f>
        <v/>
      </c>
      <c r="L1542" s="26">
        <f>IF(I1542="","",(I1542-G1542)/G1542)</f>
        <v/>
      </c>
      <c r="M1542" s="26">
        <f>IF(J1542="","",(J1542-G1542)/G1542)</f>
        <v/>
      </c>
      <c r="N1542" s="27">
        <f>IF(H1542="","",IF(D1542="HOLD",IF(ABS(K1542)&lt;0.03,"YES","NO"),IF(D1542="BUY",IF(K1542&gt;0,"YES","NO"),IF(D1542="SELL",IF(K1542&lt;0,"YES","NO"),""))))</f>
        <v/>
      </c>
    </row>
    <row r="1543" ht="15" customHeight="1">
      <c r="K1543" s="26">
        <f>IF(H1543="","",(H1543-G1543)/G1543)</f>
        <v/>
      </c>
      <c r="L1543" s="26">
        <f>IF(I1543="","",(I1543-G1543)/G1543)</f>
        <v/>
      </c>
      <c r="M1543" s="26">
        <f>IF(J1543="","",(J1543-G1543)/G1543)</f>
        <v/>
      </c>
      <c r="N1543" s="27">
        <f>IF(H1543="","",IF(D1543="HOLD",IF(ABS(K1543)&lt;0.03,"YES","NO"),IF(D1543="BUY",IF(K1543&gt;0,"YES","NO"),IF(D1543="SELL",IF(K1543&lt;0,"YES","NO"),""))))</f>
        <v/>
      </c>
    </row>
    <row r="1544" ht="15" customHeight="1">
      <c r="K1544" s="26">
        <f>IF(H1544="","",(H1544-G1544)/G1544)</f>
        <v/>
      </c>
      <c r="L1544" s="26">
        <f>IF(I1544="","",(I1544-G1544)/G1544)</f>
        <v/>
      </c>
      <c r="M1544" s="26">
        <f>IF(J1544="","",(J1544-G1544)/G1544)</f>
        <v/>
      </c>
      <c r="N1544" s="27">
        <f>IF(H1544="","",IF(D1544="HOLD",IF(ABS(K1544)&lt;0.03,"YES","NO"),IF(D1544="BUY",IF(K1544&gt;0,"YES","NO"),IF(D1544="SELL",IF(K1544&lt;0,"YES","NO"),""))))</f>
        <v/>
      </c>
    </row>
    <row r="1545" ht="15" customHeight="1">
      <c r="K1545" s="26">
        <f>IF(H1545="","",(H1545-G1545)/G1545)</f>
        <v/>
      </c>
      <c r="L1545" s="26">
        <f>IF(I1545="","",(I1545-G1545)/G1545)</f>
        <v/>
      </c>
      <c r="M1545" s="26">
        <f>IF(J1545="","",(J1545-G1545)/G1545)</f>
        <v/>
      </c>
      <c r="N1545" s="27">
        <f>IF(H1545="","",IF(D1545="HOLD",IF(ABS(K1545)&lt;0.03,"YES","NO"),IF(D1545="BUY",IF(K1545&gt;0,"YES","NO"),IF(D1545="SELL",IF(K1545&lt;0,"YES","NO"),""))))</f>
        <v/>
      </c>
    </row>
    <row r="1546" ht="15" customHeight="1">
      <c r="K1546" s="26">
        <f>IF(H1546="","",(H1546-G1546)/G1546)</f>
        <v/>
      </c>
      <c r="L1546" s="26">
        <f>IF(I1546="","",(I1546-G1546)/G1546)</f>
        <v/>
      </c>
      <c r="M1546" s="26">
        <f>IF(J1546="","",(J1546-G1546)/G1546)</f>
        <v/>
      </c>
      <c r="N1546" s="27">
        <f>IF(H1546="","",IF(D1546="HOLD",IF(ABS(K1546)&lt;0.03,"YES","NO"),IF(D1546="BUY",IF(K1546&gt;0,"YES","NO"),IF(D1546="SELL",IF(K1546&lt;0,"YES","NO"),""))))</f>
        <v/>
      </c>
    </row>
    <row r="1547" ht="15" customHeight="1">
      <c r="K1547" s="26">
        <f>IF(H1547="","",(H1547-G1547)/G1547)</f>
        <v/>
      </c>
      <c r="L1547" s="26">
        <f>IF(I1547="","",(I1547-G1547)/G1547)</f>
        <v/>
      </c>
      <c r="M1547" s="26">
        <f>IF(J1547="","",(J1547-G1547)/G1547)</f>
        <v/>
      </c>
      <c r="N1547" s="27">
        <f>IF(H1547="","",IF(D1547="HOLD",IF(ABS(K1547)&lt;0.03,"YES","NO"),IF(D1547="BUY",IF(K1547&gt;0,"YES","NO"),IF(D1547="SELL",IF(K1547&lt;0,"YES","NO"),""))))</f>
        <v/>
      </c>
    </row>
    <row r="1548" ht="15" customHeight="1">
      <c r="K1548" s="26">
        <f>IF(H1548="","",(H1548-G1548)/G1548)</f>
        <v/>
      </c>
      <c r="L1548" s="26">
        <f>IF(I1548="","",(I1548-G1548)/G1548)</f>
        <v/>
      </c>
      <c r="M1548" s="26">
        <f>IF(J1548="","",(J1548-G1548)/G1548)</f>
        <v/>
      </c>
      <c r="N1548" s="27">
        <f>IF(H1548="","",IF(D1548="HOLD",IF(ABS(K1548)&lt;0.03,"YES","NO"),IF(D1548="BUY",IF(K1548&gt;0,"YES","NO"),IF(D1548="SELL",IF(K1548&lt;0,"YES","NO"),""))))</f>
        <v/>
      </c>
    </row>
    <row r="1549" ht="15" customHeight="1">
      <c r="K1549" s="26">
        <f>IF(H1549="","",(H1549-G1549)/G1549)</f>
        <v/>
      </c>
      <c r="L1549" s="26">
        <f>IF(I1549="","",(I1549-G1549)/G1549)</f>
        <v/>
      </c>
      <c r="M1549" s="26">
        <f>IF(J1549="","",(J1549-G1549)/G1549)</f>
        <v/>
      </c>
      <c r="N1549" s="27">
        <f>IF(H1549="","",IF(D1549="HOLD",IF(ABS(K1549)&lt;0.03,"YES","NO"),IF(D1549="BUY",IF(K1549&gt;0,"YES","NO"),IF(D1549="SELL",IF(K1549&lt;0,"YES","NO"),""))))</f>
        <v/>
      </c>
    </row>
    <row r="1550" ht="15" customHeight="1">
      <c r="K1550" s="26">
        <f>IF(H1550="","",(H1550-G1550)/G1550)</f>
        <v/>
      </c>
      <c r="L1550" s="26">
        <f>IF(I1550="","",(I1550-G1550)/G1550)</f>
        <v/>
      </c>
      <c r="M1550" s="26">
        <f>IF(J1550="","",(J1550-G1550)/G1550)</f>
        <v/>
      </c>
      <c r="N1550" s="27">
        <f>IF(H1550="","",IF(D1550="HOLD",IF(ABS(K1550)&lt;0.03,"YES","NO"),IF(D1550="BUY",IF(K1550&gt;0,"YES","NO"),IF(D1550="SELL",IF(K1550&lt;0,"YES","NO"),""))))</f>
        <v/>
      </c>
    </row>
    <row r="1551" ht="15" customHeight="1">
      <c r="K1551" s="26">
        <f>IF(H1551="","",(H1551-G1551)/G1551)</f>
        <v/>
      </c>
      <c r="L1551" s="26">
        <f>IF(I1551="","",(I1551-G1551)/G1551)</f>
        <v/>
      </c>
      <c r="M1551" s="26">
        <f>IF(J1551="","",(J1551-G1551)/G1551)</f>
        <v/>
      </c>
      <c r="N1551" s="27">
        <f>IF(H1551="","",IF(D1551="HOLD",IF(ABS(K1551)&lt;0.03,"YES","NO"),IF(D1551="BUY",IF(K1551&gt;0,"YES","NO"),IF(D1551="SELL",IF(K1551&lt;0,"YES","NO"),""))))</f>
        <v/>
      </c>
    </row>
    <row r="1552" ht="15" customHeight="1">
      <c r="K1552" s="26">
        <f>IF(H1552="","",(H1552-G1552)/G1552)</f>
        <v/>
      </c>
      <c r="L1552" s="26">
        <f>IF(I1552="","",(I1552-G1552)/G1552)</f>
        <v/>
      </c>
      <c r="M1552" s="26">
        <f>IF(J1552="","",(J1552-G1552)/G1552)</f>
        <v/>
      </c>
      <c r="N1552" s="27">
        <f>IF(H1552="","",IF(D1552="HOLD",IF(ABS(K1552)&lt;0.03,"YES","NO"),IF(D1552="BUY",IF(K1552&gt;0,"YES","NO"),IF(D1552="SELL",IF(K1552&lt;0,"YES","NO"),""))))</f>
        <v/>
      </c>
    </row>
    <row r="1553" ht="15" customHeight="1">
      <c r="K1553" s="26">
        <f>IF(H1553="","",(H1553-G1553)/G1553)</f>
        <v/>
      </c>
      <c r="L1553" s="26">
        <f>IF(I1553="","",(I1553-G1553)/G1553)</f>
        <v/>
      </c>
      <c r="M1553" s="26">
        <f>IF(J1553="","",(J1553-G1553)/G1553)</f>
        <v/>
      </c>
      <c r="N1553" s="27">
        <f>IF(H1553="","",IF(D1553="HOLD",IF(ABS(K1553)&lt;0.03,"YES","NO"),IF(D1553="BUY",IF(K1553&gt;0,"YES","NO"),IF(D1553="SELL",IF(K1553&lt;0,"YES","NO"),""))))</f>
        <v/>
      </c>
    </row>
    <row r="1554" ht="15" customHeight="1">
      <c r="K1554" s="26">
        <f>IF(H1554="","",(H1554-G1554)/G1554)</f>
        <v/>
      </c>
      <c r="L1554" s="26">
        <f>IF(I1554="","",(I1554-G1554)/G1554)</f>
        <v/>
      </c>
      <c r="M1554" s="26">
        <f>IF(J1554="","",(J1554-G1554)/G1554)</f>
        <v/>
      </c>
      <c r="N1554" s="27">
        <f>IF(H1554="","",IF(D1554="HOLD",IF(ABS(K1554)&lt;0.03,"YES","NO"),IF(D1554="BUY",IF(K1554&gt;0,"YES","NO"),IF(D1554="SELL",IF(K1554&lt;0,"YES","NO"),""))))</f>
        <v/>
      </c>
    </row>
    <row r="1555" ht="15" customHeight="1">
      <c r="K1555" s="26">
        <f>IF(H1555="","",(H1555-G1555)/G1555)</f>
        <v/>
      </c>
      <c r="L1555" s="26">
        <f>IF(I1555="","",(I1555-G1555)/G1555)</f>
        <v/>
      </c>
      <c r="M1555" s="26">
        <f>IF(J1555="","",(J1555-G1555)/G1555)</f>
        <v/>
      </c>
      <c r="N1555" s="27">
        <f>IF(H1555="","",IF(D1555="HOLD",IF(ABS(K1555)&lt;0.03,"YES","NO"),IF(D1555="BUY",IF(K1555&gt;0,"YES","NO"),IF(D1555="SELL",IF(K1555&lt;0,"YES","NO"),""))))</f>
        <v/>
      </c>
    </row>
    <row r="1556" ht="15" customHeight="1">
      <c r="K1556" s="26">
        <f>IF(H1556="","",(H1556-G1556)/G1556)</f>
        <v/>
      </c>
      <c r="L1556" s="26">
        <f>IF(I1556="","",(I1556-G1556)/G1556)</f>
        <v/>
      </c>
      <c r="M1556" s="26">
        <f>IF(J1556="","",(J1556-G1556)/G1556)</f>
        <v/>
      </c>
      <c r="N1556" s="27">
        <f>IF(H1556="","",IF(D1556="HOLD",IF(ABS(K1556)&lt;0.03,"YES","NO"),IF(D1556="BUY",IF(K1556&gt;0,"YES","NO"),IF(D1556="SELL",IF(K1556&lt;0,"YES","NO"),""))))</f>
        <v/>
      </c>
    </row>
    <row r="1557" ht="15" customHeight="1">
      <c r="K1557" s="26">
        <f>IF(H1557="","",(H1557-G1557)/G1557)</f>
        <v/>
      </c>
      <c r="L1557" s="26">
        <f>IF(I1557="","",(I1557-G1557)/G1557)</f>
        <v/>
      </c>
      <c r="M1557" s="26">
        <f>IF(J1557="","",(J1557-G1557)/G1557)</f>
        <v/>
      </c>
      <c r="N1557" s="27">
        <f>IF(H1557="","",IF(D1557="HOLD",IF(ABS(K1557)&lt;0.03,"YES","NO"),IF(D1557="BUY",IF(K1557&gt;0,"YES","NO"),IF(D1557="SELL",IF(K1557&lt;0,"YES","NO"),""))))</f>
        <v/>
      </c>
    </row>
    <row r="1558" ht="15" customHeight="1">
      <c r="K1558" s="26">
        <f>IF(H1558="","",(H1558-G1558)/G1558)</f>
        <v/>
      </c>
      <c r="L1558" s="26">
        <f>IF(I1558="","",(I1558-G1558)/G1558)</f>
        <v/>
      </c>
      <c r="M1558" s="26">
        <f>IF(J1558="","",(J1558-G1558)/G1558)</f>
        <v/>
      </c>
      <c r="N1558" s="27">
        <f>IF(H1558="","",IF(D1558="HOLD",IF(ABS(K1558)&lt;0.03,"YES","NO"),IF(D1558="BUY",IF(K1558&gt;0,"YES","NO"),IF(D1558="SELL",IF(K1558&lt;0,"YES","NO"),""))))</f>
        <v/>
      </c>
    </row>
    <row r="1559" ht="15" customHeight="1">
      <c r="K1559" s="26">
        <f>IF(H1559="","",(H1559-G1559)/G1559)</f>
        <v/>
      </c>
      <c r="L1559" s="26">
        <f>IF(I1559="","",(I1559-G1559)/G1559)</f>
        <v/>
      </c>
      <c r="M1559" s="26">
        <f>IF(J1559="","",(J1559-G1559)/G1559)</f>
        <v/>
      </c>
      <c r="N1559" s="27">
        <f>IF(H1559="","",IF(D1559="HOLD",IF(ABS(K1559)&lt;0.03,"YES","NO"),IF(D1559="BUY",IF(K1559&gt;0,"YES","NO"),IF(D1559="SELL",IF(K1559&lt;0,"YES","NO"),""))))</f>
        <v/>
      </c>
    </row>
    <row r="1560" ht="15" customHeight="1">
      <c r="K1560" s="26">
        <f>IF(H1560="","",(H1560-G1560)/G1560)</f>
        <v/>
      </c>
      <c r="L1560" s="26">
        <f>IF(I1560="","",(I1560-G1560)/G1560)</f>
        <v/>
      </c>
      <c r="M1560" s="26">
        <f>IF(J1560="","",(J1560-G1560)/G1560)</f>
        <v/>
      </c>
      <c r="N1560" s="27">
        <f>IF(H1560="","",IF(D1560="HOLD",IF(ABS(K1560)&lt;0.03,"YES","NO"),IF(D1560="BUY",IF(K1560&gt;0,"YES","NO"),IF(D1560="SELL",IF(K1560&lt;0,"YES","NO"),""))))</f>
        <v/>
      </c>
    </row>
    <row r="1561" ht="15" customHeight="1">
      <c r="K1561" s="26">
        <f>IF(H1561="","",(H1561-G1561)/G1561)</f>
        <v/>
      </c>
      <c r="L1561" s="26">
        <f>IF(I1561="","",(I1561-G1561)/G1561)</f>
        <v/>
      </c>
      <c r="M1561" s="26">
        <f>IF(J1561="","",(J1561-G1561)/G1561)</f>
        <v/>
      </c>
      <c r="N1561" s="27">
        <f>IF(H1561="","",IF(D1561="HOLD",IF(ABS(K1561)&lt;0.03,"YES","NO"),IF(D1561="BUY",IF(K1561&gt;0,"YES","NO"),IF(D1561="SELL",IF(K1561&lt;0,"YES","NO"),""))))</f>
        <v/>
      </c>
    </row>
    <row r="1562" ht="15" customHeight="1">
      <c r="K1562" s="26">
        <f>IF(H1562="","",(H1562-G1562)/G1562)</f>
        <v/>
      </c>
      <c r="L1562" s="26">
        <f>IF(I1562="","",(I1562-G1562)/G1562)</f>
        <v/>
      </c>
      <c r="M1562" s="26">
        <f>IF(J1562="","",(J1562-G1562)/G1562)</f>
        <v/>
      </c>
      <c r="N1562" s="27">
        <f>IF(H1562="","",IF(D1562="HOLD",IF(ABS(K1562)&lt;0.03,"YES","NO"),IF(D1562="BUY",IF(K1562&gt;0,"YES","NO"),IF(D1562="SELL",IF(K1562&lt;0,"YES","NO"),""))))</f>
        <v/>
      </c>
    </row>
    <row r="1563" ht="15" customHeight="1">
      <c r="K1563" s="26">
        <f>IF(H1563="","",(H1563-G1563)/G1563)</f>
        <v/>
      </c>
      <c r="L1563" s="26">
        <f>IF(I1563="","",(I1563-G1563)/G1563)</f>
        <v/>
      </c>
      <c r="M1563" s="26">
        <f>IF(J1563="","",(J1563-G1563)/G1563)</f>
        <v/>
      </c>
      <c r="N1563" s="27">
        <f>IF(H1563="","",IF(D1563="HOLD",IF(ABS(K1563)&lt;0.03,"YES","NO"),IF(D1563="BUY",IF(K1563&gt;0,"YES","NO"),IF(D1563="SELL",IF(K1563&lt;0,"YES","NO"),""))))</f>
        <v/>
      </c>
    </row>
    <row r="1564" ht="15" customHeight="1">
      <c r="K1564" s="26">
        <f>IF(H1564="","",(H1564-G1564)/G1564)</f>
        <v/>
      </c>
      <c r="L1564" s="26">
        <f>IF(I1564="","",(I1564-G1564)/G1564)</f>
        <v/>
      </c>
      <c r="M1564" s="26">
        <f>IF(J1564="","",(J1564-G1564)/G1564)</f>
        <v/>
      </c>
      <c r="N1564" s="27">
        <f>IF(H1564="","",IF(D1564="HOLD",IF(ABS(K1564)&lt;0.03,"YES","NO"),IF(D1564="BUY",IF(K1564&gt;0,"YES","NO"),IF(D1564="SELL",IF(K1564&lt;0,"YES","NO"),""))))</f>
        <v/>
      </c>
    </row>
    <row r="1565" ht="15" customHeight="1">
      <c r="K1565" s="26">
        <f>IF(H1565="","",(H1565-G1565)/G1565)</f>
        <v/>
      </c>
      <c r="L1565" s="26">
        <f>IF(I1565="","",(I1565-G1565)/G1565)</f>
        <v/>
      </c>
      <c r="M1565" s="26">
        <f>IF(J1565="","",(J1565-G1565)/G1565)</f>
        <v/>
      </c>
      <c r="N1565" s="27">
        <f>IF(H1565="","",IF(D1565="HOLD",IF(ABS(K1565)&lt;0.03,"YES","NO"),IF(D1565="BUY",IF(K1565&gt;0,"YES","NO"),IF(D1565="SELL",IF(K1565&lt;0,"YES","NO"),""))))</f>
        <v/>
      </c>
    </row>
    <row r="1566" ht="15" customHeight="1">
      <c r="K1566" s="26">
        <f>IF(H1566="","",(H1566-G1566)/G1566)</f>
        <v/>
      </c>
      <c r="L1566" s="26">
        <f>IF(I1566="","",(I1566-G1566)/G1566)</f>
        <v/>
      </c>
      <c r="M1566" s="26">
        <f>IF(J1566="","",(J1566-G1566)/G1566)</f>
        <v/>
      </c>
      <c r="N1566" s="27">
        <f>IF(H1566="","",IF(D1566="HOLD",IF(ABS(K1566)&lt;0.03,"YES","NO"),IF(D1566="BUY",IF(K1566&gt;0,"YES","NO"),IF(D1566="SELL",IF(K1566&lt;0,"YES","NO"),""))))</f>
        <v/>
      </c>
    </row>
    <row r="1567" ht="15" customHeight="1">
      <c r="K1567" s="26">
        <f>IF(H1567="","",(H1567-G1567)/G1567)</f>
        <v/>
      </c>
      <c r="L1567" s="26">
        <f>IF(I1567="","",(I1567-G1567)/G1567)</f>
        <v/>
      </c>
      <c r="M1567" s="26">
        <f>IF(J1567="","",(J1567-G1567)/G1567)</f>
        <v/>
      </c>
      <c r="N1567" s="27">
        <f>IF(H1567="","",IF(D1567="HOLD",IF(ABS(K1567)&lt;0.03,"YES","NO"),IF(D1567="BUY",IF(K1567&gt;0,"YES","NO"),IF(D1567="SELL",IF(K1567&lt;0,"YES","NO"),""))))</f>
        <v/>
      </c>
    </row>
    <row r="1568" ht="15" customHeight="1">
      <c r="K1568" s="26">
        <f>IF(H1568="","",(H1568-G1568)/G1568)</f>
        <v/>
      </c>
      <c r="L1568" s="26">
        <f>IF(I1568="","",(I1568-G1568)/G1568)</f>
        <v/>
      </c>
      <c r="M1568" s="26">
        <f>IF(J1568="","",(J1568-G1568)/G1568)</f>
        <v/>
      </c>
      <c r="N1568" s="27">
        <f>IF(H1568="","",IF(D1568="HOLD",IF(ABS(K1568)&lt;0.03,"YES","NO"),IF(D1568="BUY",IF(K1568&gt;0,"YES","NO"),IF(D1568="SELL",IF(K1568&lt;0,"YES","NO"),""))))</f>
        <v/>
      </c>
    </row>
    <row r="1569" ht="15" customHeight="1">
      <c r="K1569" s="26">
        <f>IF(H1569="","",(H1569-G1569)/G1569)</f>
        <v/>
      </c>
      <c r="L1569" s="26">
        <f>IF(I1569="","",(I1569-G1569)/G1569)</f>
        <v/>
      </c>
      <c r="M1569" s="26">
        <f>IF(J1569="","",(J1569-G1569)/G1569)</f>
        <v/>
      </c>
      <c r="N1569" s="27">
        <f>IF(H1569="","",IF(D1569="HOLD",IF(ABS(K1569)&lt;0.03,"YES","NO"),IF(D1569="BUY",IF(K1569&gt;0,"YES","NO"),IF(D1569="SELL",IF(K1569&lt;0,"YES","NO"),""))))</f>
        <v/>
      </c>
    </row>
    <row r="1570" ht="15" customHeight="1">
      <c r="K1570" s="26">
        <f>IF(H1570="","",(H1570-G1570)/G1570)</f>
        <v/>
      </c>
      <c r="L1570" s="26">
        <f>IF(I1570="","",(I1570-G1570)/G1570)</f>
        <v/>
      </c>
      <c r="M1570" s="26">
        <f>IF(J1570="","",(J1570-G1570)/G1570)</f>
        <v/>
      </c>
      <c r="N1570" s="27">
        <f>IF(H1570="","",IF(D1570="HOLD",IF(ABS(K1570)&lt;0.03,"YES","NO"),IF(D1570="BUY",IF(K1570&gt;0,"YES","NO"),IF(D1570="SELL",IF(K1570&lt;0,"YES","NO"),""))))</f>
        <v/>
      </c>
    </row>
    <row r="1571" ht="15" customHeight="1">
      <c r="K1571" s="26">
        <f>IF(H1571="","",(H1571-G1571)/G1571)</f>
        <v/>
      </c>
      <c r="L1571" s="26">
        <f>IF(I1571="","",(I1571-G1571)/G1571)</f>
        <v/>
      </c>
      <c r="M1571" s="26">
        <f>IF(J1571="","",(J1571-G1571)/G1571)</f>
        <v/>
      </c>
      <c r="N1571" s="27">
        <f>IF(H1571="","",IF(D1571="HOLD",IF(ABS(K1571)&lt;0.03,"YES","NO"),IF(D1571="BUY",IF(K1571&gt;0,"YES","NO"),IF(D1571="SELL",IF(K1571&lt;0,"YES","NO"),""))))</f>
        <v/>
      </c>
    </row>
    <row r="1572" ht="15" customHeight="1">
      <c r="K1572" s="26">
        <f>IF(H1572="","",(H1572-G1572)/G1572)</f>
        <v/>
      </c>
      <c r="L1572" s="26">
        <f>IF(I1572="","",(I1572-G1572)/G1572)</f>
        <v/>
      </c>
      <c r="M1572" s="26">
        <f>IF(J1572="","",(J1572-G1572)/G1572)</f>
        <v/>
      </c>
      <c r="N1572" s="27">
        <f>IF(H1572="","",IF(D1572="HOLD",IF(ABS(K1572)&lt;0.03,"YES","NO"),IF(D1572="BUY",IF(K1572&gt;0,"YES","NO"),IF(D1572="SELL",IF(K1572&lt;0,"YES","NO"),""))))</f>
        <v/>
      </c>
    </row>
    <row r="1573" ht="15" customHeight="1">
      <c r="K1573" s="26">
        <f>IF(H1573="","",(H1573-G1573)/G1573)</f>
        <v/>
      </c>
      <c r="L1573" s="26">
        <f>IF(I1573="","",(I1573-G1573)/G1573)</f>
        <v/>
      </c>
      <c r="M1573" s="26">
        <f>IF(J1573="","",(J1573-G1573)/G1573)</f>
        <v/>
      </c>
      <c r="N1573" s="27">
        <f>IF(H1573="","",IF(D1573="HOLD",IF(ABS(K1573)&lt;0.03,"YES","NO"),IF(D1573="BUY",IF(K1573&gt;0,"YES","NO"),IF(D1573="SELL",IF(K1573&lt;0,"YES","NO"),""))))</f>
        <v/>
      </c>
    </row>
    <row r="1574" ht="15" customHeight="1">
      <c r="K1574" s="26">
        <f>IF(H1574="","",(H1574-G1574)/G1574)</f>
        <v/>
      </c>
      <c r="L1574" s="26">
        <f>IF(I1574="","",(I1574-G1574)/G1574)</f>
        <v/>
      </c>
      <c r="M1574" s="26">
        <f>IF(J1574="","",(J1574-G1574)/G1574)</f>
        <v/>
      </c>
      <c r="N1574" s="27">
        <f>IF(H1574="","",IF(D1574="HOLD",IF(ABS(K1574)&lt;0.03,"YES","NO"),IF(D1574="BUY",IF(K1574&gt;0,"YES","NO"),IF(D1574="SELL",IF(K1574&lt;0,"YES","NO"),""))))</f>
        <v/>
      </c>
    </row>
    <row r="1575" ht="15" customHeight="1">
      <c r="K1575" s="26">
        <f>IF(H1575="","",(H1575-G1575)/G1575)</f>
        <v/>
      </c>
      <c r="L1575" s="26">
        <f>IF(I1575="","",(I1575-G1575)/G1575)</f>
        <v/>
      </c>
      <c r="M1575" s="26">
        <f>IF(J1575="","",(J1575-G1575)/G1575)</f>
        <v/>
      </c>
      <c r="N1575" s="27">
        <f>IF(H1575="","",IF(D1575="HOLD",IF(ABS(K1575)&lt;0.03,"YES","NO"),IF(D1575="BUY",IF(K1575&gt;0,"YES","NO"),IF(D1575="SELL",IF(K1575&lt;0,"YES","NO"),""))))</f>
        <v/>
      </c>
    </row>
    <row r="1576" ht="15" customHeight="1">
      <c r="K1576" s="26">
        <f>IF(H1576="","",(H1576-G1576)/G1576)</f>
        <v/>
      </c>
      <c r="L1576" s="26">
        <f>IF(I1576="","",(I1576-G1576)/G1576)</f>
        <v/>
      </c>
      <c r="M1576" s="26">
        <f>IF(J1576="","",(J1576-G1576)/G1576)</f>
        <v/>
      </c>
      <c r="N1576" s="27">
        <f>IF(H1576="","",IF(D1576="HOLD",IF(ABS(K1576)&lt;0.03,"YES","NO"),IF(D1576="BUY",IF(K1576&gt;0,"YES","NO"),IF(D1576="SELL",IF(K1576&lt;0,"YES","NO"),""))))</f>
        <v/>
      </c>
    </row>
    <row r="1577" ht="15" customHeight="1">
      <c r="K1577" s="26">
        <f>IF(H1577="","",(H1577-G1577)/G1577)</f>
        <v/>
      </c>
      <c r="L1577" s="26">
        <f>IF(I1577="","",(I1577-G1577)/G1577)</f>
        <v/>
      </c>
      <c r="M1577" s="26">
        <f>IF(J1577="","",(J1577-G1577)/G1577)</f>
        <v/>
      </c>
      <c r="N1577" s="27">
        <f>IF(H1577="","",IF(D1577="HOLD",IF(ABS(K1577)&lt;0.03,"YES","NO"),IF(D1577="BUY",IF(K1577&gt;0,"YES","NO"),IF(D1577="SELL",IF(K1577&lt;0,"YES","NO"),""))))</f>
        <v/>
      </c>
    </row>
    <row r="1578" ht="15" customHeight="1">
      <c r="K1578" s="26">
        <f>IF(H1578="","",(H1578-G1578)/G1578)</f>
        <v/>
      </c>
      <c r="L1578" s="26">
        <f>IF(I1578="","",(I1578-G1578)/G1578)</f>
        <v/>
      </c>
      <c r="M1578" s="26">
        <f>IF(J1578="","",(J1578-G1578)/G1578)</f>
        <v/>
      </c>
      <c r="N1578" s="27">
        <f>IF(H1578="","",IF(D1578="HOLD",IF(ABS(K1578)&lt;0.03,"YES","NO"),IF(D1578="BUY",IF(K1578&gt;0,"YES","NO"),IF(D1578="SELL",IF(K1578&lt;0,"YES","NO"),""))))</f>
        <v/>
      </c>
    </row>
    <row r="1579" ht="15" customHeight="1">
      <c r="K1579" s="26">
        <f>IF(H1579="","",(H1579-G1579)/G1579)</f>
        <v/>
      </c>
      <c r="L1579" s="26">
        <f>IF(I1579="","",(I1579-G1579)/G1579)</f>
        <v/>
      </c>
      <c r="M1579" s="26">
        <f>IF(J1579="","",(J1579-G1579)/G1579)</f>
        <v/>
      </c>
      <c r="N1579" s="27">
        <f>IF(H1579="","",IF(D1579="HOLD",IF(ABS(K1579)&lt;0.03,"YES","NO"),IF(D1579="BUY",IF(K1579&gt;0,"YES","NO"),IF(D1579="SELL",IF(K1579&lt;0,"YES","NO"),""))))</f>
        <v/>
      </c>
    </row>
    <row r="1580" ht="15" customHeight="1">
      <c r="K1580" s="26">
        <f>IF(H1580="","",(H1580-G1580)/G1580)</f>
        <v/>
      </c>
      <c r="L1580" s="26">
        <f>IF(I1580="","",(I1580-G1580)/G1580)</f>
        <v/>
      </c>
      <c r="M1580" s="26">
        <f>IF(J1580="","",(J1580-G1580)/G1580)</f>
        <v/>
      </c>
      <c r="N1580" s="27">
        <f>IF(H1580="","",IF(D1580="HOLD",IF(ABS(K1580)&lt;0.03,"YES","NO"),IF(D1580="BUY",IF(K1580&gt;0,"YES","NO"),IF(D1580="SELL",IF(K1580&lt;0,"YES","NO"),""))))</f>
        <v/>
      </c>
    </row>
    <row r="1581" ht="15" customHeight="1">
      <c r="K1581" s="26">
        <f>IF(H1581="","",(H1581-G1581)/G1581)</f>
        <v/>
      </c>
      <c r="L1581" s="26">
        <f>IF(I1581="","",(I1581-G1581)/G1581)</f>
        <v/>
      </c>
      <c r="M1581" s="26">
        <f>IF(J1581="","",(J1581-G1581)/G1581)</f>
        <v/>
      </c>
      <c r="N1581" s="27">
        <f>IF(H1581="","",IF(D1581="HOLD",IF(ABS(K1581)&lt;0.03,"YES","NO"),IF(D1581="BUY",IF(K1581&gt;0,"YES","NO"),IF(D1581="SELL",IF(K1581&lt;0,"YES","NO"),""))))</f>
        <v/>
      </c>
    </row>
    <row r="1582" ht="15" customHeight="1">
      <c r="K1582" s="26">
        <f>IF(H1582="","",(H1582-G1582)/G1582)</f>
        <v/>
      </c>
      <c r="L1582" s="26">
        <f>IF(I1582="","",(I1582-G1582)/G1582)</f>
        <v/>
      </c>
      <c r="M1582" s="26">
        <f>IF(J1582="","",(J1582-G1582)/G1582)</f>
        <v/>
      </c>
      <c r="N1582" s="27">
        <f>IF(H1582="","",IF(D1582="HOLD",IF(ABS(K1582)&lt;0.03,"YES","NO"),IF(D1582="BUY",IF(K1582&gt;0,"YES","NO"),IF(D1582="SELL",IF(K1582&lt;0,"YES","NO"),""))))</f>
        <v/>
      </c>
    </row>
    <row r="1583" ht="15" customHeight="1">
      <c r="K1583" s="26">
        <f>IF(H1583="","",(H1583-G1583)/G1583)</f>
        <v/>
      </c>
      <c r="L1583" s="26">
        <f>IF(I1583="","",(I1583-G1583)/G1583)</f>
        <v/>
      </c>
      <c r="M1583" s="26">
        <f>IF(J1583="","",(J1583-G1583)/G1583)</f>
        <v/>
      </c>
      <c r="N1583" s="27">
        <f>IF(H1583="","",IF(D1583="HOLD",IF(ABS(K1583)&lt;0.03,"YES","NO"),IF(D1583="BUY",IF(K1583&gt;0,"YES","NO"),IF(D1583="SELL",IF(K1583&lt;0,"YES","NO"),""))))</f>
        <v/>
      </c>
    </row>
    <row r="1584" ht="15" customHeight="1">
      <c r="K1584" s="26">
        <f>IF(H1584="","",(H1584-G1584)/G1584)</f>
        <v/>
      </c>
      <c r="L1584" s="26">
        <f>IF(I1584="","",(I1584-G1584)/G1584)</f>
        <v/>
      </c>
      <c r="M1584" s="26">
        <f>IF(J1584="","",(J1584-G1584)/G1584)</f>
        <v/>
      </c>
      <c r="N1584" s="27">
        <f>IF(H1584="","",IF(D1584="HOLD",IF(ABS(K1584)&lt;0.03,"YES","NO"),IF(D1584="BUY",IF(K1584&gt;0,"YES","NO"),IF(D1584="SELL",IF(K1584&lt;0,"YES","NO"),""))))</f>
        <v/>
      </c>
    </row>
    <row r="1585" ht="15" customHeight="1">
      <c r="K1585" s="26">
        <f>IF(H1585="","",(H1585-G1585)/G1585)</f>
        <v/>
      </c>
      <c r="L1585" s="26">
        <f>IF(I1585="","",(I1585-G1585)/G1585)</f>
        <v/>
      </c>
      <c r="M1585" s="26">
        <f>IF(J1585="","",(J1585-G1585)/G1585)</f>
        <v/>
      </c>
      <c r="N1585" s="27">
        <f>IF(H1585="","",IF(D1585="HOLD",IF(ABS(K1585)&lt;0.03,"YES","NO"),IF(D1585="BUY",IF(K1585&gt;0,"YES","NO"),IF(D1585="SELL",IF(K1585&lt;0,"YES","NO"),""))))</f>
        <v/>
      </c>
    </row>
    <row r="1586" ht="15" customHeight="1">
      <c r="K1586" s="26">
        <f>IF(H1586="","",(H1586-G1586)/G1586)</f>
        <v/>
      </c>
      <c r="L1586" s="26">
        <f>IF(I1586="","",(I1586-G1586)/G1586)</f>
        <v/>
      </c>
      <c r="M1586" s="26">
        <f>IF(J1586="","",(J1586-G1586)/G1586)</f>
        <v/>
      </c>
      <c r="N1586" s="27">
        <f>IF(H1586="","",IF(D1586="HOLD",IF(ABS(K1586)&lt;0.03,"YES","NO"),IF(D1586="BUY",IF(K1586&gt;0,"YES","NO"),IF(D1586="SELL",IF(K1586&lt;0,"YES","NO"),""))))</f>
        <v/>
      </c>
    </row>
    <row r="1587" ht="15" customHeight="1">
      <c r="K1587" s="26">
        <f>IF(H1587="","",(H1587-G1587)/G1587)</f>
        <v/>
      </c>
      <c r="L1587" s="26">
        <f>IF(I1587="","",(I1587-G1587)/G1587)</f>
        <v/>
      </c>
      <c r="M1587" s="26">
        <f>IF(J1587="","",(J1587-G1587)/G1587)</f>
        <v/>
      </c>
      <c r="N1587" s="27">
        <f>IF(H1587="","",IF(D1587="HOLD",IF(ABS(K1587)&lt;0.03,"YES","NO"),IF(D1587="BUY",IF(K1587&gt;0,"YES","NO"),IF(D1587="SELL",IF(K1587&lt;0,"YES","NO"),""))))</f>
        <v/>
      </c>
    </row>
    <row r="1588" ht="15" customHeight="1">
      <c r="K1588" s="26">
        <f>IF(H1588="","",(H1588-G1588)/G1588)</f>
        <v/>
      </c>
      <c r="L1588" s="26">
        <f>IF(I1588="","",(I1588-G1588)/G1588)</f>
        <v/>
      </c>
      <c r="M1588" s="26">
        <f>IF(J1588="","",(J1588-G1588)/G1588)</f>
        <v/>
      </c>
      <c r="N1588" s="27">
        <f>IF(H1588="","",IF(D1588="HOLD",IF(ABS(K1588)&lt;0.03,"YES","NO"),IF(D1588="BUY",IF(K1588&gt;0,"YES","NO"),IF(D1588="SELL",IF(K1588&lt;0,"YES","NO"),""))))</f>
        <v/>
      </c>
    </row>
    <row r="1589" ht="15" customHeight="1">
      <c r="K1589" s="26">
        <f>IF(H1589="","",(H1589-G1589)/G1589)</f>
        <v/>
      </c>
      <c r="L1589" s="26">
        <f>IF(I1589="","",(I1589-G1589)/G1589)</f>
        <v/>
      </c>
      <c r="M1589" s="26">
        <f>IF(J1589="","",(J1589-G1589)/G1589)</f>
        <v/>
      </c>
      <c r="N1589" s="27">
        <f>IF(H1589="","",IF(D1589="HOLD",IF(ABS(K1589)&lt;0.03,"YES","NO"),IF(D1589="BUY",IF(K1589&gt;0,"YES","NO"),IF(D1589="SELL",IF(K1589&lt;0,"YES","NO"),""))))</f>
        <v/>
      </c>
    </row>
    <row r="1590" ht="15" customHeight="1">
      <c r="K1590" s="26">
        <f>IF(H1590="","",(H1590-G1590)/G1590)</f>
        <v/>
      </c>
      <c r="L1590" s="26">
        <f>IF(I1590="","",(I1590-G1590)/G1590)</f>
        <v/>
      </c>
      <c r="M1590" s="26">
        <f>IF(J1590="","",(J1590-G1590)/G1590)</f>
        <v/>
      </c>
      <c r="N1590" s="27">
        <f>IF(H1590="","",IF(D1590="HOLD",IF(ABS(K1590)&lt;0.03,"YES","NO"),IF(D1590="BUY",IF(K1590&gt;0,"YES","NO"),IF(D1590="SELL",IF(K1590&lt;0,"YES","NO"),""))))</f>
        <v/>
      </c>
    </row>
    <row r="1591" ht="15" customHeight="1">
      <c r="K1591" s="26">
        <f>IF(H1591="","",(H1591-G1591)/G1591)</f>
        <v/>
      </c>
      <c r="L1591" s="26">
        <f>IF(I1591="","",(I1591-G1591)/G1591)</f>
        <v/>
      </c>
      <c r="M1591" s="26">
        <f>IF(J1591="","",(J1591-G1591)/G1591)</f>
        <v/>
      </c>
      <c r="N1591" s="27">
        <f>IF(H1591="","",IF(D1591="HOLD",IF(ABS(K1591)&lt;0.03,"YES","NO"),IF(D1591="BUY",IF(K1591&gt;0,"YES","NO"),IF(D1591="SELL",IF(K1591&lt;0,"YES","NO"),""))))</f>
        <v/>
      </c>
    </row>
    <row r="1592" ht="15" customHeight="1">
      <c r="K1592" s="26">
        <f>IF(H1592="","",(H1592-G1592)/G1592)</f>
        <v/>
      </c>
      <c r="L1592" s="26">
        <f>IF(I1592="","",(I1592-G1592)/G1592)</f>
        <v/>
      </c>
      <c r="M1592" s="26">
        <f>IF(J1592="","",(J1592-G1592)/G1592)</f>
        <v/>
      </c>
      <c r="N1592" s="27">
        <f>IF(H1592="","",IF(D1592="HOLD",IF(ABS(K1592)&lt;0.03,"YES","NO"),IF(D1592="BUY",IF(K1592&gt;0,"YES","NO"),IF(D1592="SELL",IF(K1592&lt;0,"YES","NO"),""))))</f>
        <v/>
      </c>
    </row>
    <row r="1593" ht="15" customHeight="1">
      <c r="K1593" s="26">
        <f>IF(H1593="","",(H1593-G1593)/G1593)</f>
        <v/>
      </c>
      <c r="L1593" s="26">
        <f>IF(I1593="","",(I1593-G1593)/G1593)</f>
        <v/>
      </c>
      <c r="M1593" s="26">
        <f>IF(J1593="","",(J1593-G1593)/G1593)</f>
        <v/>
      </c>
      <c r="N1593" s="27">
        <f>IF(H1593="","",IF(D1593="HOLD",IF(ABS(K1593)&lt;0.03,"YES","NO"),IF(D1593="BUY",IF(K1593&gt;0,"YES","NO"),IF(D1593="SELL",IF(K1593&lt;0,"YES","NO"),""))))</f>
        <v/>
      </c>
    </row>
    <row r="1594" ht="15" customHeight="1">
      <c r="K1594" s="26">
        <f>IF(H1594="","",(H1594-G1594)/G1594)</f>
        <v/>
      </c>
      <c r="L1594" s="26">
        <f>IF(I1594="","",(I1594-G1594)/G1594)</f>
        <v/>
      </c>
      <c r="M1594" s="26">
        <f>IF(J1594="","",(J1594-G1594)/G1594)</f>
        <v/>
      </c>
      <c r="N1594" s="27">
        <f>IF(H1594="","",IF(D1594="HOLD",IF(ABS(K1594)&lt;0.03,"YES","NO"),IF(D1594="BUY",IF(K1594&gt;0,"YES","NO"),IF(D1594="SELL",IF(K1594&lt;0,"YES","NO"),""))))</f>
        <v/>
      </c>
    </row>
    <row r="1595" ht="15" customHeight="1">
      <c r="K1595" s="26">
        <f>IF(H1595="","",(H1595-G1595)/G1595)</f>
        <v/>
      </c>
      <c r="L1595" s="26">
        <f>IF(I1595="","",(I1595-G1595)/G1595)</f>
        <v/>
      </c>
      <c r="M1595" s="26">
        <f>IF(J1595="","",(J1595-G1595)/G1595)</f>
        <v/>
      </c>
      <c r="N1595" s="27">
        <f>IF(H1595="","",IF(D1595="HOLD",IF(ABS(K1595)&lt;0.03,"YES","NO"),IF(D1595="BUY",IF(K1595&gt;0,"YES","NO"),IF(D1595="SELL",IF(K1595&lt;0,"YES","NO"),""))))</f>
        <v/>
      </c>
    </row>
    <row r="1596" ht="15" customHeight="1">
      <c r="K1596" s="26">
        <f>IF(H1596="","",(H1596-G1596)/G1596)</f>
        <v/>
      </c>
      <c r="L1596" s="26">
        <f>IF(I1596="","",(I1596-G1596)/G1596)</f>
        <v/>
      </c>
      <c r="M1596" s="26">
        <f>IF(J1596="","",(J1596-G1596)/G1596)</f>
        <v/>
      </c>
      <c r="N1596" s="27">
        <f>IF(H1596="","",IF(D1596="HOLD",IF(ABS(K1596)&lt;0.03,"YES","NO"),IF(D1596="BUY",IF(K1596&gt;0,"YES","NO"),IF(D1596="SELL",IF(K1596&lt;0,"YES","NO"),""))))</f>
        <v/>
      </c>
    </row>
    <row r="1597" ht="15" customHeight="1">
      <c r="K1597" s="26">
        <f>IF(H1597="","",(H1597-G1597)/G1597)</f>
        <v/>
      </c>
      <c r="L1597" s="26">
        <f>IF(I1597="","",(I1597-G1597)/G1597)</f>
        <v/>
      </c>
      <c r="M1597" s="26">
        <f>IF(J1597="","",(J1597-G1597)/G1597)</f>
        <v/>
      </c>
      <c r="N1597" s="27">
        <f>IF(H1597="","",IF(D1597="HOLD",IF(ABS(K1597)&lt;0.03,"YES","NO"),IF(D1597="BUY",IF(K1597&gt;0,"YES","NO"),IF(D1597="SELL",IF(K1597&lt;0,"YES","NO"),""))))</f>
        <v/>
      </c>
    </row>
    <row r="1598" ht="15" customHeight="1">
      <c r="K1598" s="26">
        <f>IF(H1598="","",(H1598-G1598)/G1598)</f>
        <v/>
      </c>
      <c r="L1598" s="26">
        <f>IF(I1598="","",(I1598-G1598)/G1598)</f>
        <v/>
      </c>
      <c r="M1598" s="26">
        <f>IF(J1598="","",(J1598-G1598)/G1598)</f>
        <v/>
      </c>
      <c r="N1598" s="27">
        <f>IF(H1598="","",IF(D1598="HOLD",IF(ABS(K1598)&lt;0.03,"YES","NO"),IF(D1598="BUY",IF(K1598&gt;0,"YES","NO"),IF(D1598="SELL",IF(K1598&lt;0,"YES","NO"),""))))</f>
        <v/>
      </c>
    </row>
    <row r="1599" ht="15" customHeight="1">
      <c r="K1599" s="26">
        <f>IF(H1599="","",(H1599-G1599)/G1599)</f>
        <v/>
      </c>
      <c r="L1599" s="26">
        <f>IF(I1599="","",(I1599-G1599)/G1599)</f>
        <v/>
      </c>
      <c r="M1599" s="26">
        <f>IF(J1599="","",(J1599-G1599)/G1599)</f>
        <v/>
      </c>
      <c r="N1599" s="27">
        <f>IF(H1599="","",IF(D1599="HOLD",IF(ABS(K1599)&lt;0.03,"YES","NO"),IF(D1599="BUY",IF(K1599&gt;0,"YES","NO"),IF(D1599="SELL",IF(K1599&lt;0,"YES","NO"),""))))</f>
        <v/>
      </c>
    </row>
    <row r="1600" ht="15" customHeight="1">
      <c r="K1600" s="26">
        <f>IF(H1600="","",(H1600-G1600)/G1600)</f>
        <v/>
      </c>
      <c r="L1600" s="26">
        <f>IF(I1600="","",(I1600-G1600)/G1600)</f>
        <v/>
      </c>
      <c r="M1600" s="26">
        <f>IF(J1600="","",(J1600-G1600)/G1600)</f>
        <v/>
      </c>
      <c r="N1600" s="27">
        <f>IF(H1600="","",IF(D1600="HOLD",IF(ABS(K1600)&lt;0.03,"YES","NO"),IF(D1600="BUY",IF(K1600&gt;0,"YES","NO"),IF(D1600="SELL",IF(K1600&lt;0,"YES","NO"),""))))</f>
        <v/>
      </c>
    </row>
    <row r="1601" ht="15" customHeight="1">
      <c r="K1601" s="26">
        <f>IF(H1601="","",(H1601-G1601)/G1601)</f>
        <v/>
      </c>
      <c r="L1601" s="26">
        <f>IF(I1601="","",(I1601-G1601)/G1601)</f>
        <v/>
      </c>
      <c r="M1601" s="26">
        <f>IF(J1601="","",(J1601-G1601)/G1601)</f>
        <v/>
      </c>
      <c r="N1601" s="27">
        <f>IF(H1601="","",IF(D1601="HOLD",IF(ABS(K1601)&lt;0.03,"YES","NO"),IF(D1601="BUY",IF(K1601&gt;0,"YES","NO"),IF(D1601="SELL",IF(K1601&lt;0,"YES","NO"),""))))</f>
        <v/>
      </c>
    </row>
    <row r="1602" ht="15" customHeight="1">
      <c r="K1602" s="26">
        <f>IF(H1602="","",(H1602-G1602)/G1602)</f>
        <v/>
      </c>
      <c r="L1602" s="26">
        <f>IF(I1602="","",(I1602-G1602)/G1602)</f>
        <v/>
      </c>
      <c r="M1602" s="26">
        <f>IF(J1602="","",(J1602-G1602)/G1602)</f>
        <v/>
      </c>
      <c r="N1602" s="27">
        <f>IF(H1602="","",IF(D1602="HOLD",IF(ABS(K1602)&lt;0.03,"YES","NO"),IF(D1602="BUY",IF(K1602&gt;0,"YES","NO"),IF(D1602="SELL",IF(K1602&lt;0,"YES","NO"),""))))</f>
        <v/>
      </c>
    </row>
    <row r="1603" ht="15" customHeight="1">
      <c r="K1603" s="26">
        <f>IF(H1603="","",(H1603-G1603)/G1603)</f>
        <v/>
      </c>
      <c r="L1603" s="26">
        <f>IF(I1603="","",(I1603-G1603)/G1603)</f>
        <v/>
      </c>
      <c r="M1603" s="26">
        <f>IF(J1603="","",(J1603-G1603)/G1603)</f>
        <v/>
      </c>
      <c r="N1603" s="27">
        <f>IF(H1603="","",IF(D1603="HOLD",IF(ABS(K1603)&lt;0.03,"YES","NO"),IF(D1603="BUY",IF(K1603&gt;0,"YES","NO"),IF(D1603="SELL",IF(K1603&lt;0,"YES","NO"),""))))</f>
        <v/>
      </c>
    </row>
    <row r="1604" ht="15" customHeight="1">
      <c r="K1604" s="26">
        <f>IF(H1604="","",(H1604-G1604)/G1604)</f>
        <v/>
      </c>
      <c r="L1604" s="26">
        <f>IF(I1604="","",(I1604-G1604)/G1604)</f>
        <v/>
      </c>
      <c r="M1604" s="26">
        <f>IF(J1604="","",(J1604-G1604)/G1604)</f>
        <v/>
      </c>
      <c r="N1604" s="27">
        <f>IF(H1604="","",IF(D1604="HOLD",IF(ABS(K1604)&lt;0.03,"YES","NO"),IF(D1604="BUY",IF(K1604&gt;0,"YES","NO"),IF(D1604="SELL",IF(K1604&lt;0,"YES","NO"),""))))</f>
        <v/>
      </c>
    </row>
    <row r="1605" ht="15" customHeight="1">
      <c r="K1605" s="26">
        <f>IF(H1605="","",(H1605-G1605)/G1605)</f>
        <v/>
      </c>
      <c r="L1605" s="26">
        <f>IF(I1605="","",(I1605-G1605)/G1605)</f>
        <v/>
      </c>
      <c r="M1605" s="26">
        <f>IF(J1605="","",(J1605-G1605)/G1605)</f>
        <v/>
      </c>
      <c r="N1605" s="27">
        <f>IF(H1605="","",IF(D1605="HOLD",IF(ABS(K1605)&lt;0.03,"YES","NO"),IF(D1605="BUY",IF(K1605&gt;0,"YES","NO"),IF(D1605="SELL",IF(K1605&lt;0,"YES","NO"),""))))</f>
        <v/>
      </c>
    </row>
    <row r="1606" ht="15" customHeight="1">
      <c r="K1606" s="26">
        <f>IF(H1606="","",(H1606-G1606)/G1606)</f>
        <v/>
      </c>
      <c r="L1606" s="26">
        <f>IF(I1606="","",(I1606-G1606)/G1606)</f>
        <v/>
      </c>
      <c r="M1606" s="26">
        <f>IF(J1606="","",(J1606-G1606)/G1606)</f>
        <v/>
      </c>
      <c r="N1606" s="27">
        <f>IF(H1606="","",IF(D1606="HOLD",IF(ABS(K1606)&lt;0.03,"YES","NO"),IF(D1606="BUY",IF(K1606&gt;0,"YES","NO"),IF(D1606="SELL",IF(K1606&lt;0,"YES","NO"),""))))</f>
        <v/>
      </c>
    </row>
    <row r="1607" ht="15" customHeight="1">
      <c r="K1607" s="26">
        <f>IF(H1607="","",(H1607-G1607)/G1607)</f>
        <v/>
      </c>
      <c r="L1607" s="26">
        <f>IF(I1607="","",(I1607-G1607)/G1607)</f>
        <v/>
      </c>
      <c r="M1607" s="26">
        <f>IF(J1607="","",(J1607-G1607)/G1607)</f>
        <v/>
      </c>
      <c r="N1607" s="27">
        <f>IF(H1607="","",IF(D1607="HOLD",IF(ABS(K1607)&lt;0.03,"YES","NO"),IF(D1607="BUY",IF(K1607&gt;0,"YES","NO"),IF(D1607="SELL",IF(K1607&lt;0,"YES","NO"),""))))</f>
        <v/>
      </c>
    </row>
    <row r="1608" ht="15" customHeight="1">
      <c r="K1608" s="26">
        <f>IF(H1608="","",(H1608-G1608)/G1608)</f>
        <v/>
      </c>
      <c r="L1608" s="26">
        <f>IF(I1608="","",(I1608-G1608)/G1608)</f>
        <v/>
      </c>
      <c r="M1608" s="26">
        <f>IF(J1608="","",(J1608-G1608)/G1608)</f>
        <v/>
      </c>
      <c r="N1608" s="27">
        <f>IF(H1608="","",IF(D1608="HOLD",IF(ABS(K1608)&lt;0.03,"YES","NO"),IF(D1608="BUY",IF(K1608&gt;0,"YES","NO"),IF(D1608="SELL",IF(K1608&lt;0,"YES","NO"),""))))</f>
        <v/>
      </c>
    </row>
    <row r="1609" ht="15" customHeight="1">
      <c r="K1609" s="26">
        <f>IF(H1609="","",(H1609-G1609)/G1609)</f>
        <v/>
      </c>
      <c r="L1609" s="26">
        <f>IF(I1609="","",(I1609-G1609)/G1609)</f>
        <v/>
      </c>
      <c r="M1609" s="26">
        <f>IF(J1609="","",(J1609-G1609)/G1609)</f>
        <v/>
      </c>
      <c r="N1609" s="27">
        <f>IF(H1609="","",IF(D1609="HOLD",IF(ABS(K1609)&lt;0.03,"YES","NO"),IF(D1609="BUY",IF(K1609&gt;0,"YES","NO"),IF(D1609="SELL",IF(K1609&lt;0,"YES","NO"),""))))</f>
        <v/>
      </c>
    </row>
    <row r="1610" ht="15" customHeight="1">
      <c r="K1610" s="26">
        <f>IF(H1610="","",(H1610-G1610)/G1610)</f>
        <v/>
      </c>
      <c r="L1610" s="26">
        <f>IF(I1610="","",(I1610-G1610)/G1610)</f>
        <v/>
      </c>
      <c r="M1610" s="26">
        <f>IF(J1610="","",(J1610-G1610)/G1610)</f>
        <v/>
      </c>
      <c r="N1610" s="27">
        <f>IF(H1610="","",IF(D1610="HOLD",IF(ABS(K1610)&lt;0.03,"YES","NO"),IF(D1610="BUY",IF(K1610&gt;0,"YES","NO"),IF(D1610="SELL",IF(K1610&lt;0,"YES","NO"),""))))</f>
        <v/>
      </c>
    </row>
    <row r="1611" ht="15" customHeight="1">
      <c r="K1611" s="26">
        <f>IF(H1611="","",(H1611-G1611)/G1611)</f>
        <v/>
      </c>
      <c r="L1611" s="26">
        <f>IF(I1611="","",(I1611-G1611)/G1611)</f>
        <v/>
      </c>
      <c r="M1611" s="26">
        <f>IF(J1611="","",(J1611-G1611)/G1611)</f>
        <v/>
      </c>
      <c r="N1611" s="27">
        <f>IF(H1611="","",IF(D1611="HOLD",IF(ABS(K1611)&lt;0.03,"YES","NO"),IF(D1611="BUY",IF(K1611&gt;0,"YES","NO"),IF(D1611="SELL",IF(K1611&lt;0,"YES","NO"),""))))</f>
        <v/>
      </c>
    </row>
    <row r="1612" ht="15" customHeight="1">
      <c r="K1612" s="26">
        <f>IF(H1612="","",(H1612-G1612)/G1612)</f>
        <v/>
      </c>
      <c r="L1612" s="26">
        <f>IF(I1612="","",(I1612-G1612)/G1612)</f>
        <v/>
      </c>
      <c r="M1612" s="26">
        <f>IF(J1612="","",(J1612-G1612)/G1612)</f>
        <v/>
      </c>
      <c r="N1612" s="27">
        <f>IF(H1612="","",IF(D1612="HOLD",IF(ABS(K1612)&lt;0.03,"YES","NO"),IF(D1612="BUY",IF(K1612&gt;0,"YES","NO"),IF(D1612="SELL",IF(K1612&lt;0,"YES","NO"),""))))</f>
        <v/>
      </c>
    </row>
    <row r="1613" ht="15" customHeight="1">
      <c r="K1613" s="26">
        <f>IF(H1613="","",(H1613-G1613)/G1613)</f>
        <v/>
      </c>
      <c r="L1613" s="26">
        <f>IF(I1613="","",(I1613-G1613)/G1613)</f>
        <v/>
      </c>
      <c r="M1613" s="26">
        <f>IF(J1613="","",(J1613-G1613)/G1613)</f>
        <v/>
      </c>
      <c r="N1613" s="27">
        <f>IF(H1613="","",IF(D1613="HOLD",IF(ABS(K1613)&lt;0.03,"YES","NO"),IF(D1613="BUY",IF(K1613&gt;0,"YES","NO"),IF(D1613="SELL",IF(K1613&lt;0,"YES","NO"),""))))</f>
        <v/>
      </c>
    </row>
    <row r="1614" ht="15" customHeight="1">
      <c r="K1614" s="26">
        <f>IF(H1614="","",(H1614-G1614)/G1614)</f>
        <v/>
      </c>
      <c r="L1614" s="26">
        <f>IF(I1614="","",(I1614-G1614)/G1614)</f>
        <v/>
      </c>
      <c r="M1614" s="26">
        <f>IF(J1614="","",(J1614-G1614)/G1614)</f>
        <v/>
      </c>
      <c r="N1614" s="27">
        <f>IF(H1614="","",IF(D1614="HOLD",IF(ABS(K1614)&lt;0.03,"YES","NO"),IF(D1614="BUY",IF(K1614&gt;0,"YES","NO"),IF(D1614="SELL",IF(K1614&lt;0,"YES","NO"),""))))</f>
        <v/>
      </c>
    </row>
    <row r="1615" ht="15" customHeight="1">
      <c r="K1615" s="26">
        <f>IF(H1615="","",(H1615-G1615)/G1615)</f>
        <v/>
      </c>
      <c r="L1615" s="26">
        <f>IF(I1615="","",(I1615-G1615)/G1615)</f>
        <v/>
      </c>
      <c r="M1615" s="26">
        <f>IF(J1615="","",(J1615-G1615)/G1615)</f>
        <v/>
      </c>
      <c r="N1615" s="27">
        <f>IF(H1615="","",IF(D1615="HOLD",IF(ABS(K1615)&lt;0.03,"YES","NO"),IF(D1615="BUY",IF(K1615&gt;0,"YES","NO"),IF(D1615="SELL",IF(K1615&lt;0,"YES","NO"),""))))</f>
        <v/>
      </c>
    </row>
    <row r="1616" ht="15" customHeight="1">
      <c r="K1616" s="26">
        <f>IF(H1616="","",(H1616-G1616)/G1616)</f>
        <v/>
      </c>
      <c r="L1616" s="26">
        <f>IF(I1616="","",(I1616-G1616)/G1616)</f>
        <v/>
      </c>
      <c r="M1616" s="26">
        <f>IF(J1616="","",(J1616-G1616)/G1616)</f>
        <v/>
      </c>
      <c r="N1616" s="27">
        <f>IF(H1616="","",IF(D1616="HOLD",IF(ABS(K1616)&lt;0.03,"YES","NO"),IF(D1616="BUY",IF(K1616&gt;0,"YES","NO"),IF(D1616="SELL",IF(K1616&lt;0,"YES","NO"),""))))</f>
        <v/>
      </c>
    </row>
    <row r="1617" ht="15" customHeight="1">
      <c r="K1617" s="26">
        <f>IF(H1617="","",(H1617-G1617)/G1617)</f>
        <v/>
      </c>
      <c r="L1617" s="26">
        <f>IF(I1617="","",(I1617-G1617)/G1617)</f>
        <v/>
      </c>
      <c r="M1617" s="26">
        <f>IF(J1617="","",(J1617-G1617)/G1617)</f>
        <v/>
      </c>
      <c r="N1617" s="27">
        <f>IF(H1617="","",IF(D1617="HOLD",IF(ABS(K1617)&lt;0.03,"YES","NO"),IF(D1617="BUY",IF(K1617&gt;0,"YES","NO"),IF(D1617="SELL",IF(K1617&lt;0,"YES","NO"),""))))</f>
        <v/>
      </c>
    </row>
    <row r="1618" ht="15" customHeight="1">
      <c r="K1618" s="26">
        <f>IF(H1618="","",(H1618-G1618)/G1618)</f>
        <v/>
      </c>
      <c r="L1618" s="26">
        <f>IF(I1618="","",(I1618-G1618)/G1618)</f>
        <v/>
      </c>
      <c r="M1618" s="26">
        <f>IF(J1618="","",(J1618-G1618)/G1618)</f>
        <v/>
      </c>
      <c r="N1618" s="27">
        <f>IF(H1618="","",IF(D1618="HOLD",IF(ABS(K1618)&lt;0.03,"YES","NO"),IF(D1618="BUY",IF(K1618&gt;0,"YES","NO"),IF(D1618="SELL",IF(K1618&lt;0,"YES","NO"),""))))</f>
        <v/>
      </c>
    </row>
    <row r="1619" ht="15" customHeight="1">
      <c r="K1619" s="26">
        <f>IF(H1619="","",(H1619-G1619)/G1619)</f>
        <v/>
      </c>
      <c r="L1619" s="26">
        <f>IF(I1619="","",(I1619-G1619)/G1619)</f>
        <v/>
      </c>
      <c r="M1619" s="26">
        <f>IF(J1619="","",(J1619-G1619)/G1619)</f>
        <v/>
      </c>
      <c r="N1619" s="27">
        <f>IF(H1619="","",IF(D1619="HOLD",IF(ABS(K1619)&lt;0.03,"YES","NO"),IF(D1619="BUY",IF(K1619&gt;0,"YES","NO"),IF(D1619="SELL",IF(K1619&lt;0,"YES","NO"),""))))</f>
        <v/>
      </c>
    </row>
    <row r="1620" ht="15" customHeight="1">
      <c r="K1620" s="26">
        <f>IF(H1620="","",(H1620-G1620)/G1620)</f>
        <v/>
      </c>
      <c r="L1620" s="26">
        <f>IF(I1620="","",(I1620-G1620)/G1620)</f>
        <v/>
      </c>
      <c r="M1620" s="26">
        <f>IF(J1620="","",(J1620-G1620)/G1620)</f>
        <v/>
      </c>
      <c r="N1620" s="27">
        <f>IF(H1620="","",IF(D1620="HOLD",IF(ABS(K1620)&lt;0.03,"YES","NO"),IF(D1620="BUY",IF(K1620&gt;0,"YES","NO"),IF(D1620="SELL",IF(K1620&lt;0,"YES","NO"),""))))</f>
        <v/>
      </c>
    </row>
    <row r="1621" ht="15" customHeight="1">
      <c r="K1621" s="26">
        <f>IF(H1621="","",(H1621-G1621)/G1621)</f>
        <v/>
      </c>
      <c r="L1621" s="26">
        <f>IF(I1621="","",(I1621-G1621)/G1621)</f>
        <v/>
      </c>
      <c r="M1621" s="26">
        <f>IF(J1621="","",(J1621-G1621)/G1621)</f>
        <v/>
      </c>
      <c r="N1621" s="27">
        <f>IF(H1621="","",IF(D1621="HOLD",IF(ABS(K1621)&lt;0.03,"YES","NO"),IF(D1621="BUY",IF(K1621&gt;0,"YES","NO"),IF(D1621="SELL",IF(K1621&lt;0,"YES","NO"),""))))</f>
        <v/>
      </c>
    </row>
    <row r="1622" ht="15" customHeight="1">
      <c r="K1622" s="26">
        <f>IF(H1622="","",(H1622-G1622)/G1622)</f>
        <v/>
      </c>
      <c r="L1622" s="26">
        <f>IF(I1622="","",(I1622-G1622)/G1622)</f>
        <v/>
      </c>
      <c r="M1622" s="26">
        <f>IF(J1622="","",(J1622-G1622)/G1622)</f>
        <v/>
      </c>
      <c r="N1622" s="27">
        <f>IF(H1622="","",IF(D1622="HOLD",IF(ABS(K1622)&lt;0.03,"YES","NO"),IF(D1622="BUY",IF(K1622&gt;0,"YES","NO"),IF(D1622="SELL",IF(K1622&lt;0,"YES","NO"),""))))</f>
        <v/>
      </c>
    </row>
    <row r="1623" ht="15" customHeight="1">
      <c r="K1623" s="26">
        <f>IF(H1623="","",(H1623-G1623)/G1623)</f>
        <v/>
      </c>
      <c r="L1623" s="26">
        <f>IF(I1623="","",(I1623-G1623)/G1623)</f>
        <v/>
      </c>
      <c r="M1623" s="26">
        <f>IF(J1623="","",(J1623-G1623)/G1623)</f>
        <v/>
      </c>
      <c r="N1623" s="27">
        <f>IF(H1623="","",IF(D1623="HOLD",IF(ABS(K1623)&lt;0.03,"YES","NO"),IF(D1623="BUY",IF(K1623&gt;0,"YES","NO"),IF(D1623="SELL",IF(K1623&lt;0,"YES","NO"),""))))</f>
        <v/>
      </c>
    </row>
    <row r="1624" ht="15" customHeight="1">
      <c r="K1624" s="26">
        <f>IF(H1624="","",(H1624-G1624)/G1624)</f>
        <v/>
      </c>
      <c r="L1624" s="26">
        <f>IF(I1624="","",(I1624-G1624)/G1624)</f>
        <v/>
      </c>
      <c r="M1624" s="26">
        <f>IF(J1624="","",(J1624-G1624)/G1624)</f>
        <v/>
      </c>
      <c r="N1624" s="27">
        <f>IF(H1624="","",IF(D1624="HOLD",IF(ABS(K1624)&lt;0.03,"YES","NO"),IF(D1624="BUY",IF(K1624&gt;0,"YES","NO"),IF(D1624="SELL",IF(K1624&lt;0,"YES","NO"),""))))</f>
        <v/>
      </c>
    </row>
    <row r="1625" ht="15" customHeight="1">
      <c r="K1625" s="26">
        <f>IF(H1625="","",(H1625-G1625)/G1625)</f>
        <v/>
      </c>
      <c r="L1625" s="26">
        <f>IF(I1625="","",(I1625-G1625)/G1625)</f>
        <v/>
      </c>
      <c r="M1625" s="26">
        <f>IF(J1625="","",(J1625-G1625)/G1625)</f>
        <v/>
      </c>
      <c r="N1625" s="27">
        <f>IF(H1625="","",IF(D1625="HOLD",IF(ABS(K1625)&lt;0.03,"YES","NO"),IF(D1625="BUY",IF(K1625&gt;0,"YES","NO"),IF(D1625="SELL",IF(K1625&lt;0,"YES","NO"),""))))</f>
        <v/>
      </c>
    </row>
    <row r="1626" ht="15" customHeight="1">
      <c r="K1626" s="26">
        <f>IF(H1626="","",(H1626-G1626)/G1626)</f>
        <v/>
      </c>
      <c r="L1626" s="26">
        <f>IF(I1626="","",(I1626-G1626)/G1626)</f>
        <v/>
      </c>
      <c r="M1626" s="26">
        <f>IF(J1626="","",(J1626-G1626)/G1626)</f>
        <v/>
      </c>
      <c r="N1626" s="27">
        <f>IF(H1626="","",IF(D1626="HOLD",IF(ABS(K1626)&lt;0.03,"YES","NO"),IF(D1626="BUY",IF(K1626&gt;0,"YES","NO"),IF(D1626="SELL",IF(K1626&lt;0,"YES","NO"),""))))</f>
        <v/>
      </c>
    </row>
    <row r="1627" ht="15" customHeight="1">
      <c r="K1627" s="26">
        <f>IF(H1627="","",(H1627-G1627)/G1627)</f>
        <v/>
      </c>
      <c r="L1627" s="26">
        <f>IF(I1627="","",(I1627-G1627)/G1627)</f>
        <v/>
      </c>
      <c r="M1627" s="26">
        <f>IF(J1627="","",(J1627-G1627)/G1627)</f>
        <v/>
      </c>
      <c r="N1627" s="27">
        <f>IF(H1627="","",IF(D1627="HOLD",IF(ABS(K1627)&lt;0.03,"YES","NO"),IF(D1627="BUY",IF(K1627&gt;0,"YES","NO"),IF(D1627="SELL",IF(K1627&lt;0,"YES","NO"),""))))</f>
        <v/>
      </c>
    </row>
    <row r="1628" ht="15" customHeight="1">
      <c r="K1628" s="26">
        <f>IF(H1628="","",(H1628-G1628)/G1628)</f>
        <v/>
      </c>
      <c r="L1628" s="26">
        <f>IF(I1628="","",(I1628-G1628)/G1628)</f>
        <v/>
      </c>
      <c r="M1628" s="26">
        <f>IF(J1628="","",(J1628-G1628)/G1628)</f>
        <v/>
      </c>
      <c r="N1628" s="27">
        <f>IF(H1628="","",IF(D1628="HOLD",IF(ABS(K1628)&lt;0.03,"YES","NO"),IF(D1628="BUY",IF(K1628&gt;0,"YES","NO"),IF(D1628="SELL",IF(K1628&lt;0,"YES","NO"),""))))</f>
        <v/>
      </c>
    </row>
    <row r="1629" ht="15" customHeight="1">
      <c r="K1629" s="26">
        <f>IF(H1629="","",(H1629-G1629)/G1629)</f>
        <v/>
      </c>
      <c r="L1629" s="26">
        <f>IF(I1629="","",(I1629-G1629)/G1629)</f>
        <v/>
      </c>
      <c r="M1629" s="26">
        <f>IF(J1629="","",(J1629-G1629)/G1629)</f>
        <v/>
      </c>
      <c r="N1629" s="27">
        <f>IF(H1629="","",IF(D1629="HOLD",IF(ABS(K1629)&lt;0.03,"YES","NO"),IF(D1629="BUY",IF(K1629&gt;0,"YES","NO"),IF(D1629="SELL",IF(K1629&lt;0,"YES","NO"),""))))</f>
        <v/>
      </c>
    </row>
    <row r="1630" ht="15" customHeight="1">
      <c r="K1630" s="26">
        <f>IF(H1630="","",(H1630-G1630)/G1630)</f>
        <v/>
      </c>
      <c r="L1630" s="26">
        <f>IF(I1630="","",(I1630-G1630)/G1630)</f>
        <v/>
      </c>
      <c r="M1630" s="26">
        <f>IF(J1630="","",(J1630-G1630)/G1630)</f>
        <v/>
      </c>
      <c r="N1630" s="27">
        <f>IF(H1630="","",IF(D1630="HOLD",IF(ABS(K1630)&lt;0.03,"YES","NO"),IF(D1630="BUY",IF(K1630&gt;0,"YES","NO"),IF(D1630="SELL",IF(K1630&lt;0,"YES","NO"),""))))</f>
        <v/>
      </c>
    </row>
    <row r="1631" ht="15" customHeight="1">
      <c r="K1631" s="26">
        <f>IF(H1631="","",(H1631-G1631)/G1631)</f>
        <v/>
      </c>
      <c r="L1631" s="26">
        <f>IF(I1631="","",(I1631-G1631)/G1631)</f>
        <v/>
      </c>
      <c r="M1631" s="26">
        <f>IF(J1631="","",(J1631-G1631)/G1631)</f>
        <v/>
      </c>
      <c r="N1631" s="27">
        <f>IF(H1631="","",IF(D1631="HOLD",IF(ABS(K1631)&lt;0.03,"YES","NO"),IF(D1631="BUY",IF(K1631&gt;0,"YES","NO"),IF(D1631="SELL",IF(K1631&lt;0,"YES","NO"),""))))</f>
        <v/>
      </c>
    </row>
    <row r="1632" ht="15" customHeight="1">
      <c r="K1632" s="26">
        <f>IF(H1632="","",(H1632-G1632)/G1632)</f>
        <v/>
      </c>
      <c r="L1632" s="26">
        <f>IF(I1632="","",(I1632-G1632)/G1632)</f>
        <v/>
      </c>
      <c r="M1632" s="26">
        <f>IF(J1632="","",(J1632-G1632)/G1632)</f>
        <v/>
      </c>
      <c r="N1632" s="27">
        <f>IF(H1632="","",IF(D1632="HOLD",IF(ABS(K1632)&lt;0.03,"YES","NO"),IF(D1632="BUY",IF(K1632&gt;0,"YES","NO"),IF(D1632="SELL",IF(K1632&lt;0,"YES","NO"),""))))</f>
        <v/>
      </c>
    </row>
    <row r="1633" ht="15" customHeight="1">
      <c r="K1633" s="26">
        <f>IF(H1633="","",(H1633-G1633)/G1633)</f>
        <v/>
      </c>
      <c r="L1633" s="26">
        <f>IF(I1633="","",(I1633-G1633)/G1633)</f>
        <v/>
      </c>
      <c r="M1633" s="26">
        <f>IF(J1633="","",(J1633-G1633)/G1633)</f>
        <v/>
      </c>
      <c r="N1633" s="27">
        <f>IF(H1633="","",IF(D1633="HOLD",IF(ABS(K1633)&lt;0.03,"YES","NO"),IF(D1633="BUY",IF(K1633&gt;0,"YES","NO"),IF(D1633="SELL",IF(K1633&lt;0,"YES","NO"),""))))</f>
        <v/>
      </c>
    </row>
    <row r="1634" ht="15" customHeight="1">
      <c r="K1634" s="26">
        <f>IF(H1634="","",(H1634-G1634)/G1634)</f>
        <v/>
      </c>
      <c r="L1634" s="26">
        <f>IF(I1634="","",(I1634-G1634)/G1634)</f>
        <v/>
      </c>
      <c r="M1634" s="26">
        <f>IF(J1634="","",(J1634-G1634)/G1634)</f>
        <v/>
      </c>
      <c r="N1634" s="27">
        <f>IF(H1634="","",IF(D1634="HOLD",IF(ABS(K1634)&lt;0.03,"YES","NO"),IF(D1634="BUY",IF(K1634&gt;0,"YES","NO"),IF(D1634="SELL",IF(K1634&lt;0,"YES","NO"),""))))</f>
        <v/>
      </c>
    </row>
    <row r="1635" ht="15" customHeight="1">
      <c r="K1635" s="26">
        <f>IF(H1635="","",(H1635-G1635)/G1635)</f>
        <v/>
      </c>
      <c r="L1635" s="26">
        <f>IF(I1635="","",(I1635-G1635)/G1635)</f>
        <v/>
      </c>
      <c r="M1635" s="26">
        <f>IF(J1635="","",(J1635-G1635)/G1635)</f>
        <v/>
      </c>
      <c r="N1635" s="27">
        <f>IF(H1635="","",IF(D1635="HOLD",IF(ABS(K1635)&lt;0.03,"YES","NO"),IF(D1635="BUY",IF(K1635&gt;0,"YES","NO"),IF(D1635="SELL",IF(K1635&lt;0,"YES","NO"),""))))</f>
        <v/>
      </c>
    </row>
    <row r="1636" ht="15" customHeight="1">
      <c r="K1636" s="26">
        <f>IF(H1636="","",(H1636-G1636)/G1636)</f>
        <v/>
      </c>
      <c r="L1636" s="26">
        <f>IF(I1636="","",(I1636-G1636)/G1636)</f>
        <v/>
      </c>
      <c r="M1636" s="26">
        <f>IF(J1636="","",(J1636-G1636)/G1636)</f>
        <v/>
      </c>
      <c r="N1636" s="27">
        <f>IF(H1636="","",IF(D1636="HOLD",IF(ABS(K1636)&lt;0.03,"YES","NO"),IF(D1636="BUY",IF(K1636&gt;0,"YES","NO"),IF(D1636="SELL",IF(K1636&lt;0,"YES","NO"),""))))</f>
        <v/>
      </c>
    </row>
    <row r="1637" ht="15" customHeight="1">
      <c r="K1637" s="26">
        <f>IF(H1637="","",(H1637-G1637)/G1637)</f>
        <v/>
      </c>
      <c r="L1637" s="26">
        <f>IF(I1637="","",(I1637-G1637)/G1637)</f>
        <v/>
      </c>
      <c r="M1637" s="26">
        <f>IF(J1637="","",(J1637-G1637)/G1637)</f>
        <v/>
      </c>
      <c r="N1637" s="27">
        <f>IF(H1637="","",IF(D1637="HOLD",IF(ABS(K1637)&lt;0.03,"YES","NO"),IF(D1637="BUY",IF(K1637&gt;0,"YES","NO"),IF(D1637="SELL",IF(K1637&lt;0,"YES","NO"),""))))</f>
        <v/>
      </c>
    </row>
    <row r="1638" ht="15" customHeight="1">
      <c r="K1638" s="26">
        <f>IF(H1638="","",(H1638-G1638)/G1638)</f>
        <v/>
      </c>
      <c r="L1638" s="26">
        <f>IF(I1638="","",(I1638-G1638)/G1638)</f>
        <v/>
      </c>
      <c r="M1638" s="26">
        <f>IF(J1638="","",(J1638-G1638)/G1638)</f>
        <v/>
      </c>
      <c r="N1638" s="27">
        <f>IF(H1638="","",IF(D1638="HOLD",IF(ABS(K1638)&lt;0.03,"YES","NO"),IF(D1638="BUY",IF(K1638&gt;0,"YES","NO"),IF(D1638="SELL",IF(K1638&lt;0,"YES","NO"),""))))</f>
        <v/>
      </c>
    </row>
    <row r="1639" ht="15" customHeight="1">
      <c r="K1639" s="26">
        <f>IF(H1639="","",(H1639-G1639)/G1639)</f>
        <v/>
      </c>
      <c r="L1639" s="26">
        <f>IF(I1639="","",(I1639-G1639)/G1639)</f>
        <v/>
      </c>
      <c r="M1639" s="26">
        <f>IF(J1639="","",(J1639-G1639)/G1639)</f>
        <v/>
      </c>
      <c r="N1639" s="27">
        <f>IF(H1639="","",IF(D1639="HOLD",IF(ABS(K1639)&lt;0.03,"YES","NO"),IF(D1639="BUY",IF(K1639&gt;0,"YES","NO"),IF(D1639="SELL",IF(K1639&lt;0,"YES","NO"),""))))</f>
        <v/>
      </c>
    </row>
    <row r="1640" ht="15" customHeight="1">
      <c r="K1640" s="26">
        <f>IF(H1640="","",(H1640-G1640)/G1640)</f>
        <v/>
      </c>
      <c r="L1640" s="26">
        <f>IF(I1640="","",(I1640-G1640)/G1640)</f>
        <v/>
      </c>
      <c r="M1640" s="26">
        <f>IF(J1640="","",(J1640-G1640)/G1640)</f>
        <v/>
      </c>
      <c r="N1640" s="27">
        <f>IF(H1640="","",IF(D1640="HOLD",IF(ABS(K1640)&lt;0.03,"YES","NO"),IF(D1640="BUY",IF(K1640&gt;0,"YES","NO"),IF(D1640="SELL",IF(K1640&lt;0,"YES","NO"),""))))</f>
        <v/>
      </c>
    </row>
    <row r="1641" ht="15" customHeight="1">
      <c r="K1641" s="26">
        <f>IF(H1641="","",(H1641-G1641)/G1641)</f>
        <v/>
      </c>
      <c r="L1641" s="26">
        <f>IF(I1641="","",(I1641-G1641)/G1641)</f>
        <v/>
      </c>
      <c r="M1641" s="26">
        <f>IF(J1641="","",(J1641-G1641)/G1641)</f>
        <v/>
      </c>
      <c r="N1641" s="27">
        <f>IF(H1641="","",IF(D1641="HOLD",IF(ABS(K1641)&lt;0.03,"YES","NO"),IF(D1641="BUY",IF(K1641&gt;0,"YES","NO"),IF(D1641="SELL",IF(K1641&lt;0,"YES","NO"),""))))</f>
        <v/>
      </c>
    </row>
    <row r="1642" ht="15" customHeight="1">
      <c r="K1642" s="26">
        <f>IF(H1642="","",(H1642-G1642)/G1642)</f>
        <v/>
      </c>
      <c r="L1642" s="26">
        <f>IF(I1642="","",(I1642-G1642)/G1642)</f>
        <v/>
      </c>
      <c r="M1642" s="26">
        <f>IF(J1642="","",(J1642-G1642)/G1642)</f>
        <v/>
      </c>
      <c r="N1642" s="27">
        <f>IF(H1642="","",IF(D1642="HOLD",IF(ABS(K1642)&lt;0.03,"YES","NO"),IF(D1642="BUY",IF(K1642&gt;0,"YES","NO"),IF(D1642="SELL",IF(K1642&lt;0,"YES","NO"),""))))</f>
        <v/>
      </c>
    </row>
    <row r="1643" ht="15" customHeight="1">
      <c r="K1643" s="26">
        <f>IF(H1643="","",(H1643-G1643)/G1643)</f>
        <v/>
      </c>
      <c r="L1643" s="26">
        <f>IF(I1643="","",(I1643-G1643)/G1643)</f>
        <v/>
      </c>
      <c r="M1643" s="26">
        <f>IF(J1643="","",(J1643-G1643)/G1643)</f>
        <v/>
      </c>
      <c r="N1643" s="27">
        <f>IF(H1643="","",IF(D1643="HOLD",IF(ABS(K1643)&lt;0.03,"YES","NO"),IF(D1643="BUY",IF(K1643&gt;0,"YES","NO"),IF(D1643="SELL",IF(K1643&lt;0,"YES","NO"),""))))</f>
        <v/>
      </c>
    </row>
    <row r="1644" ht="15" customHeight="1">
      <c r="K1644" s="26">
        <f>IF(H1644="","",(H1644-G1644)/G1644)</f>
        <v/>
      </c>
      <c r="L1644" s="26">
        <f>IF(I1644="","",(I1644-G1644)/G1644)</f>
        <v/>
      </c>
      <c r="M1644" s="26">
        <f>IF(J1644="","",(J1644-G1644)/G1644)</f>
        <v/>
      </c>
      <c r="N1644" s="27">
        <f>IF(H1644="","",IF(D1644="HOLD",IF(ABS(K1644)&lt;0.03,"YES","NO"),IF(D1644="BUY",IF(K1644&gt;0,"YES","NO"),IF(D1644="SELL",IF(K1644&lt;0,"YES","NO"),""))))</f>
        <v/>
      </c>
    </row>
    <row r="1645" ht="15" customHeight="1">
      <c r="K1645" s="26">
        <f>IF(H1645="","",(H1645-G1645)/G1645)</f>
        <v/>
      </c>
      <c r="L1645" s="26">
        <f>IF(I1645="","",(I1645-G1645)/G1645)</f>
        <v/>
      </c>
      <c r="M1645" s="26">
        <f>IF(J1645="","",(J1645-G1645)/G1645)</f>
        <v/>
      </c>
      <c r="N1645" s="27">
        <f>IF(H1645="","",IF(D1645="HOLD",IF(ABS(K1645)&lt;0.03,"YES","NO"),IF(D1645="BUY",IF(K1645&gt;0,"YES","NO"),IF(D1645="SELL",IF(K1645&lt;0,"YES","NO"),""))))</f>
        <v/>
      </c>
    </row>
    <row r="1646" ht="15" customHeight="1">
      <c r="K1646" s="26">
        <f>IF(H1646="","",(H1646-G1646)/G1646)</f>
        <v/>
      </c>
      <c r="L1646" s="26">
        <f>IF(I1646="","",(I1646-G1646)/G1646)</f>
        <v/>
      </c>
      <c r="M1646" s="26">
        <f>IF(J1646="","",(J1646-G1646)/G1646)</f>
        <v/>
      </c>
      <c r="N1646" s="27">
        <f>IF(H1646="","",IF(D1646="HOLD",IF(ABS(K1646)&lt;0.03,"YES","NO"),IF(D1646="BUY",IF(K1646&gt;0,"YES","NO"),IF(D1646="SELL",IF(K1646&lt;0,"YES","NO"),""))))</f>
        <v/>
      </c>
    </row>
    <row r="1647" ht="15" customHeight="1">
      <c r="K1647" s="26">
        <f>IF(H1647="","",(H1647-G1647)/G1647)</f>
        <v/>
      </c>
      <c r="L1647" s="26">
        <f>IF(I1647="","",(I1647-G1647)/G1647)</f>
        <v/>
      </c>
      <c r="M1647" s="26">
        <f>IF(J1647="","",(J1647-G1647)/G1647)</f>
        <v/>
      </c>
      <c r="N1647" s="27">
        <f>IF(H1647="","",IF(D1647="HOLD",IF(ABS(K1647)&lt;0.03,"YES","NO"),IF(D1647="BUY",IF(K1647&gt;0,"YES","NO"),IF(D1647="SELL",IF(K1647&lt;0,"YES","NO"),""))))</f>
        <v/>
      </c>
    </row>
    <row r="1648" ht="15" customHeight="1">
      <c r="K1648" s="26">
        <f>IF(H1648="","",(H1648-G1648)/G1648)</f>
        <v/>
      </c>
      <c r="L1648" s="26">
        <f>IF(I1648="","",(I1648-G1648)/G1648)</f>
        <v/>
      </c>
      <c r="M1648" s="26">
        <f>IF(J1648="","",(J1648-G1648)/G1648)</f>
        <v/>
      </c>
      <c r="N1648" s="27">
        <f>IF(H1648="","",IF(D1648="HOLD",IF(ABS(K1648)&lt;0.03,"YES","NO"),IF(D1648="BUY",IF(K1648&gt;0,"YES","NO"),IF(D1648="SELL",IF(K1648&lt;0,"YES","NO"),""))))</f>
        <v/>
      </c>
    </row>
    <row r="1649" ht="15" customHeight="1">
      <c r="K1649" s="26">
        <f>IF(H1649="","",(H1649-G1649)/G1649)</f>
        <v/>
      </c>
      <c r="L1649" s="26">
        <f>IF(I1649="","",(I1649-G1649)/G1649)</f>
        <v/>
      </c>
      <c r="M1649" s="26">
        <f>IF(J1649="","",(J1649-G1649)/G1649)</f>
        <v/>
      </c>
      <c r="N1649" s="27">
        <f>IF(H1649="","",IF(D1649="HOLD",IF(ABS(K1649)&lt;0.03,"YES","NO"),IF(D1649="BUY",IF(K1649&gt;0,"YES","NO"),IF(D1649="SELL",IF(K1649&lt;0,"YES","NO"),""))))</f>
        <v/>
      </c>
    </row>
    <row r="1650" ht="15" customHeight="1">
      <c r="K1650" s="26">
        <f>IF(H1650="","",(H1650-G1650)/G1650)</f>
        <v/>
      </c>
      <c r="L1650" s="26">
        <f>IF(I1650="","",(I1650-G1650)/G1650)</f>
        <v/>
      </c>
      <c r="M1650" s="26">
        <f>IF(J1650="","",(J1650-G1650)/G1650)</f>
        <v/>
      </c>
      <c r="N1650" s="27">
        <f>IF(H1650="","",IF(D1650="HOLD",IF(ABS(K1650)&lt;0.03,"YES","NO"),IF(D1650="BUY",IF(K1650&gt;0,"YES","NO"),IF(D1650="SELL",IF(K1650&lt;0,"YES","NO"),""))))</f>
        <v/>
      </c>
    </row>
    <row r="1651" ht="15" customHeight="1">
      <c r="K1651" s="26">
        <f>IF(H1651="","",(H1651-G1651)/G1651)</f>
        <v/>
      </c>
      <c r="L1651" s="26">
        <f>IF(I1651="","",(I1651-G1651)/G1651)</f>
        <v/>
      </c>
      <c r="M1651" s="26">
        <f>IF(J1651="","",(J1651-G1651)/G1651)</f>
        <v/>
      </c>
      <c r="N1651" s="27">
        <f>IF(H1651="","",IF(D1651="HOLD",IF(ABS(K1651)&lt;0.03,"YES","NO"),IF(D1651="BUY",IF(K1651&gt;0,"YES","NO"),IF(D1651="SELL",IF(K1651&lt;0,"YES","NO"),""))))</f>
        <v/>
      </c>
    </row>
    <row r="1652" ht="15" customHeight="1">
      <c r="K1652" s="26">
        <f>IF(H1652="","",(H1652-G1652)/G1652)</f>
        <v/>
      </c>
      <c r="L1652" s="26">
        <f>IF(I1652="","",(I1652-G1652)/G1652)</f>
        <v/>
      </c>
      <c r="M1652" s="26">
        <f>IF(J1652="","",(J1652-G1652)/G1652)</f>
        <v/>
      </c>
      <c r="N1652" s="27">
        <f>IF(H1652="","",IF(D1652="HOLD",IF(ABS(K1652)&lt;0.03,"YES","NO"),IF(D1652="BUY",IF(K1652&gt;0,"YES","NO"),IF(D1652="SELL",IF(K1652&lt;0,"YES","NO"),""))))</f>
        <v/>
      </c>
    </row>
    <row r="1653" ht="15" customHeight="1">
      <c r="K1653" s="26">
        <f>IF(H1653="","",(H1653-G1653)/G1653)</f>
        <v/>
      </c>
      <c r="L1653" s="26">
        <f>IF(I1653="","",(I1653-G1653)/G1653)</f>
        <v/>
      </c>
      <c r="M1653" s="26">
        <f>IF(J1653="","",(J1653-G1653)/G1653)</f>
        <v/>
      </c>
      <c r="N1653" s="27">
        <f>IF(H1653="","",IF(D1653="HOLD",IF(ABS(K1653)&lt;0.03,"YES","NO"),IF(D1653="BUY",IF(K1653&gt;0,"YES","NO"),IF(D1653="SELL",IF(K1653&lt;0,"YES","NO"),""))))</f>
        <v/>
      </c>
    </row>
    <row r="1654" ht="15" customHeight="1">
      <c r="K1654" s="26">
        <f>IF(H1654="","",(H1654-G1654)/G1654)</f>
        <v/>
      </c>
      <c r="L1654" s="26">
        <f>IF(I1654="","",(I1654-G1654)/G1654)</f>
        <v/>
      </c>
      <c r="M1654" s="26">
        <f>IF(J1654="","",(J1654-G1654)/G1654)</f>
        <v/>
      </c>
      <c r="N1654" s="27">
        <f>IF(H1654="","",IF(D1654="HOLD",IF(ABS(K1654)&lt;0.03,"YES","NO"),IF(D1654="BUY",IF(K1654&gt;0,"YES","NO"),IF(D1654="SELL",IF(K1654&lt;0,"YES","NO"),""))))</f>
        <v/>
      </c>
    </row>
    <row r="1655" ht="15" customHeight="1">
      <c r="K1655" s="26">
        <f>IF(H1655="","",(H1655-G1655)/G1655)</f>
        <v/>
      </c>
      <c r="L1655" s="26">
        <f>IF(I1655="","",(I1655-G1655)/G1655)</f>
        <v/>
      </c>
      <c r="M1655" s="26">
        <f>IF(J1655="","",(J1655-G1655)/G1655)</f>
        <v/>
      </c>
      <c r="N1655" s="27">
        <f>IF(H1655="","",IF(D1655="HOLD",IF(ABS(K1655)&lt;0.03,"YES","NO"),IF(D1655="BUY",IF(K1655&gt;0,"YES","NO"),IF(D1655="SELL",IF(K1655&lt;0,"YES","NO"),""))))</f>
        <v/>
      </c>
    </row>
    <row r="1656" ht="15" customHeight="1">
      <c r="K1656" s="26">
        <f>IF(H1656="","",(H1656-G1656)/G1656)</f>
        <v/>
      </c>
      <c r="L1656" s="26">
        <f>IF(I1656="","",(I1656-G1656)/G1656)</f>
        <v/>
      </c>
      <c r="M1656" s="26">
        <f>IF(J1656="","",(J1656-G1656)/G1656)</f>
        <v/>
      </c>
      <c r="N1656" s="27">
        <f>IF(H1656="","",IF(D1656="HOLD",IF(ABS(K1656)&lt;0.03,"YES","NO"),IF(D1656="BUY",IF(K1656&gt;0,"YES","NO"),IF(D1656="SELL",IF(K1656&lt;0,"YES","NO"),""))))</f>
        <v/>
      </c>
    </row>
    <row r="1657" ht="15" customHeight="1">
      <c r="K1657" s="26">
        <f>IF(H1657="","",(H1657-G1657)/G1657)</f>
        <v/>
      </c>
      <c r="L1657" s="26">
        <f>IF(I1657="","",(I1657-G1657)/G1657)</f>
        <v/>
      </c>
      <c r="M1657" s="26">
        <f>IF(J1657="","",(J1657-G1657)/G1657)</f>
        <v/>
      </c>
      <c r="N1657" s="27">
        <f>IF(H1657="","",IF(D1657="HOLD",IF(ABS(K1657)&lt;0.03,"YES","NO"),IF(D1657="BUY",IF(K1657&gt;0,"YES","NO"),IF(D1657="SELL",IF(K1657&lt;0,"YES","NO"),""))))</f>
        <v/>
      </c>
    </row>
    <row r="1658" ht="15" customHeight="1">
      <c r="K1658" s="26">
        <f>IF(H1658="","",(H1658-G1658)/G1658)</f>
        <v/>
      </c>
      <c r="L1658" s="26">
        <f>IF(I1658="","",(I1658-G1658)/G1658)</f>
        <v/>
      </c>
      <c r="M1658" s="26">
        <f>IF(J1658="","",(J1658-G1658)/G1658)</f>
        <v/>
      </c>
      <c r="N1658" s="27">
        <f>IF(H1658="","",IF(D1658="HOLD",IF(ABS(K1658)&lt;0.03,"YES","NO"),IF(D1658="BUY",IF(K1658&gt;0,"YES","NO"),IF(D1658="SELL",IF(K1658&lt;0,"YES","NO"),""))))</f>
        <v/>
      </c>
    </row>
    <row r="1659" ht="15" customHeight="1">
      <c r="K1659" s="26">
        <f>IF(H1659="","",(H1659-G1659)/G1659)</f>
        <v/>
      </c>
      <c r="L1659" s="26">
        <f>IF(I1659="","",(I1659-G1659)/G1659)</f>
        <v/>
      </c>
      <c r="M1659" s="26">
        <f>IF(J1659="","",(J1659-G1659)/G1659)</f>
        <v/>
      </c>
      <c r="N1659" s="27">
        <f>IF(H1659="","",IF(D1659="HOLD",IF(ABS(K1659)&lt;0.03,"YES","NO"),IF(D1659="BUY",IF(K1659&gt;0,"YES","NO"),IF(D1659="SELL",IF(K1659&lt;0,"YES","NO"),""))))</f>
        <v/>
      </c>
    </row>
    <row r="1660" ht="15" customHeight="1">
      <c r="K1660" s="26">
        <f>IF(H1660="","",(H1660-G1660)/G1660)</f>
        <v/>
      </c>
      <c r="L1660" s="26">
        <f>IF(I1660="","",(I1660-G1660)/G1660)</f>
        <v/>
      </c>
      <c r="M1660" s="26">
        <f>IF(J1660="","",(J1660-G1660)/G1660)</f>
        <v/>
      </c>
      <c r="N1660" s="27">
        <f>IF(H1660="","",IF(D1660="HOLD",IF(ABS(K1660)&lt;0.03,"YES","NO"),IF(D1660="BUY",IF(K1660&gt;0,"YES","NO"),IF(D1660="SELL",IF(K1660&lt;0,"YES","NO"),""))))</f>
        <v/>
      </c>
    </row>
    <row r="1661" ht="15" customHeight="1">
      <c r="K1661" s="26">
        <f>IF(H1661="","",(H1661-G1661)/G1661)</f>
        <v/>
      </c>
      <c r="L1661" s="26">
        <f>IF(I1661="","",(I1661-G1661)/G1661)</f>
        <v/>
      </c>
      <c r="M1661" s="26">
        <f>IF(J1661="","",(J1661-G1661)/G1661)</f>
        <v/>
      </c>
      <c r="N1661" s="27">
        <f>IF(H1661="","",IF(D1661="HOLD",IF(ABS(K1661)&lt;0.03,"YES","NO"),IF(D1661="BUY",IF(K1661&gt;0,"YES","NO"),IF(D1661="SELL",IF(K1661&lt;0,"YES","NO"),""))))</f>
        <v/>
      </c>
    </row>
    <row r="1662" ht="15" customHeight="1">
      <c r="K1662" s="26">
        <f>IF(H1662="","",(H1662-G1662)/G1662)</f>
        <v/>
      </c>
      <c r="L1662" s="26">
        <f>IF(I1662="","",(I1662-G1662)/G1662)</f>
        <v/>
      </c>
      <c r="M1662" s="26">
        <f>IF(J1662="","",(J1662-G1662)/G1662)</f>
        <v/>
      </c>
      <c r="N1662" s="27">
        <f>IF(H1662="","",IF(D1662="HOLD",IF(ABS(K1662)&lt;0.03,"YES","NO"),IF(D1662="BUY",IF(K1662&gt;0,"YES","NO"),IF(D1662="SELL",IF(K1662&lt;0,"YES","NO"),""))))</f>
        <v/>
      </c>
    </row>
    <row r="1663" ht="15" customHeight="1">
      <c r="K1663" s="26">
        <f>IF(H1663="","",(H1663-G1663)/G1663)</f>
        <v/>
      </c>
      <c r="L1663" s="26">
        <f>IF(I1663="","",(I1663-G1663)/G1663)</f>
        <v/>
      </c>
      <c r="M1663" s="26">
        <f>IF(J1663="","",(J1663-G1663)/G1663)</f>
        <v/>
      </c>
      <c r="N1663" s="27">
        <f>IF(H1663="","",IF(D1663="HOLD",IF(ABS(K1663)&lt;0.03,"YES","NO"),IF(D1663="BUY",IF(K1663&gt;0,"YES","NO"),IF(D1663="SELL",IF(K1663&lt;0,"YES","NO"),""))))</f>
        <v/>
      </c>
    </row>
    <row r="1664" ht="15" customHeight="1">
      <c r="K1664" s="26">
        <f>IF(H1664="","",(H1664-G1664)/G1664)</f>
        <v/>
      </c>
      <c r="L1664" s="26">
        <f>IF(I1664="","",(I1664-G1664)/G1664)</f>
        <v/>
      </c>
      <c r="M1664" s="26">
        <f>IF(J1664="","",(J1664-G1664)/G1664)</f>
        <v/>
      </c>
      <c r="N1664" s="27">
        <f>IF(H1664="","",IF(D1664="HOLD",IF(ABS(K1664)&lt;0.03,"YES","NO"),IF(D1664="BUY",IF(K1664&gt;0,"YES","NO"),IF(D1664="SELL",IF(K1664&lt;0,"YES","NO"),""))))</f>
        <v/>
      </c>
    </row>
    <row r="1665" ht="15" customHeight="1">
      <c r="K1665" s="26">
        <f>IF(H1665="","",(H1665-G1665)/G1665)</f>
        <v/>
      </c>
      <c r="L1665" s="26">
        <f>IF(I1665="","",(I1665-G1665)/G1665)</f>
        <v/>
      </c>
      <c r="M1665" s="26">
        <f>IF(J1665="","",(J1665-G1665)/G1665)</f>
        <v/>
      </c>
      <c r="N1665" s="27">
        <f>IF(H1665="","",IF(D1665="HOLD",IF(ABS(K1665)&lt;0.03,"YES","NO"),IF(D1665="BUY",IF(K1665&gt;0,"YES","NO"),IF(D1665="SELL",IF(K1665&lt;0,"YES","NO"),""))))</f>
        <v/>
      </c>
    </row>
    <row r="1666" ht="15" customHeight="1">
      <c r="K1666" s="26">
        <f>IF(H1666="","",(H1666-G1666)/G1666)</f>
        <v/>
      </c>
      <c r="L1666" s="26">
        <f>IF(I1666="","",(I1666-G1666)/G1666)</f>
        <v/>
      </c>
      <c r="M1666" s="26">
        <f>IF(J1666="","",(J1666-G1666)/G1666)</f>
        <v/>
      </c>
      <c r="N1666" s="27">
        <f>IF(H1666="","",IF(D1666="HOLD",IF(ABS(K1666)&lt;0.03,"YES","NO"),IF(D1666="BUY",IF(K1666&gt;0,"YES","NO"),IF(D1666="SELL",IF(K1666&lt;0,"YES","NO"),""))))</f>
        <v/>
      </c>
    </row>
    <row r="1667" ht="15" customHeight="1">
      <c r="K1667" s="26">
        <f>IF(H1667="","",(H1667-G1667)/G1667)</f>
        <v/>
      </c>
      <c r="L1667" s="26">
        <f>IF(I1667="","",(I1667-G1667)/G1667)</f>
        <v/>
      </c>
      <c r="M1667" s="26">
        <f>IF(J1667="","",(J1667-G1667)/G1667)</f>
        <v/>
      </c>
      <c r="N1667" s="27">
        <f>IF(H1667="","",IF(D1667="HOLD",IF(ABS(K1667)&lt;0.03,"YES","NO"),IF(D1667="BUY",IF(K1667&gt;0,"YES","NO"),IF(D1667="SELL",IF(K1667&lt;0,"YES","NO"),""))))</f>
        <v/>
      </c>
    </row>
    <row r="1668" ht="15" customHeight="1">
      <c r="K1668" s="26">
        <f>IF(H1668="","",(H1668-G1668)/G1668)</f>
        <v/>
      </c>
      <c r="L1668" s="26">
        <f>IF(I1668="","",(I1668-G1668)/G1668)</f>
        <v/>
      </c>
      <c r="M1668" s="26">
        <f>IF(J1668="","",(J1668-G1668)/G1668)</f>
        <v/>
      </c>
      <c r="N1668" s="27">
        <f>IF(H1668="","",IF(D1668="HOLD",IF(ABS(K1668)&lt;0.03,"YES","NO"),IF(D1668="BUY",IF(K1668&gt;0,"YES","NO"),IF(D1668="SELL",IF(K1668&lt;0,"YES","NO"),""))))</f>
        <v/>
      </c>
    </row>
    <row r="1669" ht="15" customHeight="1">
      <c r="K1669" s="26">
        <f>IF(H1669="","",(H1669-G1669)/G1669)</f>
        <v/>
      </c>
      <c r="L1669" s="26">
        <f>IF(I1669="","",(I1669-G1669)/G1669)</f>
        <v/>
      </c>
      <c r="M1669" s="26">
        <f>IF(J1669="","",(J1669-G1669)/G1669)</f>
        <v/>
      </c>
      <c r="N1669" s="27">
        <f>IF(H1669="","",IF(D1669="HOLD",IF(ABS(K1669)&lt;0.03,"YES","NO"),IF(D1669="BUY",IF(K1669&gt;0,"YES","NO"),IF(D1669="SELL",IF(K1669&lt;0,"YES","NO"),""))))</f>
        <v/>
      </c>
    </row>
    <row r="1670" ht="15" customHeight="1">
      <c r="K1670" s="26">
        <f>IF(H1670="","",(H1670-G1670)/G1670)</f>
        <v/>
      </c>
      <c r="L1670" s="26">
        <f>IF(I1670="","",(I1670-G1670)/G1670)</f>
        <v/>
      </c>
      <c r="M1670" s="26">
        <f>IF(J1670="","",(J1670-G1670)/G1670)</f>
        <v/>
      </c>
      <c r="N1670" s="27">
        <f>IF(H1670="","",IF(D1670="HOLD",IF(ABS(K1670)&lt;0.03,"YES","NO"),IF(D1670="BUY",IF(K1670&gt;0,"YES","NO"),IF(D1670="SELL",IF(K1670&lt;0,"YES","NO"),""))))</f>
        <v/>
      </c>
    </row>
    <row r="1671" ht="15" customHeight="1">
      <c r="K1671" s="26">
        <f>IF(H1671="","",(H1671-G1671)/G1671)</f>
        <v/>
      </c>
      <c r="L1671" s="26">
        <f>IF(I1671="","",(I1671-G1671)/G1671)</f>
        <v/>
      </c>
      <c r="M1671" s="26">
        <f>IF(J1671="","",(J1671-G1671)/G1671)</f>
        <v/>
      </c>
      <c r="N1671" s="27">
        <f>IF(H1671="","",IF(D1671="HOLD",IF(ABS(K1671)&lt;0.03,"YES","NO"),IF(D1671="BUY",IF(K1671&gt;0,"YES","NO"),IF(D1671="SELL",IF(K1671&lt;0,"YES","NO"),""))))</f>
        <v/>
      </c>
    </row>
    <row r="1672" ht="15" customHeight="1">
      <c r="K1672" s="26">
        <f>IF(H1672="","",(H1672-G1672)/G1672)</f>
        <v/>
      </c>
      <c r="L1672" s="26">
        <f>IF(I1672="","",(I1672-G1672)/G1672)</f>
        <v/>
      </c>
      <c r="M1672" s="26">
        <f>IF(J1672="","",(J1672-G1672)/G1672)</f>
        <v/>
      </c>
      <c r="N1672" s="27">
        <f>IF(H1672="","",IF(D1672="HOLD",IF(ABS(K1672)&lt;0.03,"YES","NO"),IF(D1672="BUY",IF(K1672&gt;0,"YES","NO"),IF(D1672="SELL",IF(K1672&lt;0,"YES","NO"),""))))</f>
        <v/>
      </c>
    </row>
    <row r="1673" ht="15" customHeight="1">
      <c r="K1673" s="26">
        <f>IF(H1673="","",(H1673-G1673)/G1673)</f>
        <v/>
      </c>
      <c r="L1673" s="26">
        <f>IF(I1673="","",(I1673-G1673)/G1673)</f>
        <v/>
      </c>
      <c r="M1673" s="26">
        <f>IF(J1673="","",(J1673-G1673)/G1673)</f>
        <v/>
      </c>
      <c r="N1673" s="27">
        <f>IF(H1673="","",IF(D1673="HOLD",IF(ABS(K1673)&lt;0.03,"YES","NO"),IF(D1673="BUY",IF(K1673&gt;0,"YES","NO"),IF(D1673="SELL",IF(K1673&lt;0,"YES","NO"),""))))</f>
        <v/>
      </c>
    </row>
    <row r="1674" ht="15" customHeight="1">
      <c r="K1674" s="26">
        <f>IF(H1674="","",(H1674-G1674)/G1674)</f>
        <v/>
      </c>
      <c r="L1674" s="26">
        <f>IF(I1674="","",(I1674-G1674)/G1674)</f>
        <v/>
      </c>
      <c r="M1674" s="26">
        <f>IF(J1674="","",(J1674-G1674)/G1674)</f>
        <v/>
      </c>
      <c r="N1674" s="27">
        <f>IF(H1674="","",IF(D1674="HOLD",IF(ABS(K1674)&lt;0.03,"YES","NO"),IF(D1674="BUY",IF(K1674&gt;0,"YES","NO"),IF(D1674="SELL",IF(K1674&lt;0,"YES","NO"),""))))</f>
        <v/>
      </c>
    </row>
    <row r="1675" ht="15" customHeight="1">
      <c r="K1675" s="26">
        <f>IF(H1675="","",(H1675-G1675)/G1675)</f>
        <v/>
      </c>
      <c r="L1675" s="26">
        <f>IF(I1675="","",(I1675-G1675)/G1675)</f>
        <v/>
      </c>
      <c r="M1675" s="26">
        <f>IF(J1675="","",(J1675-G1675)/G1675)</f>
        <v/>
      </c>
      <c r="N1675" s="27">
        <f>IF(H1675="","",IF(D1675="HOLD",IF(ABS(K1675)&lt;0.03,"YES","NO"),IF(D1675="BUY",IF(K1675&gt;0,"YES","NO"),IF(D1675="SELL",IF(K1675&lt;0,"YES","NO"),""))))</f>
        <v/>
      </c>
    </row>
    <row r="1676" ht="15" customHeight="1">
      <c r="K1676" s="26">
        <f>IF(H1676="","",(H1676-G1676)/G1676)</f>
        <v/>
      </c>
      <c r="L1676" s="26">
        <f>IF(I1676="","",(I1676-G1676)/G1676)</f>
        <v/>
      </c>
      <c r="M1676" s="26">
        <f>IF(J1676="","",(J1676-G1676)/G1676)</f>
        <v/>
      </c>
      <c r="N1676" s="27">
        <f>IF(H1676="","",IF(D1676="HOLD",IF(ABS(K1676)&lt;0.03,"YES","NO"),IF(D1676="BUY",IF(K1676&gt;0,"YES","NO"),IF(D1676="SELL",IF(K1676&lt;0,"YES","NO"),""))))</f>
        <v/>
      </c>
    </row>
    <row r="1677" ht="15" customHeight="1">
      <c r="K1677" s="26">
        <f>IF(H1677="","",(H1677-G1677)/G1677)</f>
        <v/>
      </c>
      <c r="L1677" s="26">
        <f>IF(I1677="","",(I1677-G1677)/G1677)</f>
        <v/>
      </c>
      <c r="M1677" s="26">
        <f>IF(J1677="","",(J1677-G1677)/G1677)</f>
        <v/>
      </c>
      <c r="N1677" s="27">
        <f>IF(H1677="","",IF(D1677="HOLD",IF(ABS(K1677)&lt;0.03,"YES","NO"),IF(D1677="BUY",IF(K1677&gt;0,"YES","NO"),IF(D1677="SELL",IF(K1677&lt;0,"YES","NO"),""))))</f>
        <v/>
      </c>
    </row>
    <row r="1678" ht="15" customHeight="1">
      <c r="K1678" s="26">
        <f>IF(H1678="","",(H1678-G1678)/G1678)</f>
        <v/>
      </c>
      <c r="L1678" s="26">
        <f>IF(I1678="","",(I1678-G1678)/G1678)</f>
        <v/>
      </c>
      <c r="M1678" s="26">
        <f>IF(J1678="","",(J1678-G1678)/G1678)</f>
        <v/>
      </c>
      <c r="N1678" s="27">
        <f>IF(H1678="","",IF(D1678="HOLD",IF(ABS(K1678)&lt;0.03,"YES","NO"),IF(D1678="BUY",IF(K1678&gt;0,"YES","NO"),IF(D1678="SELL",IF(K1678&lt;0,"YES","NO"),""))))</f>
        <v/>
      </c>
    </row>
    <row r="1679" ht="15" customHeight="1">
      <c r="K1679" s="26">
        <f>IF(H1679="","",(H1679-G1679)/G1679)</f>
        <v/>
      </c>
      <c r="L1679" s="26">
        <f>IF(I1679="","",(I1679-G1679)/G1679)</f>
        <v/>
      </c>
      <c r="M1679" s="26">
        <f>IF(J1679="","",(J1679-G1679)/G1679)</f>
        <v/>
      </c>
      <c r="N1679" s="27">
        <f>IF(H1679="","",IF(D1679="HOLD",IF(ABS(K1679)&lt;0.03,"YES","NO"),IF(D1679="BUY",IF(K1679&gt;0,"YES","NO"),IF(D1679="SELL",IF(K1679&lt;0,"YES","NO"),""))))</f>
        <v/>
      </c>
    </row>
    <row r="1680" ht="15" customHeight="1">
      <c r="K1680" s="26">
        <f>IF(H1680="","",(H1680-G1680)/G1680)</f>
        <v/>
      </c>
      <c r="L1680" s="26">
        <f>IF(I1680="","",(I1680-G1680)/G1680)</f>
        <v/>
      </c>
      <c r="M1680" s="26">
        <f>IF(J1680="","",(J1680-G1680)/G1680)</f>
        <v/>
      </c>
      <c r="N1680" s="27">
        <f>IF(H1680="","",IF(D1680="HOLD",IF(ABS(K1680)&lt;0.03,"YES","NO"),IF(D1680="BUY",IF(K1680&gt;0,"YES","NO"),IF(D1680="SELL",IF(K1680&lt;0,"YES","NO"),""))))</f>
        <v/>
      </c>
    </row>
    <row r="1681" ht="15" customHeight="1">
      <c r="K1681" s="26">
        <f>IF(H1681="","",(H1681-G1681)/G1681)</f>
        <v/>
      </c>
      <c r="L1681" s="26">
        <f>IF(I1681="","",(I1681-G1681)/G1681)</f>
        <v/>
      </c>
      <c r="M1681" s="26">
        <f>IF(J1681="","",(J1681-G1681)/G1681)</f>
        <v/>
      </c>
      <c r="N1681" s="27">
        <f>IF(H1681="","",IF(D1681="HOLD",IF(ABS(K1681)&lt;0.03,"YES","NO"),IF(D1681="BUY",IF(K1681&gt;0,"YES","NO"),IF(D1681="SELL",IF(K1681&lt;0,"YES","NO"),""))))</f>
        <v/>
      </c>
    </row>
    <row r="1682" ht="15" customHeight="1">
      <c r="K1682" s="26">
        <f>IF(H1682="","",(H1682-G1682)/G1682)</f>
        <v/>
      </c>
      <c r="L1682" s="26">
        <f>IF(I1682="","",(I1682-G1682)/G1682)</f>
        <v/>
      </c>
      <c r="M1682" s="26">
        <f>IF(J1682="","",(J1682-G1682)/G1682)</f>
        <v/>
      </c>
      <c r="N1682" s="27">
        <f>IF(H1682="","",IF(D1682="HOLD",IF(ABS(K1682)&lt;0.03,"YES","NO"),IF(D1682="BUY",IF(K1682&gt;0,"YES","NO"),IF(D1682="SELL",IF(K1682&lt;0,"YES","NO"),""))))</f>
        <v/>
      </c>
    </row>
    <row r="1683" ht="15" customHeight="1">
      <c r="K1683" s="26">
        <f>IF(H1683="","",(H1683-G1683)/G1683)</f>
        <v/>
      </c>
      <c r="L1683" s="26">
        <f>IF(I1683="","",(I1683-G1683)/G1683)</f>
        <v/>
      </c>
      <c r="M1683" s="26">
        <f>IF(J1683="","",(J1683-G1683)/G1683)</f>
        <v/>
      </c>
      <c r="N1683" s="27">
        <f>IF(H1683="","",IF(D1683="HOLD",IF(ABS(K1683)&lt;0.03,"YES","NO"),IF(D1683="BUY",IF(K1683&gt;0,"YES","NO"),IF(D1683="SELL",IF(K1683&lt;0,"YES","NO"),""))))</f>
        <v/>
      </c>
    </row>
    <row r="1684" ht="15" customHeight="1">
      <c r="K1684" s="26">
        <f>IF(H1684="","",(H1684-G1684)/G1684)</f>
        <v/>
      </c>
      <c r="L1684" s="26">
        <f>IF(I1684="","",(I1684-G1684)/G1684)</f>
        <v/>
      </c>
      <c r="M1684" s="26">
        <f>IF(J1684="","",(J1684-G1684)/G1684)</f>
        <v/>
      </c>
      <c r="N1684" s="27">
        <f>IF(H1684="","",IF(D1684="HOLD",IF(ABS(K1684)&lt;0.03,"YES","NO"),IF(D1684="BUY",IF(K1684&gt;0,"YES","NO"),IF(D1684="SELL",IF(K1684&lt;0,"YES","NO"),""))))</f>
        <v/>
      </c>
    </row>
    <row r="1685" ht="15" customHeight="1">
      <c r="K1685" s="26">
        <f>IF(H1685="","",(H1685-G1685)/G1685)</f>
        <v/>
      </c>
      <c r="L1685" s="26">
        <f>IF(I1685="","",(I1685-G1685)/G1685)</f>
        <v/>
      </c>
      <c r="M1685" s="26">
        <f>IF(J1685="","",(J1685-G1685)/G1685)</f>
        <v/>
      </c>
      <c r="N1685" s="27">
        <f>IF(H1685="","",IF(D1685="HOLD",IF(ABS(K1685)&lt;0.03,"YES","NO"),IF(D1685="BUY",IF(K1685&gt;0,"YES","NO"),IF(D1685="SELL",IF(K1685&lt;0,"YES","NO"),""))))</f>
        <v/>
      </c>
    </row>
    <row r="1686" ht="15" customHeight="1">
      <c r="K1686" s="26">
        <f>IF(H1686="","",(H1686-G1686)/G1686)</f>
        <v/>
      </c>
      <c r="L1686" s="26">
        <f>IF(I1686="","",(I1686-G1686)/G1686)</f>
        <v/>
      </c>
      <c r="M1686" s="26">
        <f>IF(J1686="","",(J1686-G1686)/G1686)</f>
        <v/>
      </c>
      <c r="N1686" s="27">
        <f>IF(H1686="","",IF(D1686="HOLD",IF(ABS(K1686)&lt;0.03,"YES","NO"),IF(D1686="BUY",IF(K1686&gt;0,"YES","NO"),IF(D1686="SELL",IF(K1686&lt;0,"YES","NO"),""))))</f>
        <v/>
      </c>
    </row>
    <row r="1687" ht="15" customHeight="1">
      <c r="K1687" s="26">
        <f>IF(H1687="","",(H1687-G1687)/G1687)</f>
        <v/>
      </c>
      <c r="L1687" s="26">
        <f>IF(I1687="","",(I1687-G1687)/G1687)</f>
        <v/>
      </c>
      <c r="M1687" s="26">
        <f>IF(J1687="","",(J1687-G1687)/G1687)</f>
        <v/>
      </c>
      <c r="N1687" s="27">
        <f>IF(H1687="","",IF(D1687="HOLD",IF(ABS(K1687)&lt;0.03,"YES","NO"),IF(D1687="BUY",IF(K1687&gt;0,"YES","NO"),IF(D1687="SELL",IF(K1687&lt;0,"YES","NO"),""))))</f>
        <v/>
      </c>
    </row>
    <row r="1688" ht="15" customHeight="1">
      <c r="K1688" s="26">
        <f>IF(H1688="","",(H1688-G1688)/G1688)</f>
        <v/>
      </c>
      <c r="L1688" s="26">
        <f>IF(I1688="","",(I1688-G1688)/G1688)</f>
        <v/>
      </c>
      <c r="M1688" s="26">
        <f>IF(J1688="","",(J1688-G1688)/G1688)</f>
        <v/>
      </c>
      <c r="N1688" s="27">
        <f>IF(H1688="","",IF(D1688="HOLD",IF(ABS(K1688)&lt;0.03,"YES","NO"),IF(D1688="BUY",IF(K1688&gt;0,"YES","NO"),IF(D1688="SELL",IF(K1688&lt;0,"YES","NO"),""))))</f>
        <v/>
      </c>
    </row>
    <row r="1689" ht="15" customHeight="1">
      <c r="K1689" s="26">
        <f>IF(H1689="","",(H1689-G1689)/G1689)</f>
        <v/>
      </c>
      <c r="L1689" s="26">
        <f>IF(I1689="","",(I1689-G1689)/G1689)</f>
        <v/>
      </c>
      <c r="M1689" s="26">
        <f>IF(J1689="","",(J1689-G1689)/G1689)</f>
        <v/>
      </c>
      <c r="N1689" s="27">
        <f>IF(H1689="","",IF(D1689="HOLD",IF(ABS(K1689)&lt;0.03,"YES","NO"),IF(D1689="BUY",IF(K1689&gt;0,"YES","NO"),IF(D1689="SELL",IF(K1689&lt;0,"YES","NO"),""))))</f>
        <v/>
      </c>
    </row>
    <row r="1690" ht="15" customHeight="1">
      <c r="K1690" s="26">
        <f>IF(H1690="","",(H1690-G1690)/G1690)</f>
        <v/>
      </c>
      <c r="L1690" s="26">
        <f>IF(I1690="","",(I1690-G1690)/G1690)</f>
        <v/>
      </c>
      <c r="M1690" s="26">
        <f>IF(J1690="","",(J1690-G1690)/G1690)</f>
        <v/>
      </c>
      <c r="N1690" s="27">
        <f>IF(H1690="","",IF(D1690="HOLD",IF(ABS(K1690)&lt;0.03,"YES","NO"),IF(D1690="BUY",IF(K1690&gt;0,"YES","NO"),IF(D1690="SELL",IF(K1690&lt;0,"YES","NO"),""))))</f>
        <v/>
      </c>
    </row>
    <row r="1691" ht="15" customHeight="1">
      <c r="K1691" s="26">
        <f>IF(H1691="","",(H1691-G1691)/G1691)</f>
        <v/>
      </c>
      <c r="L1691" s="26">
        <f>IF(I1691="","",(I1691-G1691)/G1691)</f>
        <v/>
      </c>
      <c r="M1691" s="26">
        <f>IF(J1691="","",(J1691-G1691)/G1691)</f>
        <v/>
      </c>
      <c r="N1691" s="27">
        <f>IF(H1691="","",IF(D1691="HOLD",IF(ABS(K1691)&lt;0.03,"YES","NO"),IF(D1691="BUY",IF(K1691&gt;0,"YES","NO"),IF(D1691="SELL",IF(K1691&lt;0,"YES","NO"),""))))</f>
        <v/>
      </c>
    </row>
    <row r="1692" ht="15" customHeight="1">
      <c r="K1692" s="26">
        <f>IF(H1692="","",(H1692-G1692)/G1692)</f>
        <v/>
      </c>
      <c r="L1692" s="26">
        <f>IF(I1692="","",(I1692-G1692)/G1692)</f>
        <v/>
      </c>
      <c r="M1692" s="26">
        <f>IF(J1692="","",(J1692-G1692)/G1692)</f>
        <v/>
      </c>
      <c r="N1692" s="27">
        <f>IF(H1692="","",IF(D1692="HOLD",IF(ABS(K1692)&lt;0.03,"YES","NO"),IF(D1692="BUY",IF(K1692&gt;0,"YES","NO"),IF(D1692="SELL",IF(K1692&lt;0,"YES","NO"),""))))</f>
        <v/>
      </c>
    </row>
    <row r="1693" ht="15" customHeight="1">
      <c r="K1693" s="26">
        <f>IF(H1693="","",(H1693-G1693)/G1693)</f>
        <v/>
      </c>
      <c r="L1693" s="26">
        <f>IF(I1693="","",(I1693-G1693)/G1693)</f>
        <v/>
      </c>
      <c r="M1693" s="26">
        <f>IF(J1693="","",(J1693-G1693)/G1693)</f>
        <v/>
      </c>
      <c r="N1693" s="27">
        <f>IF(H1693="","",IF(D1693="HOLD",IF(ABS(K1693)&lt;0.03,"YES","NO"),IF(D1693="BUY",IF(K1693&gt;0,"YES","NO"),IF(D1693="SELL",IF(K1693&lt;0,"YES","NO"),""))))</f>
        <v/>
      </c>
    </row>
    <row r="1694" ht="15" customHeight="1">
      <c r="K1694" s="26">
        <f>IF(H1694="","",(H1694-G1694)/G1694)</f>
        <v/>
      </c>
      <c r="L1694" s="26">
        <f>IF(I1694="","",(I1694-G1694)/G1694)</f>
        <v/>
      </c>
      <c r="M1694" s="26">
        <f>IF(J1694="","",(J1694-G1694)/G1694)</f>
        <v/>
      </c>
      <c r="N1694" s="27">
        <f>IF(H1694="","",IF(D1694="HOLD",IF(ABS(K1694)&lt;0.03,"YES","NO"),IF(D1694="BUY",IF(K1694&gt;0,"YES","NO"),IF(D1694="SELL",IF(K1694&lt;0,"YES","NO"),""))))</f>
        <v/>
      </c>
    </row>
    <row r="1695" ht="15" customHeight="1">
      <c r="K1695" s="26">
        <f>IF(H1695="","",(H1695-G1695)/G1695)</f>
        <v/>
      </c>
      <c r="L1695" s="26">
        <f>IF(I1695="","",(I1695-G1695)/G1695)</f>
        <v/>
      </c>
      <c r="M1695" s="26">
        <f>IF(J1695="","",(J1695-G1695)/G1695)</f>
        <v/>
      </c>
      <c r="N1695" s="27">
        <f>IF(H1695="","",IF(D1695="HOLD",IF(ABS(K1695)&lt;0.03,"YES","NO"),IF(D1695="BUY",IF(K1695&gt;0,"YES","NO"),IF(D1695="SELL",IF(K1695&lt;0,"YES","NO"),""))))</f>
        <v/>
      </c>
    </row>
    <row r="1696" ht="15" customHeight="1">
      <c r="K1696" s="26">
        <f>IF(H1696="","",(H1696-G1696)/G1696)</f>
        <v/>
      </c>
      <c r="L1696" s="26">
        <f>IF(I1696="","",(I1696-G1696)/G1696)</f>
        <v/>
      </c>
      <c r="M1696" s="26">
        <f>IF(J1696="","",(J1696-G1696)/G1696)</f>
        <v/>
      </c>
      <c r="N1696" s="27">
        <f>IF(H1696="","",IF(D1696="HOLD",IF(ABS(K1696)&lt;0.03,"YES","NO"),IF(D1696="BUY",IF(K1696&gt;0,"YES","NO"),IF(D1696="SELL",IF(K1696&lt;0,"YES","NO"),""))))</f>
        <v/>
      </c>
    </row>
    <row r="1697" ht="15" customHeight="1">
      <c r="K1697" s="26">
        <f>IF(H1697="","",(H1697-G1697)/G1697)</f>
        <v/>
      </c>
      <c r="L1697" s="26">
        <f>IF(I1697="","",(I1697-G1697)/G1697)</f>
        <v/>
      </c>
      <c r="M1697" s="26">
        <f>IF(J1697="","",(J1697-G1697)/G1697)</f>
        <v/>
      </c>
      <c r="N1697" s="27">
        <f>IF(H1697="","",IF(D1697="HOLD",IF(ABS(K1697)&lt;0.03,"YES","NO"),IF(D1697="BUY",IF(K1697&gt;0,"YES","NO"),IF(D1697="SELL",IF(K1697&lt;0,"YES","NO"),""))))</f>
        <v/>
      </c>
    </row>
    <row r="1698" ht="15" customHeight="1">
      <c r="K1698" s="26">
        <f>IF(H1698="","",(H1698-G1698)/G1698)</f>
        <v/>
      </c>
      <c r="L1698" s="26">
        <f>IF(I1698="","",(I1698-G1698)/G1698)</f>
        <v/>
      </c>
      <c r="M1698" s="26">
        <f>IF(J1698="","",(J1698-G1698)/G1698)</f>
        <v/>
      </c>
      <c r="N1698" s="27">
        <f>IF(H1698="","",IF(D1698="HOLD",IF(ABS(K1698)&lt;0.03,"YES","NO"),IF(D1698="BUY",IF(K1698&gt;0,"YES","NO"),IF(D1698="SELL",IF(K1698&lt;0,"YES","NO"),""))))</f>
        <v/>
      </c>
    </row>
    <row r="1699" ht="15" customHeight="1">
      <c r="K1699" s="26">
        <f>IF(H1699="","",(H1699-G1699)/G1699)</f>
        <v/>
      </c>
      <c r="L1699" s="26">
        <f>IF(I1699="","",(I1699-G1699)/G1699)</f>
        <v/>
      </c>
      <c r="M1699" s="26">
        <f>IF(J1699="","",(J1699-G1699)/G1699)</f>
        <v/>
      </c>
      <c r="N1699" s="27">
        <f>IF(H1699="","",IF(D1699="HOLD",IF(ABS(K1699)&lt;0.03,"YES","NO"),IF(D1699="BUY",IF(K1699&gt;0,"YES","NO"),IF(D1699="SELL",IF(K1699&lt;0,"YES","NO"),""))))</f>
        <v/>
      </c>
    </row>
    <row r="1700" ht="15" customHeight="1">
      <c r="K1700" s="26">
        <f>IF(H1700="","",(H1700-G1700)/G1700)</f>
        <v/>
      </c>
      <c r="L1700" s="26">
        <f>IF(I1700="","",(I1700-G1700)/G1700)</f>
        <v/>
      </c>
      <c r="M1700" s="26">
        <f>IF(J1700="","",(J1700-G1700)/G1700)</f>
        <v/>
      </c>
      <c r="N1700" s="27">
        <f>IF(H1700="","",IF(D1700="HOLD",IF(ABS(K1700)&lt;0.03,"YES","NO"),IF(D1700="BUY",IF(K1700&gt;0,"YES","NO"),IF(D1700="SELL",IF(K1700&lt;0,"YES","NO"),""))))</f>
        <v/>
      </c>
    </row>
    <row r="1701" ht="15" customHeight="1">
      <c r="K1701" s="26">
        <f>IF(H1701="","",(H1701-G1701)/G1701)</f>
        <v/>
      </c>
      <c r="L1701" s="26">
        <f>IF(I1701="","",(I1701-G1701)/G1701)</f>
        <v/>
      </c>
      <c r="M1701" s="26">
        <f>IF(J1701="","",(J1701-G1701)/G1701)</f>
        <v/>
      </c>
      <c r="N1701" s="27">
        <f>IF(H1701="","",IF(D1701="HOLD",IF(ABS(K1701)&lt;0.03,"YES","NO"),IF(D1701="BUY",IF(K1701&gt;0,"YES","NO"),IF(D1701="SELL",IF(K1701&lt;0,"YES","NO"),""))))</f>
        <v/>
      </c>
    </row>
    <row r="1702" ht="15" customHeight="1">
      <c r="K1702" s="26">
        <f>IF(H1702="","",(H1702-G1702)/G1702)</f>
        <v/>
      </c>
      <c r="L1702" s="26">
        <f>IF(I1702="","",(I1702-G1702)/G1702)</f>
        <v/>
      </c>
      <c r="M1702" s="26">
        <f>IF(J1702="","",(J1702-G1702)/G1702)</f>
        <v/>
      </c>
      <c r="N1702" s="27">
        <f>IF(H1702="","",IF(D1702="HOLD",IF(ABS(K1702)&lt;0.03,"YES","NO"),IF(D1702="BUY",IF(K1702&gt;0,"YES","NO"),IF(D1702="SELL",IF(K1702&lt;0,"YES","NO"),""))))</f>
        <v/>
      </c>
    </row>
    <row r="1703" ht="15" customHeight="1">
      <c r="K1703" s="26">
        <f>IF(H1703="","",(H1703-G1703)/G1703)</f>
        <v/>
      </c>
      <c r="L1703" s="26">
        <f>IF(I1703="","",(I1703-G1703)/G1703)</f>
        <v/>
      </c>
      <c r="M1703" s="26">
        <f>IF(J1703="","",(J1703-G1703)/G1703)</f>
        <v/>
      </c>
      <c r="N1703" s="27">
        <f>IF(H1703="","",IF(D1703="HOLD",IF(ABS(K1703)&lt;0.03,"YES","NO"),IF(D1703="BUY",IF(K1703&gt;0,"YES","NO"),IF(D1703="SELL",IF(K1703&lt;0,"YES","NO"),""))))</f>
        <v/>
      </c>
    </row>
    <row r="1704" ht="15" customHeight="1">
      <c r="K1704" s="26">
        <f>IF(H1704="","",(H1704-G1704)/G1704)</f>
        <v/>
      </c>
      <c r="L1704" s="26">
        <f>IF(I1704="","",(I1704-G1704)/G1704)</f>
        <v/>
      </c>
      <c r="M1704" s="26">
        <f>IF(J1704="","",(J1704-G1704)/G1704)</f>
        <v/>
      </c>
      <c r="N1704" s="27">
        <f>IF(H1704="","",IF(D1704="HOLD",IF(ABS(K1704)&lt;0.03,"YES","NO"),IF(D1704="BUY",IF(K1704&gt;0,"YES","NO"),IF(D1704="SELL",IF(K1704&lt;0,"YES","NO"),""))))</f>
        <v/>
      </c>
    </row>
    <row r="1705" ht="15" customHeight="1">
      <c r="K1705" s="26">
        <f>IF(H1705="","",(H1705-G1705)/G1705)</f>
        <v/>
      </c>
      <c r="L1705" s="26">
        <f>IF(I1705="","",(I1705-G1705)/G1705)</f>
        <v/>
      </c>
      <c r="M1705" s="26">
        <f>IF(J1705="","",(J1705-G1705)/G1705)</f>
        <v/>
      </c>
      <c r="N1705" s="27">
        <f>IF(H1705="","",IF(D1705="HOLD",IF(ABS(K1705)&lt;0.03,"YES","NO"),IF(D1705="BUY",IF(K1705&gt;0,"YES","NO"),IF(D1705="SELL",IF(K1705&lt;0,"YES","NO"),""))))</f>
        <v/>
      </c>
    </row>
    <row r="1706" ht="15" customHeight="1">
      <c r="K1706" s="26">
        <f>IF(H1706="","",(H1706-G1706)/G1706)</f>
        <v/>
      </c>
      <c r="L1706" s="26">
        <f>IF(I1706="","",(I1706-G1706)/G1706)</f>
        <v/>
      </c>
      <c r="M1706" s="26">
        <f>IF(J1706="","",(J1706-G1706)/G1706)</f>
        <v/>
      </c>
      <c r="N1706" s="27">
        <f>IF(H1706="","",IF(D1706="HOLD",IF(ABS(K1706)&lt;0.03,"YES","NO"),IF(D1706="BUY",IF(K1706&gt;0,"YES","NO"),IF(D1706="SELL",IF(K1706&lt;0,"YES","NO"),""))))</f>
        <v/>
      </c>
    </row>
    <row r="1707" ht="15" customHeight="1">
      <c r="K1707" s="26">
        <f>IF(H1707="","",(H1707-G1707)/G1707)</f>
        <v/>
      </c>
      <c r="L1707" s="26">
        <f>IF(I1707="","",(I1707-G1707)/G1707)</f>
        <v/>
      </c>
      <c r="M1707" s="26">
        <f>IF(J1707="","",(J1707-G1707)/G1707)</f>
        <v/>
      </c>
      <c r="N1707" s="27">
        <f>IF(H1707="","",IF(D1707="HOLD",IF(ABS(K1707)&lt;0.03,"YES","NO"),IF(D1707="BUY",IF(K1707&gt;0,"YES","NO"),IF(D1707="SELL",IF(K1707&lt;0,"YES","NO"),""))))</f>
        <v/>
      </c>
    </row>
    <row r="1708" ht="15" customHeight="1">
      <c r="K1708" s="26">
        <f>IF(H1708="","",(H1708-G1708)/G1708)</f>
        <v/>
      </c>
      <c r="L1708" s="26">
        <f>IF(I1708="","",(I1708-G1708)/G1708)</f>
        <v/>
      </c>
      <c r="M1708" s="26">
        <f>IF(J1708="","",(J1708-G1708)/G1708)</f>
        <v/>
      </c>
      <c r="N1708" s="27">
        <f>IF(H1708="","",IF(D1708="HOLD",IF(ABS(K1708)&lt;0.03,"YES","NO"),IF(D1708="BUY",IF(K1708&gt;0,"YES","NO"),IF(D1708="SELL",IF(K1708&lt;0,"YES","NO"),""))))</f>
        <v/>
      </c>
    </row>
    <row r="1709" ht="15" customHeight="1">
      <c r="K1709" s="26">
        <f>IF(H1709="","",(H1709-G1709)/G1709)</f>
        <v/>
      </c>
      <c r="L1709" s="26">
        <f>IF(I1709="","",(I1709-G1709)/G1709)</f>
        <v/>
      </c>
      <c r="M1709" s="26">
        <f>IF(J1709="","",(J1709-G1709)/G1709)</f>
        <v/>
      </c>
      <c r="N1709" s="27">
        <f>IF(H1709="","",IF(D1709="HOLD",IF(ABS(K1709)&lt;0.03,"YES","NO"),IF(D1709="BUY",IF(K1709&gt;0,"YES","NO"),IF(D1709="SELL",IF(K1709&lt;0,"YES","NO"),""))))</f>
        <v/>
      </c>
    </row>
    <row r="1710" ht="15" customHeight="1">
      <c r="K1710" s="26">
        <f>IF(H1710="","",(H1710-G1710)/G1710)</f>
        <v/>
      </c>
      <c r="L1710" s="26">
        <f>IF(I1710="","",(I1710-G1710)/G1710)</f>
        <v/>
      </c>
      <c r="M1710" s="26">
        <f>IF(J1710="","",(J1710-G1710)/G1710)</f>
        <v/>
      </c>
      <c r="N1710" s="27">
        <f>IF(H1710="","",IF(D1710="HOLD",IF(ABS(K1710)&lt;0.03,"YES","NO"),IF(D1710="BUY",IF(K1710&gt;0,"YES","NO"),IF(D1710="SELL",IF(K1710&lt;0,"YES","NO"),""))))</f>
        <v/>
      </c>
    </row>
    <row r="1711" ht="15" customHeight="1">
      <c r="K1711" s="26">
        <f>IF(H1711="","",(H1711-G1711)/G1711)</f>
        <v/>
      </c>
      <c r="L1711" s="26">
        <f>IF(I1711="","",(I1711-G1711)/G1711)</f>
        <v/>
      </c>
      <c r="M1711" s="26">
        <f>IF(J1711="","",(J1711-G1711)/G1711)</f>
        <v/>
      </c>
      <c r="N1711" s="27">
        <f>IF(H1711="","",IF(D1711="HOLD",IF(ABS(K1711)&lt;0.03,"YES","NO"),IF(D1711="BUY",IF(K1711&gt;0,"YES","NO"),IF(D1711="SELL",IF(K1711&lt;0,"YES","NO"),""))))</f>
        <v/>
      </c>
    </row>
    <row r="1712" ht="15" customHeight="1">
      <c r="K1712" s="26">
        <f>IF(H1712="","",(H1712-G1712)/G1712)</f>
        <v/>
      </c>
      <c r="L1712" s="26">
        <f>IF(I1712="","",(I1712-G1712)/G1712)</f>
        <v/>
      </c>
      <c r="M1712" s="26">
        <f>IF(J1712="","",(J1712-G1712)/G1712)</f>
        <v/>
      </c>
      <c r="N1712" s="27">
        <f>IF(H1712="","",IF(D1712="HOLD",IF(ABS(K1712)&lt;0.03,"YES","NO"),IF(D1712="BUY",IF(K1712&gt;0,"YES","NO"),IF(D1712="SELL",IF(K1712&lt;0,"YES","NO"),""))))</f>
        <v/>
      </c>
    </row>
    <row r="1713" ht="15" customHeight="1">
      <c r="K1713" s="26">
        <f>IF(H1713="","",(H1713-G1713)/G1713)</f>
        <v/>
      </c>
      <c r="L1713" s="26">
        <f>IF(I1713="","",(I1713-G1713)/G1713)</f>
        <v/>
      </c>
      <c r="M1713" s="26">
        <f>IF(J1713="","",(J1713-G1713)/G1713)</f>
        <v/>
      </c>
      <c r="N1713" s="27">
        <f>IF(H1713="","",IF(D1713="HOLD",IF(ABS(K1713)&lt;0.03,"YES","NO"),IF(D1713="BUY",IF(K1713&gt;0,"YES","NO"),IF(D1713="SELL",IF(K1713&lt;0,"YES","NO"),""))))</f>
        <v/>
      </c>
    </row>
    <row r="1714" ht="15" customHeight="1">
      <c r="K1714" s="26">
        <f>IF(H1714="","",(H1714-G1714)/G1714)</f>
        <v/>
      </c>
      <c r="L1714" s="26">
        <f>IF(I1714="","",(I1714-G1714)/G1714)</f>
        <v/>
      </c>
      <c r="M1714" s="26">
        <f>IF(J1714="","",(J1714-G1714)/G1714)</f>
        <v/>
      </c>
      <c r="N1714" s="27">
        <f>IF(H1714="","",IF(D1714="HOLD",IF(ABS(K1714)&lt;0.03,"YES","NO"),IF(D1714="BUY",IF(K1714&gt;0,"YES","NO"),IF(D1714="SELL",IF(K1714&lt;0,"YES","NO"),""))))</f>
        <v/>
      </c>
    </row>
    <row r="1715" ht="15" customHeight="1">
      <c r="K1715" s="26">
        <f>IF(H1715="","",(H1715-G1715)/G1715)</f>
        <v/>
      </c>
      <c r="L1715" s="26">
        <f>IF(I1715="","",(I1715-G1715)/G1715)</f>
        <v/>
      </c>
      <c r="M1715" s="26">
        <f>IF(J1715="","",(J1715-G1715)/G1715)</f>
        <v/>
      </c>
      <c r="N1715" s="27">
        <f>IF(H1715="","",IF(D1715="HOLD",IF(ABS(K1715)&lt;0.03,"YES","NO"),IF(D1715="BUY",IF(K1715&gt;0,"YES","NO"),IF(D1715="SELL",IF(K1715&lt;0,"YES","NO"),""))))</f>
        <v/>
      </c>
    </row>
    <row r="1716" ht="15" customHeight="1">
      <c r="K1716" s="26">
        <f>IF(H1716="","",(H1716-G1716)/G1716)</f>
        <v/>
      </c>
      <c r="L1716" s="26">
        <f>IF(I1716="","",(I1716-G1716)/G1716)</f>
        <v/>
      </c>
      <c r="M1716" s="26">
        <f>IF(J1716="","",(J1716-G1716)/G1716)</f>
        <v/>
      </c>
      <c r="N1716" s="27">
        <f>IF(H1716="","",IF(D1716="HOLD",IF(ABS(K1716)&lt;0.03,"YES","NO"),IF(D1716="BUY",IF(K1716&gt;0,"YES","NO"),IF(D1716="SELL",IF(K1716&lt;0,"YES","NO"),""))))</f>
        <v/>
      </c>
    </row>
    <row r="1717" ht="15" customHeight="1">
      <c r="K1717" s="26">
        <f>IF(H1717="","",(H1717-G1717)/G1717)</f>
        <v/>
      </c>
      <c r="L1717" s="26">
        <f>IF(I1717="","",(I1717-G1717)/G1717)</f>
        <v/>
      </c>
      <c r="M1717" s="26">
        <f>IF(J1717="","",(J1717-G1717)/G1717)</f>
        <v/>
      </c>
      <c r="N1717" s="27">
        <f>IF(H1717="","",IF(D1717="HOLD",IF(ABS(K1717)&lt;0.03,"YES","NO"),IF(D1717="BUY",IF(K1717&gt;0,"YES","NO"),IF(D1717="SELL",IF(K1717&lt;0,"YES","NO"),""))))</f>
        <v/>
      </c>
    </row>
    <row r="1718" ht="15" customHeight="1">
      <c r="K1718" s="26">
        <f>IF(H1718="","",(H1718-G1718)/G1718)</f>
        <v/>
      </c>
      <c r="L1718" s="26">
        <f>IF(I1718="","",(I1718-G1718)/G1718)</f>
        <v/>
      </c>
      <c r="M1718" s="26">
        <f>IF(J1718="","",(J1718-G1718)/G1718)</f>
        <v/>
      </c>
      <c r="N1718" s="27">
        <f>IF(H1718="","",IF(D1718="HOLD",IF(ABS(K1718)&lt;0.03,"YES","NO"),IF(D1718="BUY",IF(K1718&gt;0,"YES","NO"),IF(D1718="SELL",IF(K1718&lt;0,"YES","NO"),""))))</f>
        <v/>
      </c>
    </row>
    <row r="1719" ht="15" customHeight="1">
      <c r="K1719" s="26">
        <f>IF(H1719="","",(H1719-G1719)/G1719)</f>
        <v/>
      </c>
      <c r="L1719" s="26">
        <f>IF(I1719="","",(I1719-G1719)/G1719)</f>
        <v/>
      </c>
      <c r="M1719" s="26">
        <f>IF(J1719="","",(J1719-G1719)/G1719)</f>
        <v/>
      </c>
      <c r="N1719" s="27">
        <f>IF(H1719="","",IF(D1719="HOLD",IF(ABS(K1719)&lt;0.03,"YES","NO"),IF(D1719="BUY",IF(K1719&gt;0,"YES","NO"),IF(D1719="SELL",IF(K1719&lt;0,"YES","NO"),""))))</f>
        <v/>
      </c>
    </row>
    <row r="1720" ht="15" customHeight="1">
      <c r="K1720" s="26">
        <f>IF(H1720="","",(H1720-G1720)/G1720)</f>
        <v/>
      </c>
      <c r="L1720" s="26">
        <f>IF(I1720="","",(I1720-G1720)/G1720)</f>
        <v/>
      </c>
      <c r="M1720" s="26">
        <f>IF(J1720="","",(J1720-G1720)/G1720)</f>
        <v/>
      </c>
      <c r="N1720" s="27">
        <f>IF(H1720="","",IF(D1720="HOLD",IF(ABS(K1720)&lt;0.03,"YES","NO"),IF(D1720="BUY",IF(K1720&gt;0,"YES","NO"),IF(D1720="SELL",IF(K1720&lt;0,"YES","NO"),""))))</f>
        <v/>
      </c>
    </row>
    <row r="1721" ht="15" customHeight="1">
      <c r="K1721" s="26">
        <f>IF(H1721="","",(H1721-G1721)/G1721)</f>
        <v/>
      </c>
      <c r="L1721" s="26">
        <f>IF(I1721="","",(I1721-G1721)/G1721)</f>
        <v/>
      </c>
      <c r="M1721" s="26">
        <f>IF(J1721="","",(J1721-G1721)/G1721)</f>
        <v/>
      </c>
      <c r="N1721" s="27">
        <f>IF(H1721="","",IF(D1721="HOLD",IF(ABS(K1721)&lt;0.03,"YES","NO"),IF(D1721="BUY",IF(K1721&gt;0,"YES","NO"),IF(D1721="SELL",IF(K1721&lt;0,"YES","NO"),""))))</f>
        <v/>
      </c>
    </row>
    <row r="1722" ht="15" customHeight="1">
      <c r="K1722" s="26">
        <f>IF(H1722="","",(H1722-G1722)/G1722)</f>
        <v/>
      </c>
      <c r="L1722" s="26">
        <f>IF(I1722="","",(I1722-G1722)/G1722)</f>
        <v/>
      </c>
      <c r="M1722" s="26">
        <f>IF(J1722="","",(J1722-G1722)/G1722)</f>
        <v/>
      </c>
      <c r="N1722" s="27">
        <f>IF(H1722="","",IF(D1722="HOLD",IF(ABS(K1722)&lt;0.03,"YES","NO"),IF(D1722="BUY",IF(K1722&gt;0,"YES","NO"),IF(D1722="SELL",IF(K1722&lt;0,"YES","NO"),""))))</f>
        <v/>
      </c>
    </row>
    <row r="1723" ht="15" customHeight="1">
      <c r="K1723" s="26">
        <f>IF(H1723="","",(H1723-G1723)/G1723)</f>
        <v/>
      </c>
      <c r="L1723" s="26">
        <f>IF(I1723="","",(I1723-G1723)/G1723)</f>
        <v/>
      </c>
      <c r="M1723" s="26">
        <f>IF(J1723="","",(J1723-G1723)/G1723)</f>
        <v/>
      </c>
      <c r="N1723" s="27">
        <f>IF(H1723="","",IF(D1723="HOLD",IF(ABS(K1723)&lt;0.03,"YES","NO"),IF(D1723="BUY",IF(K1723&gt;0,"YES","NO"),IF(D1723="SELL",IF(K1723&lt;0,"YES","NO"),""))))</f>
        <v/>
      </c>
    </row>
    <row r="1724" ht="15" customHeight="1">
      <c r="K1724" s="26">
        <f>IF(H1724="","",(H1724-G1724)/G1724)</f>
        <v/>
      </c>
      <c r="L1724" s="26">
        <f>IF(I1724="","",(I1724-G1724)/G1724)</f>
        <v/>
      </c>
      <c r="M1724" s="26">
        <f>IF(J1724="","",(J1724-G1724)/G1724)</f>
        <v/>
      </c>
      <c r="N1724" s="27">
        <f>IF(H1724="","",IF(D1724="HOLD",IF(ABS(K1724)&lt;0.03,"YES","NO"),IF(D1724="BUY",IF(K1724&gt;0,"YES","NO"),IF(D1724="SELL",IF(K1724&lt;0,"YES","NO"),""))))</f>
        <v/>
      </c>
    </row>
    <row r="1725" ht="15" customHeight="1">
      <c r="K1725" s="26">
        <f>IF(H1725="","",(H1725-G1725)/G1725)</f>
        <v/>
      </c>
      <c r="L1725" s="26">
        <f>IF(I1725="","",(I1725-G1725)/G1725)</f>
        <v/>
      </c>
      <c r="M1725" s="26">
        <f>IF(J1725="","",(J1725-G1725)/G1725)</f>
        <v/>
      </c>
      <c r="N1725" s="27">
        <f>IF(H1725="","",IF(D1725="HOLD",IF(ABS(K1725)&lt;0.03,"YES","NO"),IF(D1725="BUY",IF(K1725&gt;0,"YES","NO"),IF(D1725="SELL",IF(K1725&lt;0,"YES","NO"),""))))</f>
        <v/>
      </c>
    </row>
    <row r="1726" ht="15" customHeight="1">
      <c r="K1726" s="26">
        <f>IF(H1726="","",(H1726-G1726)/G1726)</f>
        <v/>
      </c>
      <c r="L1726" s="26">
        <f>IF(I1726="","",(I1726-G1726)/G1726)</f>
        <v/>
      </c>
      <c r="M1726" s="26">
        <f>IF(J1726="","",(J1726-G1726)/G1726)</f>
        <v/>
      </c>
      <c r="N1726" s="27">
        <f>IF(H1726="","",IF(D1726="HOLD",IF(ABS(K1726)&lt;0.03,"YES","NO"),IF(D1726="BUY",IF(K1726&gt;0,"YES","NO"),IF(D1726="SELL",IF(K1726&lt;0,"YES","NO"),""))))</f>
        <v/>
      </c>
    </row>
    <row r="1727" ht="15" customHeight="1">
      <c r="K1727" s="26">
        <f>IF(H1727="","",(H1727-G1727)/G1727)</f>
        <v/>
      </c>
      <c r="L1727" s="26">
        <f>IF(I1727="","",(I1727-G1727)/G1727)</f>
        <v/>
      </c>
      <c r="M1727" s="26">
        <f>IF(J1727="","",(J1727-G1727)/G1727)</f>
        <v/>
      </c>
      <c r="N1727" s="27">
        <f>IF(H1727="","",IF(D1727="HOLD",IF(ABS(K1727)&lt;0.03,"YES","NO"),IF(D1727="BUY",IF(K1727&gt;0,"YES","NO"),IF(D1727="SELL",IF(K1727&lt;0,"YES","NO"),""))))</f>
        <v/>
      </c>
    </row>
    <row r="1728" ht="15" customHeight="1">
      <c r="K1728" s="26">
        <f>IF(H1728="","",(H1728-G1728)/G1728)</f>
        <v/>
      </c>
      <c r="L1728" s="26">
        <f>IF(I1728="","",(I1728-G1728)/G1728)</f>
        <v/>
      </c>
      <c r="M1728" s="26">
        <f>IF(J1728="","",(J1728-G1728)/G1728)</f>
        <v/>
      </c>
      <c r="N1728" s="27">
        <f>IF(H1728="","",IF(D1728="HOLD",IF(ABS(K1728)&lt;0.03,"YES","NO"),IF(D1728="BUY",IF(K1728&gt;0,"YES","NO"),IF(D1728="SELL",IF(K1728&lt;0,"YES","NO"),""))))</f>
        <v/>
      </c>
    </row>
    <row r="1729" ht="15" customHeight="1">
      <c r="K1729" s="26">
        <f>IF(H1729="","",(H1729-G1729)/G1729)</f>
        <v/>
      </c>
      <c r="L1729" s="26">
        <f>IF(I1729="","",(I1729-G1729)/G1729)</f>
        <v/>
      </c>
      <c r="M1729" s="26">
        <f>IF(J1729="","",(J1729-G1729)/G1729)</f>
        <v/>
      </c>
      <c r="N1729" s="27">
        <f>IF(H1729="","",IF(D1729="HOLD",IF(ABS(K1729)&lt;0.03,"YES","NO"),IF(D1729="BUY",IF(K1729&gt;0,"YES","NO"),IF(D1729="SELL",IF(K1729&lt;0,"YES","NO"),""))))</f>
        <v/>
      </c>
    </row>
    <row r="1730" ht="15" customHeight="1">
      <c r="K1730" s="26">
        <f>IF(H1730="","",(H1730-G1730)/G1730)</f>
        <v/>
      </c>
      <c r="L1730" s="26">
        <f>IF(I1730="","",(I1730-G1730)/G1730)</f>
        <v/>
      </c>
      <c r="M1730" s="26">
        <f>IF(J1730="","",(J1730-G1730)/G1730)</f>
        <v/>
      </c>
      <c r="N1730" s="27">
        <f>IF(H1730="","",IF(D1730="HOLD",IF(ABS(K1730)&lt;0.03,"YES","NO"),IF(D1730="BUY",IF(K1730&gt;0,"YES","NO"),IF(D1730="SELL",IF(K1730&lt;0,"YES","NO"),""))))</f>
        <v/>
      </c>
    </row>
    <row r="1731" ht="15" customHeight="1">
      <c r="K1731" s="26">
        <f>IF(H1731="","",(H1731-G1731)/G1731)</f>
        <v/>
      </c>
      <c r="L1731" s="26">
        <f>IF(I1731="","",(I1731-G1731)/G1731)</f>
        <v/>
      </c>
      <c r="M1731" s="26">
        <f>IF(J1731="","",(J1731-G1731)/G1731)</f>
        <v/>
      </c>
      <c r="N1731" s="27">
        <f>IF(H1731="","",IF(D1731="HOLD",IF(ABS(K1731)&lt;0.03,"YES","NO"),IF(D1731="BUY",IF(K1731&gt;0,"YES","NO"),IF(D1731="SELL",IF(K1731&lt;0,"YES","NO"),""))))</f>
        <v/>
      </c>
    </row>
    <row r="1732" ht="15" customHeight="1">
      <c r="K1732" s="26">
        <f>IF(H1732="","",(H1732-G1732)/G1732)</f>
        <v/>
      </c>
      <c r="L1732" s="26">
        <f>IF(I1732="","",(I1732-G1732)/G1732)</f>
        <v/>
      </c>
      <c r="M1732" s="26">
        <f>IF(J1732="","",(J1732-G1732)/G1732)</f>
        <v/>
      </c>
      <c r="N1732" s="27">
        <f>IF(H1732="","",IF(D1732="HOLD",IF(ABS(K1732)&lt;0.03,"YES","NO"),IF(D1732="BUY",IF(K1732&gt;0,"YES","NO"),IF(D1732="SELL",IF(K1732&lt;0,"YES","NO"),""))))</f>
        <v/>
      </c>
    </row>
    <row r="1733" ht="15" customHeight="1">
      <c r="K1733" s="26">
        <f>IF(H1733="","",(H1733-G1733)/G1733)</f>
        <v/>
      </c>
      <c r="L1733" s="26">
        <f>IF(I1733="","",(I1733-G1733)/G1733)</f>
        <v/>
      </c>
      <c r="M1733" s="26">
        <f>IF(J1733="","",(J1733-G1733)/G1733)</f>
        <v/>
      </c>
      <c r="N1733" s="27">
        <f>IF(H1733="","",IF(D1733="HOLD",IF(ABS(K1733)&lt;0.03,"YES","NO"),IF(D1733="BUY",IF(K1733&gt;0,"YES","NO"),IF(D1733="SELL",IF(K1733&lt;0,"YES","NO"),""))))</f>
        <v/>
      </c>
    </row>
    <row r="1734" ht="15" customHeight="1">
      <c r="K1734" s="26">
        <f>IF(H1734="","",(H1734-G1734)/G1734)</f>
        <v/>
      </c>
      <c r="L1734" s="26">
        <f>IF(I1734="","",(I1734-G1734)/G1734)</f>
        <v/>
      </c>
      <c r="M1734" s="26">
        <f>IF(J1734="","",(J1734-G1734)/G1734)</f>
        <v/>
      </c>
      <c r="N1734" s="27">
        <f>IF(H1734="","",IF(D1734="HOLD",IF(ABS(K1734)&lt;0.03,"YES","NO"),IF(D1734="BUY",IF(K1734&gt;0,"YES","NO"),IF(D1734="SELL",IF(K1734&lt;0,"YES","NO"),""))))</f>
        <v/>
      </c>
    </row>
    <row r="1735" ht="15" customHeight="1">
      <c r="K1735" s="26">
        <f>IF(H1735="","",(H1735-G1735)/G1735)</f>
        <v/>
      </c>
      <c r="L1735" s="26">
        <f>IF(I1735="","",(I1735-G1735)/G1735)</f>
        <v/>
      </c>
      <c r="M1735" s="26">
        <f>IF(J1735="","",(J1735-G1735)/G1735)</f>
        <v/>
      </c>
      <c r="N1735" s="27">
        <f>IF(H1735="","",IF(D1735="HOLD",IF(ABS(K1735)&lt;0.03,"YES","NO"),IF(D1735="BUY",IF(K1735&gt;0,"YES","NO"),IF(D1735="SELL",IF(K1735&lt;0,"YES","NO"),""))))</f>
        <v/>
      </c>
    </row>
    <row r="1736" ht="15" customHeight="1">
      <c r="K1736" s="26">
        <f>IF(H1736="","",(H1736-G1736)/G1736)</f>
        <v/>
      </c>
      <c r="L1736" s="26">
        <f>IF(I1736="","",(I1736-G1736)/G1736)</f>
        <v/>
      </c>
      <c r="M1736" s="26">
        <f>IF(J1736="","",(J1736-G1736)/G1736)</f>
        <v/>
      </c>
      <c r="N1736" s="27">
        <f>IF(H1736="","",IF(D1736="HOLD",IF(ABS(K1736)&lt;0.03,"YES","NO"),IF(D1736="BUY",IF(K1736&gt;0,"YES","NO"),IF(D1736="SELL",IF(K1736&lt;0,"YES","NO"),""))))</f>
        <v/>
      </c>
    </row>
    <row r="1737" ht="15" customHeight="1">
      <c r="K1737" s="26">
        <f>IF(H1737="","",(H1737-G1737)/G1737)</f>
        <v/>
      </c>
      <c r="L1737" s="26">
        <f>IF(I1737="","",(I1737-G1737)/G1737)</f>
        <v/>
      </c>
      <c r="M1737" s="26">
        <f>IF(J1737="","",(J1737-G1737)/G1737)</f>
        <v/>
      </c>
      <c r="N1737" s="27">
        <f>IF(H1737="","",IF(D1737="HOLD",IF(ABS(K1737)&lt;0.03,"YES","NO"),IF(D1737="BUY",IF(K1737&gt;0,"YES","NO"),IF(D1737="SELL",IF(K1737&lt;0,"YES","NO"),""))))</f>
        <v/>
      </c>
    </row>
    <row r="1738" ht="15" customHeight="1">
      <c r="K1738" s="26">
        <f>IF(H1738="","",(H1738-G1738)/G1738)</f>
        <v/>
      </c>
      <c r="L1738" s="26">
        <f>IF(I1738="","",(I1738-G1738)/G1738)</f>
        <v/>
      </c>
      <c r="M1738" s="26">
        <f>IF(J1738="","",(J1738-G1738)/G1738)</f>
        <v/>
      </c>
      <c r="N1738" s="27">
        <f>IF(H1738="","",IF(D1738="HOLD",IF(ABS(K1738)&lt;0.03,"YES","NO"),IF(D1738="BUY",IF(K1738&gt;0,"YES","NO"),IF(D1738="SELL",IF(K1738&lt;0,"YES","NO"),""))))</f>
        <v/>
      </c>
    </row>
    <row r="1739" ht="15" customHeight="1">
      <c r="K1739" s="26">
        <f>IF(H1739="","",(H1739-G1739)/G1739)</f>
        <v/>
      </c>
      <c r="L1739" s="26">
        <f>IF(I1739="","",(I1739-G1739)/G1739)</f>
        <v/>
      </c>
      <c r="M1739" s="26">
        <f>IF(J1739="","",(J1739-G1739)/G1739)</f>
        <v/>
      </c>
      <c r="N1739" s="27">
        <f>IF(H1739="","",IF(D1739="HOLD",IF(ABS(K1739)&lt;0.03,"YES","NO"),IF(D1739="BUY",IF(K1739&gt;0,"YES","NO"),IF(D1739="SELL",IF(K1739&lt;0,"YES","NO"),""))))</f>
        <v/>
      </c>
    </row>
    <row r="1740" ht="15" customHeight="1">
      <c r="K1740" s="26">
        <f>IF(H1740="","",(H1740-G1740)/G1740)</f>
        <v/>
      </c>
      <c r="L1740" s="26">
        <f>IF(I1740="","",(I1740-G1740)/G1740)</f>
        <v/>
      </c>
      <c r="M1740" s="26">
        <f>IF(J1740="","",(J1740-G1740)/G1740)</f>
        <v/>
      </c>
      <c r="N1740" s="27">
        <f>IF(H1740="","",IF(D1740="HOLD",IF(ABS(K1740)&lt;0.03,"YES","NO"),IF(D1740="BUY",IF(K1740&gt;0,"YES","NO"),IF(D1740="SELL",IF(K1740&lt;0,"YES","NO"),""))))</f>
        <v/>
      </c>
    </row>
    <row r="1741" ht="15" customHeight="1">
      <c r="K1741" s="26">
        <f>IF(H1741="","",(H1741-G1741)/G1741)</f>
        <v/>
      </c>
      <c r="L1741" s="26">
        <f>IF(I1741="","",(I1741-G1741)/G1741)</f>
        <v/>
      </c>
      <c r="M1741" s="26">
        <f>IF(J1741="","",(J1741-G1741)/G1741)</f>
        <v/>
      </c>
      <c r="N1741" s="27">
        <f>IF(H1741="","",IF(D1741="HOLD",IF(ABS(K1741)&lt;0.03,"YES","NO"),IF(D1741="BUY",IF(K1741&gt;0,"YES","NO"),IF(D1741="SELL",IF(K1741&lt;0,"YES","NO"),""))))</f>
        <v/>
      </c>
    </row>
    <row r="1742" ht="15" customHeight="1">
      <c r="K1742" s="26">
        <f>IF(H1742="","",(H1742-G1742)/G1742)</f>
        <v/>
      </c>
      <c r="L1742" s="26">
        <f>IF(I1742="","",(I1742-G1742)/G1742)</f>
        <v/>
      </c>
      <c r="M1742" s="26">
        <f>IF(J1742="","",(J1742-G1742)/G1742)</f>
        <v/>
      </c>
      <c r="N1742" s="27">
        <f>IF(H1742="","",IF(D1742="HOLD",IF(ABS(K1742)&lt;0.03,"YES","NO"),IF(D1742="BUY",IF(K1742&gt;0,"YES","NO"),IF(D1742="SELL",IF(K1742&lt;0,"YES","NO"),""))))</f>
        <v/>
      </c>
    </row>
    <row r="1743" ht="15" customHeight="1">
      <c r="K1743" s="26">
        <f>IF(H1743="","",(H1743-G1743)/G1743)</f>
        <v/>
      </c>
      <c r="L1743" s="26">
        <f>IF(I1743="","",(I1743-G1743)/G1743)</f>
        <v/>
      </c>
      <c r="M1743" s="26">
        <f>IF(J1743="","",(J1743-G1743)/G1743)</f>
        <v/>
      </c>
      <c r="N1743" s="27">
        <f>IF(H1743="","",IF(D1743="HOLD",IF(ABS(K1743)&lt;0.03,"YES","NO"),IF(D1743="BUY",IF(K1743&gt;0,"YES","NO"),IF(D1743="SELL",IF(K1743&lt;0,"YES","NO"),""))))</f>
        <v/>
      </c>
    </row>
    <row r="1744" ht="15" customHeight="1">
      <c r="K1744" s="26">
        <f>IF(H1744="","",(H1744-G1744)/G1744)</f>
        <v/>
      </c>
      <c r="L1744" s="26">
        <f>IF(I1744="","",(I1744-G1744)/G1744)</f>
        <v/>
      </c>
      <c r="M1744" s="26">
        <f>IF(J1744="","",(J1744-G1744)/G1744)</f>
        <v/>
      </c>
      <c r="N1744" s="27">
        <f>IF(H1744="","",IF(D1744="HOLD",IF(ABS(K1744)&lt;0.03,"YES","NO"),IF(D1744="BUY",IF(K1744&gt;0,"YES","NO"),IF(D1744="SELL",IF(K1744&lt;0,"YES","NO"),""))))</f>
        <v/>
      </c>
    </row>
    <row r="1745" ht="15" customHeight="1">
      <c r="K1745" s="26">
        <f>IF(H1745="","",(H1745-G1745)/G1745)</f>
        <v/>
      </c>
      <c r="L1745" s="26">
        <f>IF(I1745="","",(I1745-G1745)/G1745)</f>
        <v/>
      </c>
      <c r="M1745" s="26">
        <f>IF(J1745="","",(J1745-G1745)/G1745)</f>
        <v/>
      </c>
      <c r="N1745" s="27">
        <f>IF(H1745="","",IF(D1745="HOLD",IF(ABS(K1745)&lt;0.03,"YES","NO"),IF(D1745="BUY",IF(K1745&gt;0,"YES","NO"),IF(D1745="SELL",IF(K1745&lt;0,"YES","NO"),""))))</f>
        <v/>
      </c>
    </row>
    <row r="1746" ht="15" customHeight="1">
      <c r="K1746" s="26">
        <f>IF(H1746="","",(H1746-G1746)/G1746)</f>
        <v/>
      </c>
      <c r="L1746" s="26">
        <f>IF(I1746="","",(I1746-G1746)/G1746)</f>
        <v/>
      </c>
      <c r="M1746" s="26">
        <f>IF(J1746="","",(J1746-G1746)/G1746)</f>
        <v/>
      </c>
      <c r="N1746" s="27">
        <f>IF(H1746="","",IF(D1746="HOLD",IF(ABS(K1746)&lt;0.03,"YES","NO"),IF(D1746="BUY",IF(K1746&gt;0,"YES","NO"),IF(D1746="SELL",IF(K1746&lt;0,"YES","NO"),""))))</f>
        <v/>
      </c>
    </row>
    <row r="1747" ht="15" customHeight="1">
      <c r="K1747" s="26">
        <f>IF(H1747="","",(H1747-G1747)/G1747)</f>
        <v/>
      </c>
      <c r="L1747" s="26">
        <f>IF(I1747="","",(I1747-G1747)/G1747)</f>
        <v/>
      </c>
      <c r="M1747" s="26">
        <f>IF(J1747="","",(J1747-G1747)/G1747)</f>
        <v/>
      </c>
      <c r="N1747" s="27">
        <f>IF(H1747="","",IF(D1747="HOLD",IF(ABS(K1747)&lt;0.03,"YES","NO"),IF(D1747="BUY",IF(K1747&gt;0,"YES","NO"),IF(D1747="SELL",IF(K1747&lt;0,"YES","NO"),""))))</f>
        <v/>
      </c>
    </row>
    <row r="1748" ht="15" customHeight="1">
      <c r="K1748" s="26">
        <f>IF(H1748="","",(H1748-G1748)/G1748)</f>
        <v/>
      </c>
      <c r="L1748" s="26">
        <f>IF(I1748="","",(I1748-G1748)/G1748)</f>
        <v/>
      </c>
      <c r="M1748" s="26">
        <f>IF(J1748="","",(J1748-G1748)/G1748)</f>
        <v/>
      </c>
      <c r="N1748" s="27">
        <f>IF(H1748="","",IF(D1748="HOLD",IF(ABS(K1748)&lt;0.03,"YES","NO"),IF(D1748="BUY",IF(K1748&gt;0,"YES","NO"),IF(D1748="SELL",IF(K1748&lt;0,"YES","NO"),""))))</f>
        <v/>
      </c>
    </row>
    <row r="1749" ht="15" customHeight="1">
      <c r="K1749" s="26">
        <f>IF(H1749="","",(H1749-G1749)/G1749)</f>
        <v/>
      </c>
      <c r="L1749" s="26">
        <f>IF(I1749="","",(I1749-G1749)/G1749)</f>
        <v/>
      </c>
      <c r="M1749" s="26">
        <f>IF(J1749="","",(J1749-G1749)/G1749)</f>
        <v/>
      </c>
      <c r="N1749" s="27">
        <f>IF(H1749="","",IF(D1749="HOLD",IF(ABS(K1749)&lt;0.03,"YES","NO"),IF(D1749="BUY",IF(K1749&gt;0,"YES","NO"),IF(D1749="SELL",IF(K1749&lt;0,"YES","NO"),""))))</f>
        <v/>
      </c>
    </row>
    <row r="1750" ht="15" customHeight="1">
      <c r="K1750" s="26">
        <f>IF(H1750="","",(H1750-G1750)/G1750)</f>
        <v/>
      </c>
      <c r="L1750" s="26">
        <f>IF(I1750="","",(I1750-G1750)/G1750)</f>
        <v/>
      </c>
      <c r="M1750" s="26">
        <f>IF(J1750="","",(J1750-G1750)/G1750)</f>
        <v/>
      </c>
      <c r="N1750" s="27">
        <f>IF(H1750="","",IF(D1750="HOLD",IF(ABS(K1750)&lt;0.03,"YES","NO"),IF(D1750="BUY",IF(K1750&gt;0,"YES","NO"),IF(D1750="SELL",IF(K1750&lt;0,"YES","NO"),""))))</f>
        <v/>
      </c>
    </row>
    <row r="1751" ht="15" customHeight="1">
      <c r="K1751" s="26">
        <f>IF(H1751="","",(H1751-G1751)/G1751)</f>
        <v/>
      </c>
      <c r="L1751" s="26">
        <f>IF(I1751="","",(I1751-G1751)/G1751)</f>
        <v/>
      </c>
      <c r="M1751" s="26">
        <f>IF(J1751="","",(J1751-G1751)/G1751)</f>
        <v/>
      </c>
      <c r="N1751" s="27">
        <f>IF(H1751="","",IF(D1751="HOLD",IF(ABS(K1751)&lt;0.03,"YES","NO"),IF(D1751="BUY",IF(K1751&gt;0,"YES","NO"),IF(D1751="SELL",IF(K1751&lt;0,"YES","NO"),""))))</f>
        <v/>
      </c>
    </row>
    <row r="1752" ht="15" customHeight="1">
      <c r="K1752" s="26">
        <f>IF(H1752="","",(H1752-G1752)/G1752)</f>
        <v/>
      </c>
      <c r="L1752" s="26">
        <f>IF(I1752="","",(I1752-G1752)/G1752)</f>
        <v/>
      </c>
      <c r="M1752" s="26">
        <f>IF(J1752="","",(J1752-G1752)/G1752)</f>
        <v/>
      </c>
      <c r="N1752" s="27">
        <f>IF(H1752="","",IF(D1752="HOLD",IF(ABS(K1752)&lt;0.03,"YES","NO"),IF(D1752="BUY",IF(K1752&gt;0,"YES","NO"),IF(D1752="SELL",IF(K1752&lt;0,"YES","NO"),""))))</f>
        <v/>
      </c>
    </row>
    <row r="1753" ht="15" customHeight="1">
      <c r="K1753" s="26">
        <f>IF(H1753="","",(H1753-G1753)/G1753)</f>
        <v/>
      </c>
      <c r="L1753" s="26">
        <f>IF(I1753="","",(I1753-G1753)/G1753)</f>
        <v/>
      </c>
      <c r="M1753" s="26">
        <f>IF(J1753="","",(J1753-G1753)/G1753)</f>
        <v/>
      </c>
      <c r="N1753" s="27">
        <f>IF(H1753="","",IF(D1753="HOLD",IF(ABS(K1753)&lt;0.03,"YES","NO"),IF(D1753="BUY",IF(K1753&gt;0,"YES","NO"),IF(D1753="SELL",IF(K1753&lt;0,"YES","NO"),""))))</f>
        <v/>
      </c>
    </row>
    <row r="1754" ht="15" customHeight="1">
      <c r="K1754" s="26">
        <f>IF(H1754="","",(H1754-G1754)/G1754)</f>
        <v/>
      </c>
      <c r="L1754" s="26">
        <f>IF(I1754="","",(I1754-G1754)/G1754)</f>
        <v/>
      </c>
      <c r="M1754" s="26">
        <f>IF(J1754="","",(J1754-G1754)/G1754)</f>
        <v/>
      </c>
      <c r="N1754" s="27">
        <f>IF(H1754="","",IF(D1754="HOLD",IF(ABS(K1754)&lt;0.03,"YES","NO"),IF(D1754="BUY",IF(K1754&gt;0,"YES","NO"),IF(D1754="SELL",IF(K1754&lt;0,"YES","NO"),""))))</f>
        <v/>
      </c>
    </row>
    <row r="1755" ht="15" customHeight="1">
      <c r="K1755" s="26">
        <f>IF(H1755="","",(H1755-G1755)/G1755)</f>
        <v/>
      </c>
      <c r="L1755" s="26">
        <f>IF(I1755="","",(I1755-G1755)/G1755)</f>
        <v/>
      </c>
      <c r="M1755" s="26">
        <f>IF(J1755="","",(J1755-G1755)/G1755)</f>
        <v/>
      </c>
      <c r="N1755" s="27">
        <f>IF(H1755="","",IF(D1755="HOLD",IF(ABS(K1755)&lt;0.03,"YES","NO"),IF(D1755="BUY",IF(K1755&gt;0,"YES","NO"),IF(D1755="SELL",IF(K1755&lt;0,"YES","NO"),""))))</f>
        <v/>
      </c>
    </row>
    <row r="1756" ht="15" customHeight="1">
      <c r="K1756" s="26">
        <f>IF(H1756="","",(H1756-G1756)/G1756)</f>
        <v/>
      </c>
      <c r="L1756" s="26">
        <f>IF(I1756="","",(I1756-G1756)/G1756)</f>
        <v/>
      </c>
      <c r="M1756" s="26">
        <f>IF(J1756="","",(J1756-G1756)/G1756)</f>
        <v/>
      </c>
      <c r="N1756" s="27">
        <f>IF(H1756="","",IF(D1756="HOLD",IF(ABS(K1756)&lt;0.03,"YES","NO"),IF(D1756="BUY",IF(K1756&gt;0,"YES","NO"),IF(D1756="SELL",IF(K1756&lt;0,"YES","NO"),""))))</f>
        <v/>
      </c>
    </row>
    <row r="1757" ht="15" customHeight="1">
      <c r="K1757" s="26">
        <f>IF(H1757="","",(H1757-G1757)/G1757)</f>
        <v/>
      </c>
      <c r="L1757" s="26">
        <f>IF(I1757="","",(I1757-G1757)/G1757)</f>
        <v/>
      </c>
      <c r="M1757" s="26">
        <f>IF(J1757="","",(J1757-G1757)/G1757)</f>
        <v/>
      </c>
      <c r="N1757" s="27">
        <f>IF(H1757="","",IF(D1757="HOLD",IF(ABS(K1757)&lt;0.03,"YES","NO"),IF(D1757="BUY",IF(K1757&gt;0,"YES","NO"),IF(D1757="SELL",IF(K1757&lt;0,"YES","NO"),""))))</f>
        <v/>
      </c>
    </row>
    <row r="1758" ht="15" customHeight="1">
      <c r="K1758" s="26">
        <f>IF(H1758="","",(H1758-G1758)/G1758)</f>
        <v/>
      </c>
      <c r="L1758" s="26">
        <f>IF(I1758="","",(I1758-G1758)/G1758)</f>
        <v/>
      </c>
      <c r="M1758" s="26">
        <f>IF(J1758="","",(J1758-G1758)/G1758)</f>
        <v/>
      </c>
      <c r="N1758" s="27">
        <f>IF(H1758="","",IF(D1758="HOLD",IF(ABS(K1758)&lt;0.03,"YES","NO"),IF(D1758="BUY",IF(K1758&gt;0,"YES","NO"),IF(D1758="SELL",IF(K1758&lt;0,"YES","NO"),""))))</f>
        <v/>
      </c>
    </row>
    <row r="1759" ht="15" customHeight="1">
      <c r="K1759" s="26">
        <f>IF(H1759="","",(H1759-G1759)/G1759)</f>
        <v/>
      </c>
      <c r="L1759" s="26">
        <f>IF(I1759="","",(I1759-G1759)/G1759)</f>
        <v/>
      </c>
      <c r="M1759" s="26">
        <f>IF(J1759="","",(J1759-G1759)/G1759)</f>
        <v/>
      </c>
      <c r="N1759" s="27">
        <f>IF(H1759="","",IF(D1759="HOLD",IF(ABS(K1759)&lt;0.03,"YES","NO"),IF(D1759="BUY",IF(K1759&gt;0,"YES","NO"),IF(D1759="SELL",IF(K1759&lt;0,"YES","NO"),""))))</f>
        <v/>
      </c>
    </row>
    <row r="1760" ht="15" customHeight="1">
      <c r="K1760" s="26">
        <f>IF(H1760="","",(H1760-G1760)/G1760)</f>
        <v/>
      </c>
      <c r="L1760" s="26">
        <f>IF(I1760="","",(I1760-G1760)/G1760)</f>
        <v/>
      </c>
      <c r="M1760" s="26">
        <f>IF(J1760="","",(J1760-G1760)/G1760)</f>
        <v/>
      </c>
      <c r="N1760" s="27">
        <f>IF(H1760="","",IF(D1760="HOLD",IF(ABS(K1760)&lt;0.03,"YES","NO"),IF(D1760="BUY",IF(K1760&gt;0,"YES","NO"),IF(D1760="SELL",IF(K1760&lt;0,"YES","NO"),""))))</f>
        <v/>
      </c>
    </row>
    <row r="1761" ht="15" customHeight="1">
      <c r="K1761" s="26">
        <f>IF(H1761="","",(H1761-G1761)/G1761)</f>
        <v/>
      </c>
      <c r="L1761" s="26">
        <f>IF(I1761="","",(I1761-G1761)/G1761)</f>
        <v/>
      </c>
      <c r="M1761" s="26">
        <f>IF(J1761="","",(J1761-G1761)/G1761)</f>
        <v/>
      </c>
      <c r="N1761" s="27">
        <f>IF(H1761="","",IF(D1761="HOLD",IF(ABS(K1761)&lt;0.03,"YES","NO"),IF(D1761="BUY",IF(K1761&gt;0,"YES","NO"),IF(D1761="SELL",IF(K1761&lt;0,"YES","NO"),""))))</f>
        <v/>
      </c>
    </row>
    <row r="1762" ht="15" customHeight="1">
      <c r="K1762" s="26">
        <f>IF(H1762="","",(H1762-G1762)/G1762)</f>
        <v/>
      </c>
      <c r="L1762" s="26">
        <f>IF(I1762="","",(I1762-G1762)/G1762)</f>
        <v/>
      </c>
      <c r="M1762" s="26">
        <f>IF(J1762="","",(J1762-G1762)/G1762)</f>
        <v/>
      </c>
      <c r="N1762" s="27">
        <f>IF(H1762="","",IF(D1762="HOLD",IF(ABS(K1762)&lt;0.03,"YES","NO"),IF(D1762="BUY",IF(K1762&gt;0,"YES","NO"),IF(D1762="SELL",IF(K1762&lt;0,"YES","NO"),""))))</f>
        <v/>
      </c>
    </row>
    <row r="1763" ht="15" customHeight="1">
      <c r="K1763" s="26">
        <f>IF(H1763="","",(H1763-G1763)/G1763)</f>
        <v/>
      </c>
      <c r="L1763" s="26">
        <f>IF(I1763="","",(I1763-G1763)/G1763)</f>
        <v/>
      </c>
      <c r="M1763" s="26">
        <f>IF(J1763="","",(J1763-G1763)/G1763)</f>
        <v/>
      </c>
      <c r="N1763" s="27">
        <f>IF(H1763="","",IF(D1763="HOLD",IF(ABS(K1763)&lt;0.03,"YES","NO"),IF(D1763="BUY",IF(K1763&gt;0,"YES","NO"),IF(D1763="SELL",IF(K1763&lt;0,"YES","NO"),""))))</f>
        <v/>
      </c>
    </row>
    <row r="1764" ht="15" customHeight="1">
      <c r="K1764" s="26">
        <f>IF(H1764="","",(H1764-G1764)/G1764)</f>
        <v/>
      </c>
      <c r="L1764" s="26">
        <f>IF(I1764="","",(I1764-G1764)/G1764)</f>
        <v/>
      </c>
      <c r="M1764" s="26">
        <f>IF(J1764="","",(J1764-G1764)/G1764)</f>
        <v/>
      </c>
      <c r="N1764" s="27">
        <f>IF(H1764="","",IF(D1764="HOLD",IF(ABS(K1764)&lt;0.03,"YES","NO"),IF(D1764="BUY",IF(K1764&gt;0,"YES","NO"),IF(D1764="SELL",IF(K1764&lt;0,"YES","NO"),""))))</f>
        <v/>
      </c>
    </row>
    <row r="1765" ht="15" customHeight="1">
      <c r="K1765" s="26">
        <f>IF(H1765="","",(H1765-G1765)/G1765)</f>
        <v/>
      </c>
      <c r="L1765" s="26">
        <f>IF(I1765="","",(I1765-G1765)/G1765)</f>
        <v/>
      </c>
      <c r="M1765" s="26">
        <f>IF(J1765="","",(J1765-G1765)/G1765)</f>
        <v/>
      </c>
      <c r="N1765" s="27">
        <f>IF(H1765="","",IF(D1765="HOLD",IF(ABS(K1765)&lt;0.03,"YES","NO"),IF(D1765="BUY",IF(K1765&gt;0,"YES","NO"),IF(D1765="SELL",IF(K1765&lt;0,"YES","NO"),""))))</f>
        <v/>
      </c>
    </row>
    <row r="1766" ht="15" customHeight="1">
      <c r="K1766" s="26">
        <f>IF(H1766="","",(H1766-G1766)/G1766)</f>
        <v/>
      </c>
      <c r="L1766" s="26">
        <f>IF(I1766="","",(I1766-G1766)/G1766)</f>
        <v/>
      </c>
      <c r="M1766" s="26">
        <f>IF(J1766="","",(J1766-G1766)/G1766)</f>
        <v/>
      </c>
      <c r="N1766" s="27">
        <f>IF(H1766="","",IF(D1766="HOLD",IF(ABS(K1766)&lt;0.03,"YES","NO"),IF(D1766="BUY",IF(K1766&gt;0,"YES","NO"),IF(D1766="SELL",IF(K1766&lt;0,"YES","NO"),""))))</f>
        <v/>
      </c>
    </row>
    <row r="1767" ht="15" customHeight="1">
      <c r="K1767" s="26">
        <f>IF(H1767="","",(H1767-G1767)/G1767)</f>
        <v/>
      </c>
      <c r="L1767" s="26">
        <f>IF(I1767="","",(I1767-G1767)/G1767)</f>
        <v/>
      </c>
      <c r="M1767" s="26">
        <f>IF(J1767="","",(J1767-G1767)/G1767)</f>
        <v/>
      </c>
      <c r="N1767" s="27">
        <f>IF(H1767="","",IF(D1767="HOLD",IF(ABS(K1767)&lt;0.03,"YES","NO"),IF(D1767="BUY",IF(K1767&gt;0,"YES","NO"),IF(D1767="SELL",IF(K1767&lt;0,"YES","NO"),""))))</f>
        <v/>
      </c>
    </row>
    <row r="1768" ht="15" customHeight="1">
      <c r="K1768" s="26">
        <f>IF(H1768="","",(H1768-G1768)/G1768)</f>
        <v/>
      </c>
      <c r="L1768" s="26">
        <f>IF(I1768="","",(I1768-G1768)/G1768)</f>
        <v/>
      </c>
      <c r="M1768" s="26">
        <f>IF(J1768="","",(J1768-G1768)/G1768)</f>
        <v/>
      </c>
      <c r="N1768" s="27">
        <f>IF(H1768="","",IF(D1768="HOLD",IF(ABS(K1768)&lt;0.03,"YES","NO"),IF(D1768="BUY",IF(K1768&gt;0,"YES","NO"),IF(D1768="SELL",IF(K1768&lt;0,"YES","NO"),""))))</f>
        <v/>
      </c>
    </row>
    <row r="1769" ht="15" customHeight="1">
      <c r="K1769" s="26">
        <f>IF(H1769="","",(H1769-G1769)/G1769)</f>
        <v/>
      </c>
      <c r="L1769" s="26">
        <f>IF(I1769="","",(I1769-G1769)/G1769)</f>
        <v/>
      </c>
      <c r="M1769" s="26">
        <f>IF(J1769="","",(J1769-G1769)/G1769)</f>
        <v/>
      </c>
      <c r="N1769" s="27">
        <f>IF(H1769="","",IF(D1769="HOLD",IF(ABS(K1769)&lt;0.03,"YES","NO"),IF(D1769="BUY",IF(K1769&gt;0,"YES","NO"),IF(D1769="SELL",IF(K1769&lt;0,"YES","NO"),""))))</f>
        <v/>
      </c>
    </row>
    <row r="1770" ht="15" customHeight="1">
      <c r="K1770" s="26">
        <f>IF(H1770="","",(H1770-G1770)/G1770)</f>
        <v/>
      </c>
      <c r="L1770" s="26">
        <f>IF(I1770="","",(I1770-G1770)/G1770)</f>
        <v/>
      </c>
      <c r="M1770" s="26">
        <f>IF(J1770="","",(J1770-G1770)/G1770)</f>
        <v/>
      </c>
      <c r="N1770" s="27">
        <f>IF(H1770="","",IF(D1770="HOLD",IF(ABS(K1770)&lt;0.03,"YES","NO"),IF(D1770="BUY",IF(K1770&gt;0,"YES","NO"),IF(D1770="SELL",IF(K1770&lt;0,"YES","NO"),""))))</f>
        <v/>
      </c>
    </row>
    <row r="1771" ht="15" customHeight="1">
      <c r="K1771" s="26">
        <f>IF(H1771="","",(H1771-G1771)/G1771)</f>
        <v/>
      </c>
      <c r="L1771" s="26">
        <f>IF(I1771="","",(I1771-G1771)/G1771)</f>
        <v/>
      </c>
      <c r="M1771" s="26">
        <f>IF(J1771="","",(J1771-G1771)/G1771)</f>
        <v/>
      </c>
      <c r="N1771" s="27">
        <f>IF(H1771="","",IF(D1771="HOLD",IF(ABS(K1771)&lt;0.03,"YES","NO"),IF(D1771="BUY",IF(K1771&gt;0,"YES","NO"),IF(D1771="SELL",IF(K1771&lt;0,"YES","NO"),""))))</f>
        <v/>
      </c>
    </row>
    <row r="1772" ht="15" customHeight="1">
      <c r="K1772" s="26">
        <f>IF(H1772="","",(H1772-G1772)/G1772)</f>
        <v/>
      </c>
      <c r="L1772" s="26">
        <f>IF(I1772="","",(I1772-G1772)/G1772)</f>
        <v/>
      </c>
      <c r="M1772" s="26">
        <f>IF(J1772="","",(J1772-G1772)/G1772)</f>
        <v/>
      </c>
      <c r="N1772" s="27">
        <f>IF(H1772="","",IF(D1772="HOLD",IF(ABS(K1772)&lt;0.03,"YES","NO"),IF(D1772="BUY",IF(K1772&gt;0,"YES","NO"),IF(D1772="SELL",IF(K1772&lt;0,"YES","NO"),""))))</f>
        <v/>
      </c>
    </row>
    <row r="1773" ht="15" customHeight="1">
      <c r="K1773" s="26">
        <f>IF(H1773="","",(H1773-G1773)/G1773)</f>
        <v/>
      </c>
      <c r="L1773" s="26">
        <f>IF(I1773="","",(I1773-G1773)/G1773)</f>
        <v/>
      </c>
      <c r="M1773" s="26">
        <f>IF(J1773="","",(J1773-G1773)/G1773)</f>
        <v/>
      </c>
      <c r="N1773" s="27">
        <f>IF(H1773="","",IF(D1773="HOLD",IF(ABS(K1773)&lt;0.03,"YES","NO"),IF(D1773="BUY",IF(K1773&gt;0,"YES","NO"),IF(D1773="SELL",IF(K1773&lt;0,"YES","NO"),""))))</f>
        <v/>
      </c>
    </row>
    <row r="1774" ht="15" customHeight="1">
      <c r="K1774" s="26">
        <f>IF(H1774="","",(H1774-G1774)/G1774)</f>
        <v/>
      </c>
      <c r="L1774" s="26">
        <f>IF(I1774="","",(I1774-G1774)/G1774)</f>
        <v/>
      </c>
      <c r="M1774" s="26">
        <f>IF(J1774="","",(J1774-G1774)/G1774)</f>
        <v/>
      </c>
      <c r="N1774" s="27">
        <f>IF(H1774="","",IF(D1774="HOLD",IF(ABS(K1774)&lt;0.03,"YES","NO"),IF(D1774="BUY",IF(K1774&gt;0,"YES","NO"),IF(D1774="SELL",IF(K1774&lt;0,"YES","NO"),""))))</f>
        <v/>
      </c>
    </row>
    <row r="1775" ht="15" customHeight="1">
      <c r="K1775" s="26">
        <f>IF(H1775="","",(H1775-G1775)/G1775)</f>
        <v/>
      </c>
      <c r="L1775" s="26">
        <f>IF(I1775="","",(I1775-G1775)/G1775)</f>
        <v/>
      </c>
      <c r="M1775" s="26">
        <f>IF(J1775="","",(J1775-G1775)/G1775)</f>
        <v/>
      </c>
      <c r="N1775" s="27">
        <f>IF(H1775="","",IF(D1775="HOLD",IF(ABS(K1775)&lt;0.03,"YES","NO"),IF(D1775="BUY",IF(K1775&gt;0,"YES","NO"),IF(D1775="SELL",IF(K1775&lt;0,"YES","NO"),""))))</f>
        <v/>
      </c>
    </row>
    <row r="1776" ht="15" customHeight="1">
      <c r="K1776" s="26">
        <f>IF(H1776="","",(H1776-G1776)/G1776)</f>
        <v/>
      </c>
      <c r="L1776" s="26">
        <f>IF(I1776="","",(I1776-G1776)/G1776)</f>
        <v/>
      </c>
      <c r="M1776" s="26">
        <f>IF(J1776="","",(J1776-G1776)/G1776)</f>
        <v/>
      </c>
      <c r="N1776" s="27">
        <f>IF(H1776="","",IF(D1776="HOLD",IF(ABS(K1776)&lt;0.03,"YES","NO"),IF(D1776="BUY",IF(K1776&gt;0,"YES","NO"),IF(D1776="SELL",IF(K1776&lt;0,"YES","NO"),""))))</f>
        <v/>
      </c>
    </row>
    <row r="1777" ht="15" customHeight="1">
      <c r="K1777" s="26">
        <f>IF(H1777="","",(H1777-G1777)/G1777)</f>
        <v/>
      </c>
      <c r="L1777" s="26">
        <f>IF(I1777="","",(I1777-G1777)/G1777)</f>
        <v/>
      </c>
      <c r="M1777" s="26">
        <f>IF(J1777="","",(J1777-G1777)/G1777)</f>
        <v/>
      </c>
      <c r="N1777" s="27">
        <f>IF(H1777="","",IF(D1777="HOLD",IF(ABS(K1777)&lt;0.03,"YES","NO"),IF(D1777="BUY",IF(K1777&gt;0,"YES","NO"),IF(D1777="SELL",IF(K1777&lt;0,"YES","NO"),""))))</f>
        <v/>
      </c>
    </row>
    <row r="1778" ht="15" customHeight="1">
      <c r="K1778" s="26">
        <f>IF(H1778="","",(H1778-G1778)/G1778)</f>
        <v/>
      </c>
      <c r="L1778" s="26">
        <f>IF(I1778="","",(I1778-G1778)/G1778)</f>
        <v/>
      </c>
      <c r="M1778" s="26">
        <f>IF(J1778="","",(J1778-G1778)/G1778)</f>
        <v/>
      </c>
      <c r="N1778" s="27">
        <f>IF(H1778="","",IF(D1778="HOLD",IF(ABS(K1778)&lt;0.03,"YES","NO"),IF(D1778="BUY",IF(K1778&gt;0,"YES","NO"),IF(D1778="SELL",IF(K1778&lt;0,"YES","NO"),""))))</f>
        <v/>
      </c>
    </row>
    <row r="1779" ht="15" customHeight="1">
      <c r="K1779" s="26">
        <f>IF(H1779="","",(H1779-G1779)/G1779)</f>
        <v/>
      </c>
      <c r="L1779" s="26">
        <f>IF(I1779="","",(I1779-G1779)/G1779)</f>
        <v/>
      </c>
      <c r="M1779" s="26">
        <f>IF(J1779="","",(J1779-G1779)/G1779)</f>
        <v/>
      </c>
      <c r="N1779" s="27">
        <f>IF(H1779="","",IF(D1779="HOLD",IF(ABS(K1779)&lt;0.03,"YES","NO"),IF(D1779="BUY",IF(K1779&gt;0,"YES","NO"),IF(D1779="SELL",IF(K1779&lt;0,"YES","NO"),""))))</f>
        <v/>
      </c>
    </row>
    <row r="1780" ht="15" customHeight="1">
      <c r="K1780" s="26">
        <f>IF(H1780="","",(H1780-G1780)/G1780)</f>
        <v/>
      </c>
      <c r="L1780" s="26">
        <f>IF(I1780="","",(I1780-G1780)/G1780)</f>
        <v/>
      </c>
      <c r="M1780" s="26">
        <f>IF(J1780="","",(J1780-G1780)/G1780)</f>
        <v/>
      </c>
      <c r="N1780" s="27">
        <f>IF(H1780="","",IF(D1780="HOLD",IF(ABS(K1780)&lt;0.03,"YES","NO"),IF(D1780="BUY",IF(K1780&gt;0,"YES","NO"),IF(D1780="SELL",IF(K1780&lt;0,"YES","NO"),""))))</f>
        <v/>
      </c>
    </row>
    <row r="1781" ht="15" customHeight="1">
      <c r="K1781" s="26">
        <f>IF(H1781="","",(H1781-G1781)/G1781)</f>
        <v/>
      </c>
      <c r="L1781" s="26">
        <f>IF(I1781="","",(I1781-G1781)/G1781)</f>
        <v/>
      </c>
      <c r="M1781" s="26">
        <f>IF(J1781="","",(J1781-G1781)/G1781)</f>
        <v/>
      </c>
      <c r="N1781" s="27">
        <f>IF(H1781="","",IF(D1781="HOLD",IF(ABS(K1781)&lt;0.03,"YES","NO"),IF(D1781="BUY",IF(K1781&gt;0,"YES","NO"),IF(D1781="SELL",IF(K1781&lt;0,"YES","NO"),""))))</f>
        <v/>
      </c>
    </row>
    <row r="1782" ht="15" customHeight="1">
      <c r="K1782" s="26">
        <f>IF(H1782="","",(H1782-G1782)/G1782)</f>
        <v/>
      </c>
      <c r="L1782" s="26">
        <f>IF(I1782="","",(I1782-G1782)/G1782)</f>
        <v/>
      </c>
      <c r="M1782" s="26">
        <f>IF(J1782="","",(J1782-G1782)/G1782)</f>
        <v/>
      </c>
      <c r="N1782" s="27">
        <f>IF(H1782="","",IF(D1782="HOLD",IF(ABS(K1782)&lt;0.03,"YES","NO"),IF(D1782="BUY",IF(K1782&gt;0,"YES","NO"),IF(D1782="SELL",IF(K1782&lt;0,"YES","NO"),""))))</f>
        <v/>
      </c>
    </row>
    <row r="1783" ht="15" customHeight="1">
      <c r="K1783" s="26">
        <f>IF(H1783="","",(H1783-G1783)/G1783)</f>
        <v/>
      </c>
      <c r="L1783" s="26">
        <f>IF(I1783="","",(I1783-G1783)/G1783)</f>
        <v/>
      </c>
      <c r="M1783" s="26">
        <f>IF(J1783="","",(J1783-G1783)/G1783)</f>
        <v/>
      </c>
      <c r="N1783" s="27">
        <f>IF(H1783="","",IF(D1783="HOLD",IF(ABS(K1783)&lt;0.03,"YES","NO"),IF(D1783="BUY",IF(K1783&gt;0,"YES","NO"),IF(D1783="SELL",IF(K1783&lt;0,"YES","NO"),""))))</f>
        <v/>
      </c>
    </row>
    <row r="1784" ht="15" customHeight="1">
      <c r="K1784" s="26">
        <f>IF(H1784="","",(H1784-G1784)/G1784)</f>
        <v/>
      </c>
      <c r="L1784" s="26">
        <f>IF(I1784="","",(I1784-G1784)/G1784)</f>
        <v/>
      </c>
      <c r="M1784" s="26">
        <f>IF(J1784="","",(J1784-G1784)/G1784)</f>
        <v/>
      </c>
      <c r="N1784" s="27">
        <f>IF(H1784="","",IF(D1784="HOLD",IF(ABS(K1784)&lt;0.03,"YES","NO"),IF(D1784="BUY",IF(K1784&gt;0,"YES","NO"),IF(D1784="SELL",IF(K1784&lt;0,"YES","NO"),""))))</f>
        <v/>
      </c>
    </row>
    <row r="1785" ht="15" customHeight="1">
      <c r="K1785" s="26">
        <f>IF(H1785="","",(H1785-G1785)/G1785)</f>
        <v/>
      </c>
      <c r="L1785" s="26">
        <f>IF(I1785="","",(I1785-G1785)/G1785)</f>
        <v/>
      </c>
      <c r="M1785" s="26">
        <f>IF(J1785="","",(J1785-G1785)/G1785)</f>
        <v/>
      </c>
      <c r="N1785" s="27">
        <f>IF(H1785="","",IF(D1785="HOLD",IF(ABS(K1785)&lt;0.03,"YES","NO"),IF(D1785="BUY",IF(K1785&gt;0,"YES","NO"),IF(D1785="SELL",IF(K1785&lt;0,"YES","NO"),""))))</f>
        <v/>
      </c>
    </row>
    <row r="1786" ht="15" customHeight="1">
      <c r="K1786" s="26">
        <f>IF(H1786="","",(H1786-G1786)/G1786)</f>
        <v/>
      </c>
      <c r="L1786" s="26">
        <f>IF(I1786="","",(I1786-G1786)/G1786)</f>
        <v/>
      </c>
      <c r="M1786" s="26">
        <f>IF(J1786="","",(J1786-G1786)/G1786)</f>
        <v/>
      </c>
      <c r="N1786" s="27">
        <f>IF(H1786="","",IF(D1786="HOLD",IF(ABS(K1786)&lt;0.03,"YES","NO"),IF(D1786="BUY",IF(K1786&gt;0,"YES","NO"),IF(D1786="SELL",IF(K1786&lt;0,"YES","NO"),""))))</f>
        <v/>
      </c>
    </row>
    <row r="1787" ht="15" customHeight="1">
      <c r="K1787" s="26">
        <f>IF(H1787="","",(H1787-G1787)/G1787)</f>
        <v/>
      </c>
      <c r="L1787" s="26">
        <f>IF(I1787="","",(I1787-G1787)/G1787)</f>
        <v/>
      </c>
      <c r="M1787" s="26">
        <f>IF(J1787="","",(J1787-G1787)/G1787)</f>
        <v/>
      </c>
      <c r="N1787" s="27">
        <f>IF(H1787="","",IF(D1787="HOLD",IF(ABS(K1787)&lt;0.03,"YES","NO"),IF(D1787="BUY",IF(K1787&gt;0,"YES","NO"),IF(D1787="SELL",IF(K1787&lt;0,"YES","NO"),""))))</f>
        <v/>
      </c>
    </row>
    <row r="1788" ht="15" customHeight="1">
      <c r="K1788" s="26">
        <f>IF(H1788="","",(H1788-G1788)/G1788)</f>
        <v/>
      </c>
      <c r="L1788" s="26">
        <f>IF(I1788="","",(I1788-G1788)/G1788)</f>
        <v/>
      </c>
      <c r="M1788" s="26">
        <f>IF(J1788="","",(J1788-G1788)/G1788)</f>
        <v/>
      </c>
      <c r="N1788" s="27">
        <f>IF(H1788="","",IF(D1788="HOLD",IF(ABS(K1788)&lt;0.03,"YES","NO"),IF(D1788="BUY",IF(K1788&gt;0,"YES","NO"),IF(D1788="SELL",IF(K1788&lt;0,"YES","NO"),""))))</f>
        <v/>
      </c>
    </row>
    <row r="1789" ht="15" customHeight="1">
      <c r="K1789" s="26">
        <f>IF(H1789="","",(H1789-G1789)/G1789)</f>
        <v/>
      </c>
      <c r="L1789" s="26">
        <f>IF(I1789="","",(I1789-G1789)/G1789)</f>
        <v/>
      </c>
      <c r="M1789" s="26">
        <f>IF(J1789="","",(J1789-G1789)/G1789)</f>
        <v/>
      </c>
      <c r="N1789" s="27">
        <f>IF(H1789="","",IF(D1789="HOLD",IF(ABS(K1789)&lt;0.03,"YES","NO"),IF(D1789="BUY",IF(K1789&gt;0,"YES","NO"),IF(D1789="SELL",IF(K1789&lt;0,"YES","NO"),""))))</f>
        <v/>
      </c>
    </row>
    <row r="1790" ht="15" customHeight="1">
      <c r="K1790" s="26">
        <f>IF(H1790="","",(H1790-G1790)/G1790)</f>
        <v/>
      </c>
      <c r="L1790" s="26">
        <f>IF(I1790="","",(I1790-G1790)/G1790)</f>
        <v/>
      </c>
      <c r="M1790" s="26">
        <f>IF(J1790="","",(J1790-G1790)/G1790)</f>
        <v/>
      </c>
      <c r="N1790" s="27">
        <f>IF(H1790="","",IF(D1790="HOLD",IF(ABS(K1790)&lt;0.03,"YES","NO"),IF(D1790="BUY",IF(K1790&gt;0,"YES","NO"),IF(D1790="SELL",IF(K1790&lt;0,"YES","NO"),""))))</f>
        <v/>
      </c>
    </row>
    <row r="1791" ht="15" customHeight="1">
      <c r="K1791" s="26">
        <f>IF(H1791="","",(H1791-G1791)/G1791)</f>
        <v/>
      </c>
      <c r="L1791" s="26">
        <f>IF(I1791="","",(I1791-G1791)/G1791)</f>
        <v/>
      </c>
      <c r="M1791" s="26">
        <f>IF(J1791="","",(J1791-G1791)/G1791)</f>
        <v/>
      </c>
      <c r="N1791" s="27">
        <f>IF(H1791="","",IF(D1791="HOLD",IF(ABS(K1791)&lt;0.03,"YES","NO"),IF(D1791="BUY",IF(K1791&gt;0,"YES","NO"),IF(D1791="SELL",IF(K1791&lt;0,"YES","NO"),""))))</f>
        <v/>
      </c>
    </row>
    <row r="1792" ht="15" customHeight="1">
      <c r="K1792" s="26">
        <f>IF(H1792="","",(H1792-G1792)/G1792)</f>
        <v/>
      </c>
      <c r="L1792" s="26">
        <f>IF(I1792="","",(I1792-G1792)/G1792)</f>
        <v/>
      </c>
      <c r="M1792" s="26">
        <f>IF(J1792="","",(J1792-G1792)/G1792)</f>
        <v/>
      </c>
      <c r="N1792" s="27">
        <f>IF(H1792="","",IF(D1792="HOLD",IF(ABS(K1792)&lt;0.03,"YES","NO"),IF(D1792="BUY",IF(K1792&gt;0,"YES","NO"),IF(D1792="SELL",IF(K1792&lt;0,"YES","NO"),""))))</f>
        <v/>
      </c>
    </row>
    <row r="1793" ht="15" customHeight="1">
      <c r="K1793" s="26">
        <f>IF(H1793="","",(H1793-G1793)/G1793)</f>
        <v/>
      </c>
      <c r="L1793" s="26">
        <f>IF(I1793="","",(I1793-G1793)/G1793)</f>
        <v/>
      </c>
      <c r="M1793" s="26">
        <f>IF(J1793="","",(J1793-G1793)/G1793)</f>
        <v/>
      </c>
      <c r="N1793" s="27">
        <f>IF(H1793="","",IF(D1793="HOLD",IF(ABS(K1793)&lt;0.03,"YES","NO"),IF(D1793="BUY",IF(K1793&gt;0,"YES","NO"),IF(D1793="SELL",IF(K1793&lt;0,"YES","NO"),""))))</f>
        <v/>
      </c>
    </row>
    <row r="1794" ht="15" customHeight="1">
      <c r="K1794" s="26">
        <f>IF(H1794="","",(H1794-G1794)/G1794)</f>
        <v/>
      </c>
      <c r="L1794" s="26">
        <f>IF(I1794="","",(I1794-G1794)/G1794)</f>
        <v/>
      </c>
      <c r="M1794" s="26">
        <f>IF(J1794="","",(J1794-G1794)/G1794)</f>
        <v/>
      </c>
      <c r="N1794" s="27">
        <f>IF(H1794="","",IF(D1794="HOLD",IF(ABS(K1794)&lt;0.03,"YES","NO"),IF(D1794="BUY",IF(K1794&gt;0,"YES","NO"),IF(D1794="SELL",IF(K1794&lt;0,"YES","NO"),""))))</f>
        <v/>
      </c>
    </row>
    <row r="1795" ht="15" customHeight="1">
      <c r="K1795" s="26">
        <f>IF(H1795="","",(H1795-G1795)/G1795)</f>
        <v/>
      </c>
      <c r="L1795" s="26">
        <f>IF(I1795="","",(I1795-G1795)/G1795)</f>
        <v/>
      </c>
      <c r="M1795" s="26">
        <f>IF(J1795="","",(J1795-G1795)/G1795)</f>
        <v/>
      </c>
      <c r="N1795" s="27">
        <f>IF(H1795="","",IF(D1795="HOLD",IF(ABS(K1795)&lt;0.03,"YES","NO"),IF(D1795="BUY",IF(K1795&gt;0,"YES","NO"),IF(D1795="SELL",IF(K1795&lt;0,"YES","NO"),""))))</f>
        <v/>
      </c>
    </row>
    <row r="1796" ht="15" customHeight="1">
      <c r="K1796" s="26">
        <f>IF(H1796="","",(H1796-G1796)/G1796)</f>
        <v/>
      </c>
      <c r="L1796" s="26">
        <f>IF(I1796="","",(I1796-G1796)/G1796)</f>
        <v/>
      </c>
      <c r="M1796" s="26">
        <f>IF(J1796="","",(J1796-G1796)/G1796)</f>
        <v/>
      </c>
      <c r="N1796" s="27">
        <f>IF(H1796="","",IF(D1796="HOLD",IF(ABS(K1796)&lt;0.03,"YES","NO"),IF(D1796="BUY",IF(K1796&gt;0,"YES","NO"),IF(D1796="SELL",IF(K1796&lt;0,"YES","NO"),""))))</f>
        <v/>
      </c>
    </row>
    <row r="1797" ht="15" customHeight="1">
      <c r="K1797" s="26">
        <f>IF(H1797="","",(H1797-G1797)/G1797)</f>
        <v/>
      </c>
      <c r="L1797" s="26">
        <f>IF(I1797="","",(I1797-G1797)/G1797)</f>
        <v/>
      </c>
      <c r="M1797" s="26">
        <f>IF(J1797="","",(J1797-G1797)/G1797)</f>
        <v/>
      </c>
      <c r="N1797" s="27">
        <f>IF(H1797="","",IF(D1797="HOLD",IF(ABS(K1797)&lt;0.03,"YES","NO"),IF(D1797="BUY",IF(K1797&gt;0,"YES","NO"),IF(D1797="SELL",IF(K1797&lt;0,"YES","NO"),""))))</f>
        <v/>
      </c>
    </row>
    <row r="1798" ht="15" customHeight="1">
      <c r="K1798" s="26">
        <f>IF(H1798="","",(H1798-G1798)/G1798)</f>
        <v/>
      </c>
      <c r="L1798" s="26">
        <f>IF(I1798="","",(I1798-G1798)/G1798)</f>
        <v/>
      </c>
      <c r="M1798" s="26">
        <f>IF(J1798="","",(J1798-G1798)/G1798)</f>
        <v/>
      </c>
      <c r="N1798" s="27">
        <f>IF(H1798="","",IF(D1798="HOLD",IF(ABS(K1798)&lt;0.03,"YES","NO"),IF(D1798="BUY",IF(K1798&gt;0,"YES","NO"),IF(D1798="SELL",IF(K1798&lt;0,"YES","NO"),""))))</f>
        <v/>
      </c>
    </row>
    <row r="1799" ht="15" customHeight="1">
      <c r="K1799" s="26">
        <f>IF(H1799="","",(H1799-G1799)/G1799)</f>
        <v/>
      </c>
      <c r="L1799" s="26">
        <f>IF(I1799="","",(I1799-G1799)/G1799)</f>
        <v/>
      </c>
      <c r="M1799" s="26">
        <f>IF(J1799="","",(J1799-G1799)/G1799)</f>
        <v/>
      </c>
      <c r="N1799" s="27">
        <f>IF(H1799="","",IF(D1799="HOLD",IF(ABS(K1799)&lt;0.03,"YES","NO"),IF(D1799="BUY",IF(K1799&gt;0,"YES","NO"),IF(D1799="SELL",IF(K1799&lt;0,"YES","NO"),""))))</f>
        <v/>
      </c>
    </row>
    <row r="1800" ht="15" customHeight="1">
      <c r="K1800" s="26">
        <f>IF(H1800="","",(H1800-G1800)/G1800)</f>
        <v/>
      </c>
      <c r="L1800" s="26">
        <f>IF(I1800="","",(I1800-G1800)/G1800)</f>
        <v/>
      </c>
      <c r="M1800" s="26">
        <f>IF(J1800="","",(J1800-G1800)/G1800)</f>
        <v/>
      </c>
      <c r="N1800" s="27">
        <f>IF(H1800="","",IF(D1800="HOLD",IF(ABS(K1800)&lt;0.03,"YES","NO"),IF(D1800="BUY",IF(K1800&gt;0,"YES","NO"),IF(D1800="SELL",IF(K1800&lt;0,"YES","NO"),""))))</f>
        <v/>
      </c>
    </row>
    <row r="1801" ht="15" customHeight="1">
      <c r="K1801" s="26">
        <f>IF(H1801="","",(H1801-G1801)/G1801)</f>
        <v/>
      </c>
      <c r="L1801" s="26">
        <f>IF(I1801="","",(I1801-G1801)/G1801)</f>
        <v/>
      </c>
      <c r="M1801" s="26">
        <f>IF(J1801="","",(J1801-G1801)/G1801)</f>
        <v/>
      </c>
      <c r="N1801" s="27">
        <f>IF(H1801="","",IF(D1801="HOLD",IF(ABS(K1801)&lt;0.03,"YES","NO"),IF(D1801="BUY",IF(K1801&gt;0,"YES","NO"),IF(D1801="SELL",IF(K1801&lt;0,"YES","NO"),""))))</f>
        <v/>
      </c>
    </row>
    <row r="1802" ht="15" customHeight="1">
      <c r="K1802" s="26">
        <f>IF(H1802="","",(H1802-G1802)/G1802)</f>
        <v/>
      </c>
      <c r="L1802" s="26">
        <f>IF(I1802="","",(I1802-G1802)/G1802)</f>
        <v/>
      </c>
      <c r="M1802" s="26">
        <f>IF(J1802="","",(J1802-G1802)/G1802)</f>
        <v/>
      </c>
      <c r="N1802" s="27">
        <f>IF(H1802="","",IF(D1802="HOLD",IF(ABS(K1802)&lt;0.03,"YES","NO"),IF(D1802="BUY",IF(K1802&gt;0,"YES","NO"),IF(D1802="SELL",IF(K1802&lt;0,"YES","NO"),""))))</f>
        <v/>
      </c>
    </row>
    <row r="1803" ht="15" customHeight="1">
      <c r="K1803" s="26">
        <f>IF(H1803="","",(H1803-G1803)/G1803)</f>
        <v/>
      </c>
      <c r="L1803" s="26">
        <f>IF(I1803="","",(I1803-G1803)/G1803)</f>
        <v/>
      </c>
      <c r="M1803" s="26">
        <f>IF(J1803="","",(J1803-G1803)/G1803)</f>
        <v/>
      </c>
      <c r="N1803" s="27">
        <f>IF(H1803="","",IF(D1803="HOLD",IF(ABS(K1803)&lt;0.03,"YES","NO"),IF(D1803="BUY",IF(K1803&gt;0,"YES","NO"),IF(D1803="SELL",IF(K1803&lt;0,"YES","NO"),""))))</f>
        <v/>
      </c>
    </row>
    <row r="1804" ht="15" customHeight="1">
      <c r="K1804" s="26">
        <f>IF(H1804="","",(H1804-G1804)/G1804)</f>
        <v/>
      </c>
      <c r="L1804" s="26">
        <f>IF(I1804="","",(I1804-G1804)/G1804)</f>
        <v/>
      </c>
      <c r="M1804" s="26">
        <f>IF(J1804="","",(J1804-G1804)/G1804)</f>
        <v/>
      </c>
      <c r="N1804" s="27">
        <f>IF(H1804="","",IF(D1804="HOLD",IF(ABS(K1804)&lt;0.03,"YES","NO"),IF(D1804="BUY",IF(K1804&gt;0,"YES","NO"),IF(D1804="SELL",IF(K1804&lt;0,"YES","NO"),""))))</f>
        <v/>
      </c>
    </row>
    <row r="1805" ht="15" customHeight="1">
      <c r="K1805" s="26">
        <f>IF(H1805="","",(H1805-G1805)/G1805)</f>
        <v/>
      </c>
      <c r="L1805" s="26">
        <f>IF(I1805="","",(I1805-G1805)/G1805)</f>
        <v/>
      </c>
      <c r="M1805" s="26">
        <f>IF(J1805="","",(J1805-G1805)/G1805)</f>
        <v/>
      </c>
      <c r="N1805" s="27">
        <f>IF(H1805="","",IF(D1805="HOLD",IF(ABS(K1805)&lt;0.03,"YES","NO"),IF(D1805="BUY",IF(K1805&gt;0,"YES","NO"),IF(D1805="SELL",IF(K1805&lt;0,"YES","NO"),""))))</f>
        <v/>
      </c>
    </row>
    <row r="1806" ht="15" customHeight="1">
      <c r="K1806" s="26">
        <f>IF(H1806="","",(H1806-G1806)/G1806)</f>
        <v/>
      </c>
      <c r="L1806" s="26">
        <f>IF(I1806="","",(I1806-G1806)/G1806)</f>
        <v/>
      </c>
      <c r="M1806" s="26">
        <f>IF(J1806="","",(J1806-G1806)/G1806)</f>
        <v/>
      </c>
      <c r="N1806" s="27">
        <f>IF(H1806="","",IF(D1806="HOLD",IF(ABS(K1806)&lt;0.03,"YES","NO"),IF(D1806="BUY",IF(K1806&gt;0,"YES","NO"),IF(D1806="SELL",IF(K1806&lt;0,"YES","NO"),""))))</f>
        <v/>
      </c>
    </row>
    <row r="1807" ht="15" customHeight="1">
      <c r="K1807" s="26">
        <f>IF(H1807="","",(H1807-G1807)/G1807)</f>
        <v/>
      </c>
      <c r="L1807" s="26">
        <f>IF(I1807="","",(I1807-G1807)/G1807)</f>
        <v/>
      </c>
      <c r="M1807" s="26">
        <f>IF(J1807="","",(J1807-G1807)/G1807)</f>
        <v/>
      </c>
      <c r="N1807" s="27">
        <f>IF(H1807="","",IF(D1807="HOLD",IF(ABS(K1807)&lt;0.03,"YES","NO"),IF(D1807="BUY",IF(K1807&gt;0,"YES","NO"),IF(D1807="SELL",IF(K1807&lt;0,"YES","NO"),""))))</f>
        <v/>
      </c>
    </row>
    <row r="1808" ht="15" customHeight="1">
      <c r="K1808" s="26">
        <f>IF(H1808="","",(H1808-G1808)/G1808)</f>
        <v/>
      </c>
      <c r="L1808" s="26">
        <f>IF(I1808="","",(I1808-G1808)/G1808)</f>
        <v/>
      </c>
      <c r="M1808" s="26">
        <f>IF(J1808="","",(J1808-G1808)/G1808)</f>
        <v/>
      </c>
      <c r="N1808" s="27">
        <f>IF(H1808="","",IF(D1808="HOLD",IF(ABS(K1808)&lt;0.03,"YES","NO"),IF(D1808="BUY",IF(K1808&gt;0,"YES","NO"),IF(D1808="SELL",IF(K1808&lt;0,"YES","NO"),""))))</f>
        <v/>
      </c>
    </row>
    <row r="1809" ht="15" customHeight="1">
      <c r="K1809" s="26">
        <f>IF(H1809="","",(H1809-G1809)/G1809)</f>
        <v/>
      </c>
      <c r="L1809" s="26">
        <f>IF(I1809="","",(I1809-G1809)/G1809)</f>
        <v/>
      </c>
      <c r="M1809" s="26">
        <f>IF(J1809="","",(J1809-G1809)/G1809)</f>
        <v/>
      </c>
      <c r="N1809" s="27">
        <f>IF(H1809="","",IF(D1809="HOLD",IF(ABS(K1809)&lt;0.03,"YES","NO"),IF(D1809="BUY",IF(K1809&gt;0,"YES","NO"),IF(D1809="SELL",IF(K1809&lt;0,"YES","NO"),""))))</f>
        <v/>
      </c>
    </row>
    <row r="1810" ht="15" customHeight="1">
      <c r="K1810" s="26">
        <f>IF(H1810="","",(H1810-G1810)/G1810)</f>
        <v/>
      </c>
      <c r="L1810" s="26">
        <f>IF(I1810="","",(I1810-G1810)/G1810)</f>
        <v/>
      </c>
      <c r="M1810" s="26">
        <f>IF(J1810="","",(J1810-G1810)/G1810)</f>
        <v/>
      </c>
      <c r="N1810" s="27">
        <f>IF(H1810="","",IF(D1810="HOLD",IF(ABS(K1810)&lt;0.03,"YES","NO"),IF(D1810="BUY",IF(K1810&gt;0,"YES","NO"),IF(D1810="SELL",IF(K1810&lt;0,"YES","NO"),""))))</f>
        <v/>
      </c>
    </row>
    <row r="1811" ht="15" customHeight="1">
      <c r="K1811" s="26">
        <f>IF(H1811="","",(H1811-G1811)/G1811)</f>
        <v/>
      </c>
      <c r="L1811" s="26">
        <f>IF(I1811="","",(I1811-G1811)/G1811)</f>
        <v/>
      </c>
      <c r="M1811" s="26">
        <f>IF(J1811="","",(J1811-G1811)/G1811)</f>
        <v/>
      </c>
      <c r="N1811" s="27">
        <f>IF(H1811="","",IF(D1811="HOLD",IF(ABS(K1811)&lt;0.03,"YES","NO"),IF(D1811="BUY",IF(K1811&gt;0,"YES","NO"),IF(D1811="SELL",IF(K1811&lt;0,"YES","NO"),""))))</f>
        <v/>
      </c>
    </row>
    <row r="1812" ht="15" customHeight="1">
      <c r="K1812" s="26">
        <f>IF(H1812="","",(H1812-G1812)/G1812)</f>
        <v/>
      </c>
      <c r="L1812" s="26">
        <f>IF(I1812="","",(I1812-G1812)/G1812)</f>
        <v/>
      </c>
      <c r="M1812" s="26">
        <f>IF(J1812="","",(J1812-G1812)/G1812)</f>
        <v/>
      </c>
      <c r="N1812" s="27">
        <f>IF(H1812="","",IF(D1812="HOLD",IF(ABS(K1812)&lt;0.03,"YES","NO"),IF(D1812="BUY",IF(K1812&gt;0,"YES","NO"),IF(D1812="SELL",IF(K1812&lt;0,"YES","NO"),""))))</f>
        <v/>
      </c>
    </row>
    <row r="1813" ht="15" customHeight="1">
      <c r="K1813" s="26">
        <f>IF(H1813="","",(H1813-G1813)/G1813)</f>
        <v/>
      </c>
      <c r="L1813" s="26">
        <f>IF(I1813="","",(I1813-G1813)/G1813)</f>
        <v/>
      </c>
      <c r="M1813" s="26">
        <f>IF(J1813="","",(J1813-G1813)/G1813)</f>
        <v/>
      </c>
      <c r="N1813" s="27">
        <f>IF(H1813="","",IF(D1813="HOLD",IF(ABS(K1813)&lt;0.03,"YES","NO"),IF(D1813="BUY",IF(K1813&gt;0,"YES","NO"),IF(D1813="SELL",IF(K1813&lt;0,"YES","NO"),""))))</f>
        <v/>
      </c>
    </row>
    <row r="1814" ht="15" customHeight="1">
      <c r="K1814" s="26">
        <f>IF(H1814="","",(H1814-G1814)/G1814)</f>
        <v/>
      </c>
      <c r="L1814" s="26">
        <f>IF(I1814="","",(I1814-G1814)/G1814)</f>
        <v/>
      </c>
      <c r="M1814" s="26">
        <f>IF(J1814="","",(J1814-G1814)/G1814)</f>
        <v/>
      </c>
      <c r="N1814" s="27">
        <f>IF(H1814="","",IF(D1814="HOLD",IF(ABS(K1814)&lt;0.03,"YES","NO"),IF(D1814="BUY",IF(K1814&gt;0,"YES","NO"),IF(D1814="SELL",IF(K1814&lt;0,"YES","NO"),""))))</f>
        <v/>
      </c>
    </row>
    <row r="1815" ht="15" customHeight="1">
      <c r="K1815" s="26">
        <f>IF(H1815="","",(H1815-G1815)/G1815)</f>
        <v/>
      </c>
      <c r="L1815" s="26">
        <f>IF(I1815="","",(I1815-G1815)/G1815)</f>
        <v/>
      </c>
      <c r="M1815" s="26">
        <f>IF(J1815="","",(J1815-G1815)/G1815)</f>
        <v/>
      </c>
      <c r="N1815" s="27">
        <f>IF(H1815="","",IF(D1815="HOLD",IF(ABS(K1815)&lt;0.03,"YES","NO"),IF(D1815="BUY",IF(K1815&gt;0,"YES","NO"),IF(D1815="SELL",IF(K1815&lt;0,"YES","NO"),""))))</f>
        <v/>
      </c>
    </row>
    <row r="1816" ht="15" customHeight="1">
      <c r="K1816" s="26">
        <f>IF(H1816="","",(H1816-G1816)/G1816)</f>
        <v/>
      </c>
      <c r="L1816" s="26">
        <f>IF(I1816="","",(I1816-G1816)/G1816)</f>
        <v/>
      </c>
      <c r="M1816" s="26">
        <f>IF(J1816="","",(J1816-G1816)/G1816)</f>
        <v/>
      </c>
      <c r="N1816" s="27">
        <f>IF(H1816="","",IF(D1816="HOLD",IF(ABS(K1816)&lt;0.03,"YES","NO"),IF(D1816="BUY",IF(K1816&gt;0,"YES","NO"),IF(D1816="SELL",IF(K1816&lt;0,"YES","NO"),""))))</f>
        <v/>
      </c>
    </row>
    <row r="1817" ht="15" customHeight="1">
      <c r="K1817" s="26">
        <f>IF(H1817="","",(H1817-G1817)/G1817)</f>
        <v/>
      </c>
      <c r="L1817" s="26">
        <f>IF(I1817="","",(I1817-G1817)/G1817)</f>
        <v/>
      </c>
      <c r="M1817" s="26">
        <f>IF(J1817="","",(J1817-G1817)/G1817)</f>
        <v/>
      </c>
      <c r="N1817" s="27">
        <f>IF(H1817="","",IF(D1817="HOLD",IF(ABS(K1817)&lt;0.03,"YES","NO"),IF(D1817="BUY",IF(K1817&gt;0,"YES","NO"),IF(D1817="SELL",IF(K1817&lt;0,"YES","NO"),""))))</f>
        <v/>
      </c>
    </row>
    <row r="1818" ht="15" customHeight="1">
      <c r="K1818" s="26">
        <f>IF(H1818="","",(H1818-G1818)/G1818)</f>
        <v/>
      </c>
      <c r="L1818" s="26">
        <f>IF(I1818="","",(I1818-G1818)/G1818)</f>
        <v/>
      </c>
      <c r="M1818" s="26">
        <f>IF(J1818="","",(J1818-G1818)/G1818)</f>
        <v/>
      </c>
      <c r="N1818" s="27">
        <f>IF(H1818="","",IF(D1818="HOLD",IF(ABS(K1818)&lt;0.03,"YES","NO"),IF(D1818="BUY",IF(K1818&gt;0,"YES","NO"),IF(D1818="SELL",IF(K1818&lt;0,"YES","NO"),""))))</f>
        <v/>
      </c>
    </row>
    <row r="1819" ht="15" customHeight="1">
      <c r="K1819" s="26">
        <f>IF(H1819="","",(H1819-G1819)/G1819)</f>
        <v/>
      </c>
      <c r="L1819" s="26">
        <f>IF(I1819="","",(I1819-G1819)/G1819)</f>
        <v/>
      </c>
      <c r="M1819" s="26">
        <f>IF(J1819="","",(J1819-G1819)/G1819)</f>
        <v/>
      </c>
      <c r="N1819" s="27">
        <f>IF(H1819="","",IF(D1819="HOLD",IF(ABS(K1819)&lt;0.03,"YES","NO"),IF(D1819="BUY",IF(K1819&gt;0,"YES","NO"),IF(D1819="SELL",IF(K1819&lt;0,"YES","NO"),""))))</f>
        <v/>
      </c>
    </row>
    <row r="1820" ht="15" customHeight="1">
      <c r="K1820" s="26">
        <f>IF(H1820="","",(H1820-G1820)/G1820)</f>
        <v/>
      </c>
      <c r="L1820" s="26">
        <f>IF(I1820="","",(I1820-G1820)/G1820)</f>
        <v/>
      </c>
      <c r="M1820" s="26">
        <f>IF(J1820="","",(J1820-G1820)/G1820)</f>
        <v/>
      </c>
      <c r="N1820" s="27">
        <f>IF(H1820="","",IF(D1820="HOLD",IF(ABS(K1820)&lt;0.03,"YES","NO"),IF(D1820="BUY",IF(K1820&gt;0,"YES","NO"),IF(D1820="SELL",IF(K1820&lt;0,"YES","NO"),""))))</f>
        <v/>
      </c>
    </row>
    <row r="1821" ht="15" customHeight="1">
      <c r="K1821" s="26">
        <f>IF(H1821="","",(H1821-G1821)/G1821)</f>
        <v/>
      </c>
      <c r="L1821" s="26">
        <f>IF(I1821="","",(I1821-G1821)/G1821)</f>
        <v/>
      </c>
      <c r="M1821" s="26">
        <f>IF(J1821="","",(J1821-G1821)/G1821)</f>
        <v/>
      </c>
      <c r="N1821" s="27">
        <f>IF(H1821="","",IF(D1821="HOLD",IF(ABS(K1821)&lt;0.03,"YES","NO"),IF(D1821="BUY",IF(K1821&gt;0,"YES","NO"),IF(D1821="SELL",IF(K1821&lt;0,"YES","NO"),""))))</f>
        <v/>
      </c>
    </row>
    <row r="1822" ht="15" customHeight="1">
      <c r="K1822" s="26">
        <f>IF(H1822="","",(H1822-G1822)/G1822)</f>
        <v/>
      </c>
      <c r="L1822" s="26">
        <f>IF(I1822="","",(I1822-G1822)/G1822)</f>
        <v/>
      </c>
      <c r="M1822" s="26">
        <f>IF(J1822="","",(J1822-G1822)/G1822)</f>
        <v/>
      </c>
      <c r="N1822" s="27">
        <f>IF(H1822="","",IF(D1822="HOLD",IF(ABS(K1822)&lt;0.03,"YES","NO"),IF(D1822="BUY",IF(K1822&gt;0,"YES","NO"),IF(D1822="SELL",IF(K1822&lt;0,"YES","NO"),""))))</f>
        <v/>
      </c>
    </row>
    <row r="1823" ht="15" customHeight="1">
      <c r="K1823" s="26">
        <f>IF(H1823="","",(H1823-G1823)/G1823)</f>
        <v/>
      </c>
      <c r="L1823" s="26">
        <f>IF(I1823="","",(I1823-G1823)/G1823)</f>
        <v/>
      </c>
      <c r="M1823" s="26">
        <f>IF(J1823="","",(J1823-G1823)/G1823)</f>
        <v/>
      </c>
      <c r="N1823" s="27">
        <f>IF(H1823="","",IF(D1823="HOLD",IF(ABS(K1823)&lt;0.03,"YES","NO"),IF(D1823="BUY",IF(K1823&gt;0,"YES","NO"),IF(D1823="SELL",IF(K1823&lt;0,"YES","NO"),""))))</f>
        <v/>
      </c>
    </row>
    <row r="1824" ht="15" customHeight="1">
      <c r="K1824" s="26">
        <f>IF(H1824="","",(H1824-G1824)/G1824)</f>
        <v/>
      </c>
      <c r="L1824" s="26">
        <f>IF(I1824="","",(I1824-G1824)/G1824)</f>
        <v/>
      </c>
      <c r="M1824" s="26">
        <f>IF(J1824="","",(J1824-G1824)/G1824)</f>
        <v/>
      </c>
      <c r="N1824" s="27">
        <f>IF(H1824="","",IF(D1824="HOLD",IF(ABS(K1824)&lt;0.03,"YES","NO"),IF(D1824="BUY",IF(K1824&gt;0,"YES","NO"),IF(D1824="SELL",IF(K1824&lt;0,"YES","NO"),""))))</f>
        <v/>
      </c>
    </row>
    <row r="1825" ht="15" customHeight="1">
      <c r="K1825" s="26">
        <f>IF(H1825="","",(H1825-G1825)/G1825)</f>
        <v/>
      </c>
      <c r="L1825" s="26">
        <f>IF(I1825="","",(I1825-G1825)/G1825)</f>
        <v/>
      </c>
      <c r="M1825" s="26">
        <f>IF(J1825="","",(J1825-G1825)/G1825)</f>
        <v/>
      </c>
      <c r="N1825" s="27">
        <f>IF(H1825="","",IF(D1825="HOLD",IF(ABS(K1825)&lt;0.03,"YES","NO"),IF(D1825="BUY",IF(K1825&gt;0,"YES","NO"),IF(D1825="SELL",IF(K1825&lt;0,"YES","NO"),""))))</f>
        <v/>
      </c>
    </row>
    <row r="1826" ht="15" customHeight="1">
      <c r="K1826" s="26">
        <f>IF(H1826="","",(H1826-G1826)/G1826)</f>
        <v/>
      </c>
      <c r="L1826" s="26">
        <f>IF(I1826="","",(I1826-G1826)/G1826)</f>
        <v/>
      </c>
      <c r="M1826" s="26">
        <f>IF(J1826="","",(J1826-G1826)/G1826)</f>
        <v/>
      </c>
      <c r="N1826" s="27">
        <f>IF(H1826="","",IF(D1826="HOLD",IF(ABS(K1826)&lt;0.03,"YES","NO"),IF(D1826="BUY",IF(K1826&gt;0,"YES","NO"),IF(D1826="SELL",IF(K1826&lt;0,"YES","NO"),""))))</f>
        <v/>
      </c>
    </row>
    <row r="1827" ht="15" customHeight="1">
      <c r="K1827" s="26">
        <f>IF(H1827="","",(H1827-G1827)/G1827)</f>
        <v/>
      </c>
      <c r="L1827" s="26">
        <f>IF(I1827="","",(I1827-G1827)/G1827)</f>
        <v/>
      </c>
      <c r="M1827" s="26">
        <f>IF(J1827="","",(J1827-G1827)/G1827)</f>
        <v/>
      </c>
      <c r="N1827" s="27">
        <f>IF(H1827="","",IF(D1827="HOLD",IF(ABS(K1827)&lt;0.03,"YES","NO"),IF(D1827="BUY",IF(K1827&gt;0,"YES","NO"),IF(D1827="SELL",IF(K1827&lt;0,"YES","NO"),""))))</f>
        <v/>
      </c>
    </row>
    <row r="1828" ht="15" customHeight="1">
      <c r="K1828" s="26">
        <f>IF(H1828="","",(H1828-G1828)/G1828)</f>
        <v/>
      </c>
      <c r="L1828" s="26">
        <f>IF(I1828="","",(I1828-G1828)/G1828)</f>
        <v/>
      </c>
      <c r="M1828" s="26">
        <f>IF(J1828="","",(J1828-G1828)/G1828)</f>
        <v/>
      </c>
      <c r="N1828" s="27">
        <f>IF(H1828="","",IF(D1828="HOLD",IF(ABS(K1828)&lt;0.03,"YES","NO"),IF(D1828="BUY",IF(K1828&gt;0,"YES","NO"),IF(D1828="SELL",IF(K1828&lt;0,"YES","NO"),""))))</f>
        <v/>
      </c>
    </row>
    <row r="1829" ht="15" customHeight="1">
      <c r="K1829" s="26">
        <f>IF(H1829="","",(H1829-G1829)/G1829)</f>
        <v/>
      </c>
      <c r="L1829" s="26">
        <f>IF(I1829="","",(I1829-G1829)/G1829)</f>
        <v/>
      </c>
      <c r="M1829" s="26">
        <f>IF(J1829="","",(J1829-G1829)/G1829)</f>
        <v/>
      </c>
      <c r="N1829" s="27">
        <f>IF(H1829="","",IF(D1829="HOLD",IF(ABS(K1829)&lt;0.03,"YES","NO"),IF(D1829="BUY",IF(K1829&gt;0,"YES","NO"),IF(D1829="SELL",IF(K1829&lt;0,"YES","NO"),""))))</f>
        <v/>
      </c>
    </row>
    <row r="1830" ht="15" customHeight="1">
      <c r="K1830" s="26">
        <f>IF(H1830="","",(H1830-G1830)/G1830)</f>
        <v/>
      </c>
      <c r="L1830" s="26">
        <f>IF(I1830="","",(I1830-G1830)/G1830)</f>
        <v/>
      </c>
      <c r="M1830" s="26">
        <f>IF(J1830="","",(J1830-G1830)/G1830)</f>
        <v/>
      </c>
      <c r="N1830" s="27">
        <f>IF(H1830="","",IF(D1830="HOLD",IF(ABS(K1830)&lt;0.03,"YES","NO"),IF(D1830="BUY",IF(K1830&gt;0,"YES","NO"),IF(D1830="SELL",IF(K1830&lt;0,"YES","NO"),""))))</f>
        <v/>
      </c>
    </row>
    <row r="1831" ht="15" customHeight="1">
      <c r="K1831" s="26">
        <f>IF(H1831="","",(H1831-G1831)/G1831)</f>
        <v/>
      </c>
      <c r="L1831" s="26">
        <f>IF(I1831="","",(I1831-G1831)/G1831)</f>
        <v/>
      </c>
      <c r="M1831" s="26">
        <f>IF(J1831="","",(J1831-G1831)/G1831)</f>
        <v/>
      </c>
      <c r="N1831" s="27">
        <f>IF(H1831="","",IF(D1831="HOLD",IF(ABS(K1831)&lt;0.03,"YES","NO"),IF(D1831="BUY",IF(K1831&gt;0,"YES","NO"),IF(D1831="SELL",IF(K1831&lt;0,"YES","NO"),""))))</f>
        <v/>
      </c>
    </row>
    <row r="1832" ht="15" customHeight="1">
      <c r="K1832" s="26">
        <f>IF(H1832="","",(H1832-G1832)/G1832)</f>
        <v/>
      </c>
      <c r="L1832" s="26">
        <f>IF(I1832="","",(I1832-G1832)/G1832)</f>
        <v/>
      </c>
      <c r="M1832" s="26">
        <f>IF(J1832="","",(J1832-G1832)/G1832)</f>
        <v/>
      </c>
      <c r="N1832" s="27">
        <f>IF(H1832="","",IF(D1832="HOLD",IF(ABS(K1832)&lt;0.03,"YES","NO"),IF(D1832="BUY",IF(K1832&gt;0,"YES","NO"),IF(D1832="SELL",IF(K1832&lt;0,"YES","NO"),""))))</f>
        <v/>
      </c>
    </row>
    <row r="1833" ht="15" customHeight="1">
      <c r="K1833" s="26">
        <f>IF(H1833="","",(H1833-G1833)/G1833)</f>
        <v/>
      </c>
      <c r="L1833" s="26">
        <f>IF(I1833="","",(I1833-G1833)/G1833)</f>
        <v/>
      </c>
      <c r="M1833" s="26">
        <f>IF(J1833="","",(J1833-G1833)/G1833)</f>
        <v/>
      </c>
      <c r="N1833" s="27">
        <f>IF(H1833="","",IF(D1833="HOLD",IF(ABS(K1833)&lt;0.03,"YES","NO"),IF(D1833="BUY",IF(K1833&gt;0,"YES","NO"),IF(D1833="SELL",IF(K1833&lt;0,"YES","NO"),""))))</f>
        <v/>
      </c>
    </row>
    <row r="1834" ht="15" customHeight="1">
      <c r="K1834" s="26">
        <f>IF(H1834="","",(H1834-G1834)/G1834)</f>
        <v/>
      </c>
      <c r="L1834" s="26">
        <f>IF(I1834="","",(I1834-G1834)/G1834)</f>
        <v/>
      </c>
      <c r="M1834" s="26">
        <f>IF(J1834="","",(J1834-G1834)/G1834)</f>
        <v/>
      </c>
      <c r="N1834" s="27">
        <f>IF(H1834="","",IF(D1834="HOLD",IF(ABS(K1834)&lt;0.03,"YES","NO"),IF(D1834="BUY",IF(K1834&gt;0,"YES","NO"),IF(D1834="SELL",IF(K1834&lt;0,"YES","NO"),""))))</f>
        <v/>
      </c>
    </row>
    <row r="1835" ht="15" customHeight="1">
      <c r="K1835" s="26">
        <f>IF(H1835="","",(H1835-G1835)/G1835)</f>
        <v/>
      </c>
      <c r="L1835" s="26">
        <f>IF(I1835="","",(I1835-G1835)/G1835)</f>
        <v/>
      </c>
      <c r="M1835" s="26">
        <f>IF(J1835="","",(J1835-G1835)/G1835)</f>
        <v/>
      </c>
      <c r="N1835" s="27">
        <f>IF(H1835="","",IF(D1835="HOLD",IF(ABS(K1835)&lt;0.03,"YES","NO"),IF(D1835="BUY",IF(K1835&gt;0,"YES","NO"),IF(D1835="SELL",IF(K1835&lt;0,"YES","NO"),""))))</f>
        <v/>
      </c>
    </row>
    <row r="1836" ht="15" customHeight="1">
      <c r="K1836" s="26">
        <f>IF(H1836="","",(H1836-G1836)/G1836)</f>
        <v/>
      </c>
      <c r="L1836" s="26">
        <f>IF(I1836="","",(I1836-G1836)/G1836)</f>
        <v/>
      </c>
      <c r="M1836" s="26">
        <f>IF(J1836="","",(J1836-G1836)/G1836)</f>
        <v/>
      </c>
      <c r="N1836" s="27">
        <f>IF(H1836="","",IF(D1836="HOLD",IF(ABS(K1836)&lt;0.03,"YES","NO"),IF(D1836="BUY",IF(K1836&gt;0,"YES","NO"),IF(D1836="SELL",IF(K1836&lt;0,"YES","NO"),""))))</f>
        <v/>
      </c>
    </row>
    <row r="1837" ht="15" customHeight="1">
      <c r="K1837" s="26">
        <f>IF(H1837="","",(H1837-G1837)/G1837)</f>
        <v/>
      </c>
      <c r="L1837" s="26">
        <f>IF(I1837="","",(I1837-G1837)/G1837)</f>
        <v/>
      </c>
      <c r="M1837" s="26">
        <f>IF(J1837="","",(J1837-G1837)/G1837)</f>
        <v/>
      </c>
      <c r="N1837" s="27">
        <f>IF(H1837="","",IF(D1837="HOLD",IF(ABS(K1837)&lt;0.03,"YES","NO"),IF(D1837="BUY",IF(K1837&gt;0,"YES","NO"),IF(D1837="SELL",IF(K1837&lt;0,"YES","NO"),""))))</f>
        <v/>
      </c>
    </row>
    <row r="1838" ht="15" customHeight="1">
      <c r="K1838" s="26">
        <f>IF(H1838="","",(H1838-G1838)/G1838)</f>
        <v/>
      </c>
      <c r="L1838" s="26">
        <f>IF(I1838="","",(I1838-G1838)/G1838)</f>
        <v/>
      </c>
      <c r="M1838" s="26">
        <f>IF(J1838="","",(J1838-G1838)/G1838)</f>
        <v/>
      </c>
      <c r="N1838" s="27">
        <f>IF(H1838="","",IF(D1838="HOLD",IF(ABS(K1838)&lt;0.03,"YES","NO"),IF(D1838="BUY",IF(K1838&gt;0,"YES","NO"),IF(D1838="SELL",IF(K1838&lt;0,"YES","NO"),""))))</f>
        <v/>
      </c>
    </row>
    <row r="1839" ht="15" customHeight="1">
      <c r="K1839" s="26">
        <f>IF(H1839="","",(H1839-G1839)/G1839)</f>
        <v/>
      </c>
      <c r="L1839" s="26">
        <f>IF(I1839="","",(I1839-G1839)/G1839)</f>
        <v/>
      </c>
      <c r="M1839" s="26">
        <f>IF(J1839="","",(J1839-G1839)/G1839)</f>
        <v/>
      </c>
      <c r="N1839" s="27">
        <f>IF(H1839="","",IF(D1839="HOLD",IF(ABS(K1839)&lt;0.03,"YES","NO"),IF(D1839="BUY",IF(K1839&gt;0,"YES","NO"),IF(D1839="SELL",IF(K1839&lt;0,"YES","NO"),""))))</f>
        <v/>
      </c>
    </row>
    <row r="1840" ht="15" customHeight="1">
      <c r="K1840" s="26">
        <f>IF(H1840="","",(H1840-G1840)/G1840)</f>
        <v/>
      </c>
      <c r="L1840" s="26">
        <f>IF(I1840="","",(I1840-G1840)/G1840)</f>
        <v/>
      </c>
      <c r="M1840" s="26">
        <f>IF(J1840="","",(J1840-G1840)/G1840)</f>
        <v/>
      </c>
      <c r="N1840" s="27">
        <f>IF(H1840="","",IF(D1840="HOLD",IF(ABS(K1840)&lt;0.03,"YES","NO"),IF(D1840="BUY",IF(K1840&gt;0,"YES","NO"),IF(D1840="SELL",IF(K1840&lt;0,"YES","NO"),""))))</f>
        <v/>
      </c>
    </row>
    <row r="1841" ht="15" customHeight="1">
      <c r="K1841" s="26">
        <f>IF(H1841="","",(H1841-G1841)/G1841)</f>
        <v/>
      </c>
      <c r="L1841" s="26">
        <f>IF(I1841="","",(I1841-G1841)/G1841)</f>
        <v/>
      </c>
      <c r="M1841" s="26">
        <f>IF(J1841="","",(J1841-G1841)/G1841)</f>
        <v/>
      </c>
      <c r="N1841" s="27">
        <f>IF(H1841="","",IF(D1841="HOLD",IF(ABS(K1841)&lt;0.03,"YES","NO"),IF(D1841="BUY",IF(K1841&gt;0,"YES","NO"),IF(D1841="SELL",IF(K1841&lt;0,"YES","NO"),""))))</f>
        <v/>
      </c>
    </row>
    <row r="1842" ht="15" customHeight="1">
      <c r="K1842" s="26">
        <f>IF(H1842="","",(H1842-G1842)/G1842)</f>
        <v/>
      </c>
      <c r="L1842" s="26">
        <f>IF(I1842="","",(I1842-G1842)/G1842)</f>
        <v/>
      </c>
      <c r="M1842" s="26">
        <f>IF(J1842="","",(J1842-G1842)/G1842)</f>
        <v/>
      </c>
      <c r="N1842" s="27">
        <f>IF(H1842="","",IF(D1842="HOLD",IF(ABS(K1842)&lt;0.03,"YES","NO"),IF(D1842="BUY",IF(K1842&gt;0,"YES","NO"),IF(D1842="SELL",IF(K1842&lt;0,"YES","NO"),""))))</f>
        <v/>
      </c>
    </row>
    <row r="1843" ht="15" customHeight="1">
      <c r="K1843" s="26">
        <f>IF(H1843="","",(H1843-G1843)/G1843)</f>
        <v/>
      </c>
      <c r="L1843" s="26">
        <f>IF(I1843="","",(I1843-G1843)/G1843)</f>
        <v/>
      </c>
      <c r="M1843" s="26">
        <f>IF(J1843="","",(J1843-G1843)/G1843)</f>
        <v/>
      </c>
      <c r="N1843" s="27">
        <f>IF(H1843="","",IF(D1843="HOLD",IF(ABS(K1843)&lt;0.03,"YES","NO"),IF(D1843="BUY",IF(K1843&gt;0,"YES","NO"),IF(D1843="SELL",IF(K1843&lt;0,"YES","NO"),""))))</f>
        <v/>
      </c>
    </row>
    <row r="1844" ht="15" customHeight="1">
      <c r="K1844" s="26">
        <f>IF(H1844="","",(H1844-G1844)/G1844)</f>
        <v/>
      </c>
      <c r="L1844" s="26">
        <f>IF(I1844="","",(I1844-G1844)/G1844)</f>
        <v/>
      </c>
      <c r="M1844" s="26">
        <f>IF(J1844="","",(J1844-G1844)/G1844)</f>
        <v/>
      </c>
      <c r="N1844" s="27">
        <f>IF(H1844="","",IF(D1844="HOLD",IF(ABS(K1844)&lt;0.03,"YES","NO"),IF(D1844="BUY",IF(K1844&gt;0,"YES","NO"),IF(D1844="SELL",IF(K1844&lt;0,"YES","NO"),""))))</f>
        <v/>
      </c>
    </row>
    <row r="1845" ht="15" customHeight="1">
      <c r="K1845" s="26">
        <f>IF(H1845="","",(H1845-G1845)/G1845)</f>
        <v/>
      </c>
      <c r="L1845" s="26">
        <f>IF(I1845="","",(I1845-G1845)/G1845)</f>
        <v/>
      </c>
      <c r="M1845" s="26">
        <f>IF(J1845="","",(J1845-G1845)/G1845)</f>
        <v/>
      </c>
      <c r="N1845" s="27">
        <f>IF(H1845="","",IF(D1845="HOLD",IF(ABS(K1845)&lt;0.03,"YES","NO"),IF(D1845="BUY",IF(K1845&gt;0,"YES","NO"),IF(D1845="SELL",IF(K1845&lt;0,"YES","NO"),""))))</f>
        <v/>
      </c>
    </row>
    <row r="1846" ht="15" customHeight="1">
      <c r="K1846" s="26">
        <f>IF(H1846="","",(H1846-G1846)/G1846)</f>
        <v/>
      </c>
      <c r="L1846" s="26">
        <f>IF(I1846="","",(I1846-G1846)/G1846)</f>
        <v/>
      </c>
      <c r="M1846" s="26">
        <f>IF(J1846="","",(J1846-G1846)/G1846)</f>
        <v/>
      </c>
      <c r="N1846" s="27">
        <f>IF(H1846="","",IF(D1846="HOLD",IF(ABS(K1846)&lt;0.03,"YES","NO"),IF(D1846="BUY",IF(K1846&gt;0,"YES","NO"),IF(D1846="SELL",IF(K1846&lt;0,"YES","NO"),""))))</f>
        <v/>
      </c>
    </row>
    <row r="1847" ht="15" customHeight="1">
      <c r="K1847" s="26">
        <f>IF(H1847="","",(H1847-G1847)/G1847)</f>
        <v/>
      </c>
      <c r="L1847" s="26">
        <f>IF(I1847="","",(I1847-G1847)/G1847)</f>
        <v/>
      </c>
      <c r="M1847" s="26">
        <f>IF(J1847="","",(J1847-G1847)/G1847)</f>
        <v/>
      </c>
      <c r="N1847" s="27">
        <f>IF(H1847="","",IF(D1847="HOLD",IF(ABS(K1847)&lt;0.03,"YES","NO"),IF(D1847="BUY",IF(K1847&gt;0,"YES","NO"),IF(D1847="SELL",IF(K1847&lt;0,"YES","NO"),""))))</f>
        <v/>
      </c>
    </row>
    <row r="1848" ht="15" customHeight="1">
      <c r="K1848" s="26">
        <f>IF(H1848="","",(H1848-G1848)/G1848)</f>
        <v/>
      </c>
      <c r="L1848" s="26">
        <f>IF(I1848="","",(I1848-G1848)/G1848)</f>
        <v/>
      </c>
      <c r="M1848" s="26">
        <f>IF(J1848="","",(J1848-G1848)/G1848)</f>
        <v/>
      </c>
      <c r="N1848" s="27">
        <f>IF(H1848="","",IF(D1848="HOLD",IF(ABS(K1848)&lt;0.03,"YES","NO"),IF(D1848="BUY",IF(K1848&gt;0,"YES","NO"),IF(D1848="SELL",IF(K1848&lt;0,"YES","NO"),""))))</f>
        <v/>
      </c>
    </row>
    <row r="1849" ht="15" customHeight="1">
      <c r="K1849" s="26">
        <f>IF(H1849="","",(H1849-G1849)/G1849)</f>
        <v/>
      </c>
      <c r="L1849" s="26">
        <f>IF(I1849="","",(I1849-G1849)/G1849)</f>
        <v/>
      </c>
      <c r="M1849" s="26">
        <f>IF(J1849="","",(J1849-G1849)/G1849)</f>
        <v/>
      </c>
      <c r="N1849" s="27">
        <f>IF(H1849="","",IF(D1849="HOLD",IF(ABS(K1849)&lt;0.03,"YES","NO"),IF(D1849="BUY",IF(K1849&gt;0,"YES","NO"),IF(D1849="SELL",IF(K1849&lt;0,"YES","NO"),""))))</f>
        <v/>
      </c>
    </row>
    <row r="1850" ht="15" customHeight="1">
      <c r="K1850" s="26">
        <f>IF(H1850="","",(H1850-G1850)/G1850)</f>
        <v/>
      </c>
      <c r="L1850" s="26">
        <f>IF(I1850="","",(I1850-G1850)/G1850)</f>
        <v/>
      </c>
      <c r="M1850" s="26">
        <f>IF(J1850="","",(J1850-G1850)/G1850)</f>
        <v/>
      </c>
      <c r="N1850" s="27">
        <f>IF(H1850="","",IF(D1850="HOLD",IF(ABS(K1850)&lt;0.03,"YES","NO"),IF(D1850="BUY",IF(K1850&gt;0,"YES","NO"),IF(D1850="SELL",IF(K1850&lt;0,"YES","NO"),""))))</f>
        <v/>
      </c>
    </row>
    <row r="1851" ht="15" customHeight="1">
      <c r="K1851" s="26">
        <f>IF(H1851="","",(H1851-G1851)/G1851)</f>
        <v/>
      </c>
      <c r="L1851" s="26">
        <f>IF(I1851="","",(I1851-G1851)/G1851)</f>
        <v/>
      </c>
      <c r="M1851" s="26">
        <f>IF(J1851="","",(J1851-G1851)/G1851)</f>
        <v/>
      </c>
      <c r="N1851" s="27">
        <f>IF(H1851="","",IF(D1851="HOLD",IF(ABS(K1851)&lt;0.03,"YES","NO"),IF(D1851="BUY",IF(K1851&gt;0,"YES","NO"),IF(D1851="SELL",IF(K1851&lt;0,"YES","NO"),""))))</f>
        <v/>
      </c>
    </row>
    <row r="1852" ht="15" customHeight="1">
      <c r="K1852" s="26">
        <f>IF(H1852="","",(H1852-G1852)/G1852)</f>
        <v/>
      </c>
      <c r="L1852" s="26">
        <f>IF(I1852="","",(I1852-G1852)/G1852)</f>
        <v/>
      </c>
      <c r="M1852" s="26">
        <f>IF(J1852="","",(J1852-G1852)/G1852)</f>
        <v/>
      </c>
      <c r="N1852" s="27">
        <f>IF(H1852="","",IF(D1852="HOLD",IF(ABS(K1852)&lt;0.03,"YES","NO"),IF(D1852="BUY",IF(K1852&gt;0,"YES","NO"),IF(D1852="SELL",IF(K1852&lt;0,"YES","NO"),""))))</f>
        <v/>
      </c>
    </row>
    <row r="1853" ht="15" customHeight="1">
      <c r="K1853" s="26">
        <f>IF(H1853="","",(H1853-G1853)/G1853)</f>
        <v/>
      </c>
      <c r="L1853" s="26">
        <f>IF(I1853="","",(I1853-G1853)/G1853)</f>
        <v/>
      </c>
      <c r="M1853" s="26">
        <f>IF(J1853="","",(J1853-G1853)/G1853)</f>
        <v/>
      </c>
      <c r="N1853" s="27">
        <f>IF(H1853="","",IF(D1853="HOLD",IF(ABS(K1853)&lt;0.03,"YES","NO"),IF(D1853="BUY",IF(K1853&gt;0,"YES","NO"),IF(D1853="SELL",IF(K1853&lt;0,"YES","NO"),""))))</f>
        <v/>
      </c>
    </row>
    <row r="1854" ht="15" customHeight="1">
      <c r="K1854" s="26">
        <f>IF(H1854="","",(H1854-G1854)/G1854)</f>
        <v/>
      </c>
      <c r="L1854" s="26">
        <f>IF(I1854="","",(I1854-G1854)/G1854)</f>
        <v/>
      </c>
      <c r="M1854" s="26">
        <f>IF(J1854="","",(J1854-G1854)/G1854)</f>
        <v/>
      </c>
      <c r="N1854" s="27">
        <f>IF(H1854="","",IF(D1854="HOLD",IF(ABS(K1854)&lt;0.03,"YES","NO"),IF(D1854="BUY",IF(K1854&gt;0,"YES","NO"),IF(D1854="SELL",IF(K1854&lt;0,"YES","NO"),""))))</f>
        <v/>
      </c>
    </row>
    <row r="1855" ht="15" customHeight="1">
      <c r="K1855" s="26">
        <f>IF(H1855="","",(H1855-G1855)/G1855)</f>
        <v/>
      </c>
      <c r="L1855" s="26">
        <f>IF(I1855="","",(I1855-G1855)/G1855)</f>
        <v/>
      </c>
      <c r="M1855" s="26">
        <f>IF(J1855="","",(J1855-G1855)/G1855)</f>
        <v/>
      </c>
      <c r="N1855" s="27">
        <f>IF(H1855="","",IF(D1855="HOLD",IF(ABS(K1855)&lt;0.03,"YES","NO"),IF(D1855="BUY",IF(K1855&gt;0,"YES","NO"),IF(D1855="SELL",IF(K1855&lt;0,"YES","NO"),""))))</f>
        <v/>
      </c>
    </row>
    <row r="1856" ht="15" customHeight="1">
      <c r="K1856" s="26">
        <f>IF(H1856="","",(H1856-G1856)/G1856)</f>
        <v/>
      </c>
      <c r="L1856" s="26">
        <f>IF(I1856="","",(I1856-G1856)/G1856)</f>
        <v/>
      </c>
      <c r="M1856" s="26">
        <f>IF(J1856="","",(J1856-G1856)/G1856)</f>
        <v/>
      </c>
      <c r="N1856" s="27">
        <f>IF(H1856="","",IF(D1856="HOLD",IF(ABS(K1856)&lt;0.03,"YES","NO"),IF(D1856="BUY",IF(K1856&gt;0,"YES","NO"),IF(D1856="SELL",IF(K1856&lt;0,"YES","NO"),""))))</f>
        <v/>
      </c>
    </row>
    <row r="1857" ht="15" customHeight="1">
      <c r="K1857" s="26">
        <f>IF(H1857="","",(H1857-G1857)/G1857)</f>
        <v/>
      </c>
      <c r="L1857" s="26">
        <f>IF(I1857="","",(I1857-G1857)/G1857)</f>
        <v/>
      </c>
      <c r="M1857" s="26">
        <f>IF(J1857="","",(J1857-G1857)/G1857)</f>
        <v/>
      </c>
      <c r="N1857" s="27">
        <f>IF(H1857="","",IF(D1857="HOLD",IF(ABS(K1857)&lt;0.03,"YES","NO"),IF(D1857="BUY",IF(K1857&gt;0,"YES","NO"),IF(D1857="SELL",IF(K1857&lt;0,"YES","NO"),""))))</f>
        <v/>
      </c>
    </row>
    <row r="1858" ht="15" customHeight="1">
      <c r="K1858" s="26">
        <f>IF(H1858="","",(H1858-G1858)/G1858)</f>
        <v/>
      </c>
      <c r="L1858" s="26">
        <f>IF(I1858="","",(I1858-G1858)/G1858)</f>
        <v/>
      </c>
      <c r="M1858" s="26">
        <f>IF(J1858="","",(J1858-G1858)/G1858)</f>
        <v/>
      </c>
      <c r="N1858" s="27">
        <f>IF(H1858="","",IF(D1858="HOLD",IF(ABS(K1858)&lt;0.03,"YES","NO"),IF(D1858="BUY",IF(K1858&gt;0,"YES","NO"),IF(D1858="SELL",IF(K1858&lt;0,"YES","NO"),""))))</f>
        <v/>
      </c>
    </row>
    <row r="1859" ht="15" customHeight="1">
      <c r="K1859" s="26">
        <f>IF(H1859="","",(H1859-G1859)/G1859)</f>
        <v/>
      </c>
      <c r="L1859" s="26">
        <f>IF(I1859="","",(I1859-G1859)/G1859)</f>
        <v/>
      </c>
      <c r="M1859" s="26">
        <f>IF(J1859="","",(J1859-G1859)/G1859)</f>
        <v/>
      </c>
      <c r="N1859" s="27">
        <f>IF(H1859="","",IF(D1859="HOLD",IF(ABS(K1859)&lt;0.03,"YES","NO"),IF(D1859="BUY",IF(K1859&gt;0,"YES","NO"),IF(D1859="SELL",IF(K1859&lt;0,"YES","NO"),""))))</f>
        <v/>
      </c>
    </row>
    <row r="1860" ht="15" customHeight="1">
      <c r="K1860" s="26">
        <f>IF(H1860="","",(H1860-G1860)/G1860)</f>
        <v/>
      </c>
      <c r="L1860" s="26">
        <f>IF(I1860="","",(I1860-G1860)/G1860)</f>
        <v/>
      </c>
      <c r="M1860" s="26">
        <f>IF(J1860="","",(J1860-G1860)/G1860)</f>
        <v/>
      </c>
      <c r="N1860" s="27">
        <f>IF(H1860="","",IF(D1860="HOLD",IF(ABS(K1860)&lt;0.03,"YES","NO"),IF(D1860="BUY",IF(K1860&gt;0,"YES","NO"),IF(D1860="SELL",IF(K1860&lt;0,"YES","NO"),""))))</f>
        <v/>
      </c>
    </row>
    <row r="1861" ht="15" customHeight="1">
      <c r="K1861" s="26">
        <f>IF(H1861="","",(H1861-G1861)/G1861)</f>
        <v/>
      </c>
      <c r="L1861" s="26">
        <f>IF(I1861="","",(I1861-G1861)/G1861)</f>
        <v/>
      </c>
      <c r="M1861" s="26">
        <f>IF(J1861="","",(J1861-G1861)/G1861)</f>
        <v/>
      </c>
      <c r="N1861" s="27">
        <f>IF(H1861="","",IF(D1861="HOLD",IF(ABS(K1861)&lt;0.03,"YES","NO"),IF(D1861="BUY",IF(K1861&gt;0,"YES","NO"),IF(D1861="SELL",IF(K1861&lt;0,"YES","NO"),""))))</f>
        <v/>
      </c>
    </row>
    <row r="1862" ht="15" customHeight="1">
      <c r="K1862" s="26">
        <f>IF(H1862="","",(H1862-G1862)/G1862)</f>
        <v/>
      </c>
      <c r="L1862" s="26">
        <f>IF(I1862="","",(I1862-G1862)/G1862)</f>
        <v/>
      </c>
      <c r="M1862" s="26">
        <f>IF(J1862="","",(J1862-G1862)/G1862)</f>
        <v/>
      </c>
      <c r="N1862" s="27">
        <f>IF(H1862="","",IF(D1862="HOLD",IF(ABS(K1862)&lt;0.03,"YES","NO"),IF(D1862="BUY",IF(K1862&gt;0,"YES","NO"),IF(D1862="SELL",IF(K1862&lt;0,"YES","NO"),""))))</f>
        <v/>
      </c>
    </row>
    <row r="1863" ht="15" customHeight="1">
      <c r="K1863" s="26">
        <f>IF(H1863="","",(H1863-G1863)/G1863)</f>
        <v/>
      </c>
      <c r="L1863" s="26">
        <f>IF(I1863="","",(I1863-G1863)/G1863)</f>
        <v/>
      </c>
      <c r="M1863" s="26">
        <f>IF(J1863="","",(J1863-G1863)/G1863)</f>
        <v/>
      </c>
      <c r="N1863" s="27">
        <f>IF(H1863="","",IF(D1863="HOLD",IF(ABS(K1863)&lt;0.03,"YES","NO"),IF(D1863="BUY",IF(K1863&gt;0,"YES","NO"),IF(D1863="SELL",IF(K1863&lt;0,"YES","NO"),""))))</f>
        <v/>
      </c>
    </row>
    <row r="1864" ht="15" customHeight="1">
      <c r="K1864" s="26">
        <f>IF(H1864="","",(H1864-G1864)/G1864)</f>
        <v/>
      </c>
      <c r="L1864" s="26">
        <f>IF(I1864="","",(I1864-G1864)/G1864)</f>
        <v/>
      </c>
      <c r="M1864" s="26">
        <f>IF(J1864="","",(J1864-G1864)/G1864)</f>
        <v/>
      </c>
      <c r="N1864" s="27">
        <f>IF(H1864="","",IF(D1864="HOLD",IF(ABS(K1864)&lt;0.03,"YES","NO"),IF(D1864="BUY",IF(K1864&gt;0,"YES","NO"),IF(D1864="SELL",IF(K1864&lt;0,"YES","NO"),""))))</f>
        <v/>
      </c>
    </row>
    <row r="1865" ht="15" customHeight="1">
      <c r="K1865" s="26">
        <f>IF(H1865="","",(H1865-G1865)/G1865)</f>
        <v/>
      </c>
      <c r="L1865" s="26">
        <f>IF(I1865="","",(I1865-G1865)/G1865)</f>
        <v/>
      </c>
      <c r="M1865" s="26">
        <f>IF(J1865="","",(J1865-G1865)/G1865)</f>
        <v/>
      </c>
      <c r="N1865" s="27">
        <f>IF(H1865="","",IF(D1865="HOLD",IF(ABS(K1865)&lt;0.03,"YES","NO"),IF(D1865="BUY",IF(K1865&gt;0,"YES","NO"),IF(D1865="SELL",IF(K1865&lt;0,"YES","NO"),""))))</f>
        <v/>
      </c>
    </row>
    <row r="1866" ht="15" customHeight="1">
      <c r="K1866" s="26">
        <f>IF(H1866="","",(H1866-G1866)/G1866)</f>
        <v/>
      </c>
      <c r="L1866" s="26">
        <f>IF(I1866="","",(I1866-G1866)/G1866)</f>
        <v/>
      </c>
      <c r="M1866" s="26">
        <f>IF(J1866="","",(J1866-G1866)/G1866)</f>
        <v/>
      </c>
      <c r="N1866" s="27">
        <f>IF(H1866="","",IF(D1866="HOLD",IF(ABS(K1866)&lt;0.03,"YES","NO"),IF(D1866="BUY",IF(K1866&gt;0,"YES","NO"),IF(D1866="SELL",IF(K1866&lt;0,"YES","NO"),""))))</f>
        <v/>
      </c>
    </row>
    <row r="1867" ht="15" customHeight="1">
      <c r="K1867" s="26">
        <f>IF(H1867="","",(H1867-G1867)/G1867)</f>
        <v/>
      </c>
      <c r="L1867" s="26">
        <f>IF(I1867="","",(I1867-G1867)/G1867)</f>
        <v/>
      </c>
      <c r="M1867" s="26">
        <f>IF(J1867="","",(J1867-G1867)/G1867)</f>
        <v/>
      </c>
      <c r="N1867" s="27">
        <f>IF(H1867="","",IF(D1867="HOLD",IF(ABS(K1867)&lt;0.03,"YES","NO"),IF(D1867="BUY",IF(K1867&gt;0,"YES","NO"),IF(D1867="SELL",IF(K1867&lt;0,"YES","NO"),""))))</f>
        <v/>
      </c>
    </row>
    <row r="1868" ht="15" customHeight="1">
      <c r="K1868" s="26">
        <f>IF(H1868="","",(H1868-G1868)/G1868)</f>
        <v/>
      </c>
      <c r="L1868" s="26">
        <f>IF(I1868="","",(I1868-G1868)/G1868)</f>
        <v/>
      </c>
      <c r="M1868" s="26">
        <f>IF(J1868="","",(J1868-G1868)/G1868)</f>
        <v/>
      </c>
      <c r="N1868" s="27">
        <f>IF(H1868="","",IF(D1868="HOLD",IF(ABS(K1868)&lt;0.03,"YES","NO"),IF(D1868="BUY",IF(K1868&gt;0,"YES","NO"),IF(D1868="SELL",IF(K1868&lt;0,"YES","NO"),""))))</f>
        <v/>
      </c>
    </row>
    <row r="1869" ht="15" customHeight="1">
      <c r="K1869" s="26">
        <f>IF(H1869="","",(H1869-G1869)/G1869)</f>
        <v/>
      </c>
      <c r="L1869" s="26">
        <f>IF(I1869="","",(I1869-G1869)/G1869)</f>
        <v/>
      </c>
      <c r="M1869" s="26">
        <f>IF(J1869="","",(J1869-G1869)/G1869)</f>
        <v/>
      </c>
      <c r="N1869" s="27">
        <f>IF(H1869="","",IF(D1869="HOLD",IF(ABS(K1869)&lt;0.03,"YES","NO"),IF(D1869="BUY",IF(K1869&gt;0,"YES","NO"),IF(D1869="SELL",IF(K1869&lt;0,"YES","NO"),""))))</f>
        <v/>
      </c>
    </row>
    <row r="1870" ht="15" customHeight="1">
      <c r="K1870" s="26">
        <f>IF(H1870="","",(H1870-G1870)/G1870)</f>
        <v/>
      </c>
      <c r="L1870" s="26">
        <f>IF(I1870="","",(I1870-G1870)/G1870)</f>
        <v/>
      </c>
      <c r="M1870" s="26">
        <f>IF(J1870="","",(J1870-G1870)/G1870)</f>
        <v/>
      </c>
      <c r="N1870" s="27">
        <f>IF(H1870="","",IF(D1870="HOLD",IF(ABS(K1870)&lt;0.03,"YES","NO"),IF(D1870="BUY",IF(K1870&gt;0,"YES","NO"),IF(D1870="SELL",IF(K1870&lt;0,"YES","NO"),""))))</f>
        <v/>
      </c>
    </row>
    <row r="1871" ht="15" customHeight="1">
      <c r="K1871" s="26">
        <f>IF(H1871="","",(H1871-G1871)/G1871)</f>
        <v/>
      </c>
      <c r="L1871" s="26">
        <f>IF(I1871="","",(I1871-G1871)/G1871)</f>
        <v/>
      </c>
      <c r="M1871" s="26">
        <f>IF(J1871="","",(J1871-G1871)/G1871)</f>
        <v/>
      </c>
      <c r="N1871" s="27">
        <f>IF(H1871="","",IF(D1871="HOLD",IF(ABS(K1871)&lt;0.03,"YES","NO"),IF(D1871="BUY",IF(K1871&gt;0,"YES","NO"),IF(D1871="SELL",IF(K1871&lt;0,"YES","NO"),""))))</f>
        <v/>
      </c>
    </row>
    <row r="1872" ht="15" customHeight="1">
      <c r="K1872" s="26">
        <f>IF(H1872="","",(H1872-G1872)/G1872)</f>
        <v/>
      </c>
      <c r="L1872" s="26">
        <f>IF(I1872="","",(I1872-G1872)/G1872)</f>
        <v/>
      </c>
      <c r="M1872" s="26">
        <f>IF(J1872="","",(J1872-G1872)/G1872)</f>
        <v/>
      </c>
      <c r="N1872" s="27">
        <f>IF(H1872="","",IF(D1872="HOLD",IF(ABS(K1872)&lt;0.03,"YES","NO"),IF(D1872="BUY",IF(K1872&gt;0,"YES","NO"),IF(D1872="SELL",IF(K1872&lt;0,"YES","NO"),""))))</f>
        <v/>
      </c>
    </row>
    <row r="1873" ht="15" customHeight="1">
      <c r="K1873" s="26">
        <f>IF(H1873="","",(H1873-G1873)/G1873)</f>
        <v/>
      </c>
      <c r="L1873" s="26">
        <f>IF(I1873="","",(I1873-G1873)/G1873)</f>
        <v/>
      </c>
      <c r="M1873" s="26">
        <f>IF(J1873="","",(J1873-G1873)/G1873)</f>
        <v/>
      </c>
      <c r="N1873" s="27">
        <f>IF(H1873="","",IF(D1873="HOLD",IF(ABS(K1873)&lt;0.03,"YES","NO"),IF(D1873="BUY",IF(K1873&gt;0,"YES","NO"),IF(D1873="SELL",IF(K1873&lt;0,"YES","NO"),""))))</f>
        <v/>
      </c>
    </row>
    <row r="1874" ht="15" customHeight="1">
      <c r="K1874" s="26">
        <f>IF(H1874="","",(H1874-G1874)/G1874)</f>
        <v/>
      </c>
      <c r="L1874" s="26">
        <f>IF(I1874="","",(I1874-G1874)/G1874)</f>
        <v/>
      </c>
      <c r="M1874" s="26">
        <f>IF(J1874="","",(J1874-G1874)/G1874)</f>
        <v/>
      </c>
      <c r="N1874" s="27">
        <f>IF(H1874="","",IF(D1874="HOLD",IF(ABS(K1874)&lt;0.03,"YES","NO"),IF(D1874="BUY",IF(K1874&gt;0,"YES","NO"),IF(D1874="SELL",IF(K1874&lt;0,"YES","NO"),""))))</f>
        <v/>
      </c>
    </row>
    <row r="1875" ht="15" customHeight="1">
      <c r="K1875" s="26">
        <f>IF(H1875="","",(H1875-G1875)/G1875)</f>
        <v/>
      </c>
      <c r="L1875" s="26">
        <f>IF(I1875="","",(I1875-G1875)/G1875)</f>
        <v/>
      </c>
      <c r="M1875" s="26">
        <f>IF(J1875="","",(J1875-G1875)/G1875)</f>
        <v/>
      </c>
      <c r="N1875" s="27">
        <f>IF(H1875="","",IF(D1875="HOLD",IF(ABS(K1875)&lt;0.03,"YES","NO"),IF(D1875="BUY",IF(K1875&gt;0,"YES","NO"),IF(D1875="SELL",IF(K1875&lt;0,"YES","NO"),""))))</f>
        <v/>
      </c>
    </row>
    <row r="1876" ht="15" customHeight="1">
      <c r="K1876" s="26">
        <f>IF(H1876="","",(H1876-G1876)/G1876)</f>
        <v/>
      </c>
      <c r="L1876" s="26">
        <f>IF(I1876="","",(I1876-G1876)/G1876)</f>
        <v/>
      </c>
      <c r="M1876" s="26">
        <f>IF(J1876="","",(J1876-G1876)/G1876)</f>
        <v/>
      </c>
      <c r="N1876" s="27">
        <f>IF(H1876="","",IF(D1876="HOLD",IF(ABS(K1876)&lt;0.03,"YES","NO"),IF(D1876="BUY",IF(K1876&gt;0,"YES","NO"),IF(D1876="SELL",IF(K1876&lt;0,"YES","NO"),""))))</f>
        <v/>
      </c>
    </row>
    <row r="1877" ht="15" customHeight="1">
      <c r="K1877" s="26">
        <f>IF(H1877="","",(H1877-G1877)/G1877)</f>
        <v/>
      </c>
      <c r="L1877" s="26">
        <f>IF(I1877="","",(I1877-G1877)/G1877)</f>
        <v/>
      </c>
      <c r="M1877" s="26">
        <f>IF(J1877="","",(J1877-G1877)/G1877)</f>
        <v/>
      </c>
      <c r="N1877" s="27">
        <f>IF(H1877="","",IF(D1877="HOLD",IF(ABS(K1877)&lt;0.03,"YES","NO"),IF(D1877="BUY",IF(K1877&gt;0,"YES","NO"),IF(D1877="SELL",IF(K1877&lt;0,"YES","NO"),""))))</f>
        <v/>
      </c>
    </row>
    <row r="1878" ht="15" customHeight="1">
      <c r="K1878" s="26">
        <f>IF(H1878="","",(H1878-G1878)/G1878)</f>
        <v/>
      </c>
      <c r="L1878" s="26">
        <f>IF(I1878="","",(I1878-G1878)/G1878)</f>
        <v/>
      </c>
      <c r="M1878" s="26">
        <f>IF(J1878="","",(J1878-G1878)/G1878)</f>
        <v/>
      </c>
      <c r="N1878" s="27">
        <f>IF(H1878="","",IF(D1878="HOLD",IF(ABS(K1878)&lt;0.03,"YES","NO"),IF(D1878="BUY",IF(K1878&gt;0,"YES","NO"),IF(D1878="SELL",IF(K1878&lt;0,"YES","NO"),""))))</f>
        <v/>
      </c>
    </row>
    <row r="1879" ht="15" customHeight="1">
      <c r="K1879" s="26">
        <f>IF(H1879="","",(H1879-G1879)/G1879)</f>
        <v/>
      </c>
      <c r="L1879" s="26">
        <f>IF(I1879="","",(I1879-G1879)/G1879)</f>
        <v/>
      </c>
      <c r="M1879" s="26">
        <f>IF(J1879="","",(J1879-G1879)/G1879)</f>
        <v/>
      </c>
      <c r="N1879" s="27">
        <f>IF(H1879="","",IF(D1879="HOLD",IF(ABS(K1879)&lt;0.03,"YES","NO"),IF(D1879="BUY",IF(K1879&gt;0,"YES","NO"),IF(D1879="SELL",IF(K1879&lt;0,"YES","NO"),""))))</f>
        <v/>
      </c>
    </row>
    <row r="1880" ht="15" customHeight="1">
      <c r="K1880" s="26">
        <f>IF(H1880="","",(H1880-G1880)/G1880)</f>
        <v/>
      </c>
      <c r="L1880" s="26">
        <f>IF(I1880="","",(I1880-G1880)/G1880)</f>
        <v/>
      </c>
      <c r="M1880" s="26">
        <f>IF(J1880="","",(J1880-G1880)/G1880)</f>
        <v/>
      </c>
      <c r="N1880" s="27">
        <f>IF(H1880="","",IF(D1880="HOLD",IF(ABS(K1880)&lt;0.03,"YES","NO"),IF(D1880="BUY",IF(K1880&gt;0,"YES","NO"),IF(D1880="SELL",IF(K1880&lt;0,"YES","NO"),""))))</f>
        <v/>
      </c>
    </row>
    <row r="1881" ht="15" customHeight="1">
      <c r="K1881" s="26">
        <f>IF(H1881="","",(H1881-G1881)/G1881)</f>
        <v/>
      </c>
      <c r="L1881" s="26">
        <f>IF(I1881="","",(I1881-G1881)/G1881)</f>
        <v/>
      </c>
      <c r="M1881" s="26">
        <f>IF(J1881="","",(J1881-G1881)/G1881)</f>
        <v/>
      </c>
      <c r="N1881" s="27">
        <f>IF(H1881="","",IF(D1881="HOLD",IF(ABS(K1881)&lt;0.03,"YES","NO"),IF(D1881="BUY",IF(K1881&gt;0,"YES","NO"),IF(D1881="SELL",IF(K1881&lt;0,"YES","NO"),""))))</f>
        <v/>
      </c>
    </row>
    <row r="1882" ht="15" customHeight="1">
      <c r="K1882" s="26">
        <f>IF(H1882="","",(H1882-G1882)/G1882)</f>
        <v/>
      </c>
      <c r="L1882" s="26">
        <f>IF(I1882="","",(I1882-G1882)/G1882)</f>
        <v/>
      </c>
      <c r="M1882" s="26">
        <f>IF(J1882="","",(J1882-G1882)/G1882)</f>
        <v/>
      </c>
      <c r="N1882" s="27">
        <f>IF(H1882="","",IF(D1882="HOLD",IF(ABS(K1882)&lt;0.03,"YES","NO"),IF(D1882="BUY",IF(K1882&gt;0,"YES","NO"),IF(D1882="SELL",IF(K1882&lt;0,"YES","NO"),""))))</f>
        <v/>
      </c>
    </row>
    <row r="1883" ht="15" customHeight="1">
      <c r="K1883" s="26">
        <f>IF(H1883="","",(H1883-G1883)/G1883)</f>
        <v/>
      </c>
      <c r="L1883" s="26">
        <f>IF(I1883="","",(I1883-G1883)/G1883)</f>
        <v/>
      </c>
      <c r="M1883" s="26">
        <f>IF(J1883="","",(J1883-G1883)/G1883)</f>
        <v/>
      </c>
      <c r="N1883" s="27">
        <f>IF(H1883="","",IF(D1883="HOLD",IF(ABS(K1883)&lt;0.03,"YES","NO"),IF(D1883="BUY",IF(K1883&gt;0,"YES","NO"),IF(D1883="SELL",IF(K1883&lt;0,"YES","NO"),""))))</f>
        <v/>
      </c>
    </row>
    <row r="1884" ht="15" customHeight="1">
      <c r="K1884" s="26">
        <f>IF(H1884="","",(H1884-G1884)/G1884)</f>
        <v/>
      </c>
      <c r="L1884" s="26">
        <f>IF(I1884="","",(I1884-G1884)/G1884)</f>
        <v/>
      </c>
      <c r="M1884" s="26">
        <f>IF(J1884="","",(J1884-G1884)/G1884)</f>
        <v/>
      </c>
      <c r="N1884" s="27">
        <f>IF(H1884="","",IF(D1884="HOLD",IF(ABS(K1884)&lt;0.03,"YES","NO"),IF(D1884="BUY",IF(K1884&gt;0,"YES","NO"),IF(D1884="SELL",IF(K1884&lt;0,"YES","NO"),""))))</f>
        <v/>
      </c>
    </row>
    <row r="1885" ht="15" customHeight="1">
      <c r="K1885" s="26">
        <f>IF(H1885="","",(H1885-G1885)/G1885)</f>
        <v/>
      </c>
      <c r="L1885" s="26">
        <f>IF(I1885="","",(I1885-G1885)/G1885)</f>
        <v/>
      </c>
      <c r="M1885" s="26">
        <f>IF(J1885="","",(J1885-G1885)/G1885)</f>
        <v/>
      </c>
      <c r="N1885" s="27">
        <f>IF(H1885="","",IF(D1885="HOLD",IF(ABS(K1885)&lt;0.03,"YES","NO"),IF(D1885="BUY",IF(K1885&gt;0,"YES","NO"),IF(D1885="SELL",IF(K1885&lt;0,"YES","NO"),""))))</f>
        <v/>
      </c>
    </row>
    <row r="1886" ht="15" customHeight="1">
      <c r="K1886" s="26">
        <f>IF(H1886="","",(H1886-G1886)/G1886)</f>
        <v/>
      </c>
      <c r="L1886" s="26">
        <f>IF(I1886="","",(I1886-G1886)/G1886)</f>
        <v/>
      </c>
      <c r="M1886" s="26">
        <f>IF(J1886="","",(J1886-G1886)/G1886)</f>
        <v/>
      </c>
      <c r="N1886" s="27">
        <f>IF(H1886="","",IF(D1886="HOLD",IF(ABS(K1886)&lt;0.03,"YES","NO"),IF(D1886="BUY",IF(K1886&gt;0,"YES","NO"),IF(D1886="SELL",IF(K1886&lt;0,"YES","NO"),""))))</f>
        <v/>
      </c>
    </row>
    <row r="1887" ht="15" customHeight="1">
      <c r="K1887" s="26">
        <f>IF(H1887="","",(H1887-G1887)/G1887)</f>
        <v/>
      </c>
      <c r="L1887" s="26">
        <f>IF(I1887="","",(I1887-G1887)/G1887)</f>
        <v/>
      </c>
      <c r="M1887" s="26">
        <f>IF(J1887="","",(J1887-G1887)/G1887)</f>
        <v/>
      </c>
      <c r="N1887" s="27">
        <f>IF(H1887="","",IF(D1887="HOLD",IF(ABS(K1887)&lt;0.03,"YES","NO"),IF(D1887="BUY",IF(K1887&gt;0,"YES","NO"),IF(D1887="SELL",IF(K1887&lt;0,"YES","NO"),""))))</f>
        <v/>
      </c>
    </row>
    <row r="1888" ht="15" customHeight="1">
      <c r="K1888" s="26">
        <f>IF(H1888="","",(H1888-G1888)/G1888)</f>
        <v/>
      </c>
      <c r="L1888" s="26">
        <f>IF(I1888="","",(I1888-G1888)/G1888)</f>
        <v/>
      </c>
      <c r="M1888" s="26">
        <f>IF(J1888="","",(J1888-G1888)/G1888)</f>
        <v/>
      </c>
      <c r="N1888" s="27">
        <f>IF(H1888="","",IF(D1888="HOLD",IF(ABS(K1888)&lt;0.03,"YES","NO"),IF(D1888="BUY",IF(K1888&gt;0,"YES","NO"),IF(D1888="SELL",IF(K1888&lt;0,"YES","NO"),""))))</f>
        <v/>
      </c>
    </row>
    <row r="1889" ht="15" customHeight="1">
      <c r="K1889" s="26">
        <f>IF(H1889="","",(H1889-G1889)/G1889)</f>
        <v/>
      </c>
      <c r="L1889" s="26">
        <f>IF(I1889="","",(I1889-G1889)/G1889)</f>
        <v/>
      </c>
      <c r="M1889" s="26">
        <f>IF(J1889="","",(J1889-G1889)/G1889)</f>
        <v/>
      </c>
      <c r="N1889" s="27">
        <f>IF(H1889="","",IF(D1889="HOLD",IF(ABS(K1889)&lt;0.03,"YES","NO"),IF(D1889="BUY",IF(K1889&gt;0,"YES","NO"),IF(D1889="SELL",IF(K1889&lt;0,"YES","NO"),""))))</f>
        <v/>
      </c>
    </row>
    <row r="1890" ht="15" customHeight="1">
      <c r="K1890" s="26">
        <f>IF(H1890="","",(H1890-G1890)/G1890)</f>
        <v/>
      </c>
      <c r="L1890" s="26">
        <f>IF(I1890="","",(I1890-G1890)/G1890)</f>
        <v/>
      </c>
      <c r="M1890" s="26">
        <f>IF(J1890="","",(J1890-G1890)/G1890)</f>
        <v/>
      </c>
      <c r="N1890" s="27">
        <f>IF(H1890="","",IF(D1890="HOLD",IF(ABS(K1890)&lt;0.03,"YES","NO"),IF(D1890="BUY",IF(K1890&gt;0,"YES","NO"),IF(D1890="SELL",IF(K1890&lt;0,"YES","NO"),""))))</f>
        <v/>
      </c>
    </row>
    <row r="1891" ht="15" customHeight="1">
      <c r="K1891" s="26">
        <f>IF(H1891="","",(H1891-G1891)/G1891)</f>
        <v/>
      </c>
      <c r="L1891" s="26">
        <f>IF(I1891="","",(I1891-G1891)/G1891)</f>
        <v/>
      </c>
      <c r="M1891" s="26">
        <f>IF(J1891="","",(J1891-G1891)/G1891)</f>
        <v/>
      </c>
      <c r="N1891" s="27">
        <f>IF(H1891="","",IF(D1891="HOLD",IF(ABS(K1891)&lt;0.03,"YES","NO"),IF(D1891="BUY",IF(K1891&gt;0,"YES","NO"),IF(D1891="SELL",IF(K1891&lt;0,"YES","NO"),""))))</f>
        <v/>
      </c>
    </row>
    <row r="1892" ht="15" customHeight="1">
      <c r="K1892" s="26">
        <f>IF(H1892="","",(H1892-G1892)/G1892)</f>
        <v/>
      </c>
      <c r="L1892" s="26">
        <f>IF(I1892="","",(I1892-G1892)/G1892)</f>
        <v/>
      </c>
      <c r="M1892" s="26">
        <f>IF(J1892="","",(J1892-G1892)/G1892)</f>
        <v/>
      </c>
      <c r="N1892" s="27">
        <f>IF(H1892="","",IF(D1892="HOLD",IF(ABS(K1892)&lt;0.03,"YES","NO"),IF(D1892="BUY",IF(K1892&gt;0,"YES","NO"),IF(D1892="SELL",IF(K1892&lt;0,"YES","NO"),""))))</f>
        <v/>
      </c>
    </row>
    <row r="1893" ht="15" customHeight="1">
      <c r="K1893" s="26">
        <f>IF(H1893="","",(H1893-G1893)/G1893)</f>
        <v/>
      </c>
      <c r="L1893" s="26">
        <f>IF(I1893="","",(I1893-G1893)/G1893)</f>
        <v/>
      </c>
      <c r="M1893" s="26">
        <f>IF(J1893="","",(J1893-G1893)/G1893)</f>
        <v/>
      </c>
      <c r="N1893" s="27">
        <f>IF(H1893="","",IF(D1893="HOLD",IF(ABS(K1893)&lt;0.03,"YES","NO"),IF(D1893="BUY",IF(K1893&gt;0,"YES","NO"),IF(D1893="SELL",IF(K1893&lt;0,"YES","NO"),""))))</f>
        <v/>
      </c>
    </row>
    <row r="1894" ht="15" customHeight="1">
      <c r="K1894" s="26">
        <f>IF(H1894="","",(H1894-G1894)/G1894)</f>
        <v/>
      </c>
      <c r="L1894" s="26">
        <f>IF(I1894="","",(I1894-G1894)/G1894)</f>
        <v/>
      </c>
      <c r="M1894" s="26">
        <f>IF(J1894="","",(J1894-G1894)/G1894)</f>
        <v/>
      </c>
      <c r="N1894" s="27">
        <f>IF(H1894="","",IF(D1894="HOLD",IF(ABS(K1894)&lt;0.03,"YES","NO"),IF(D1894="BUY",IF(K1894&gt;0,"YES","NO"),IF(D1894="SELL",IF(K1894&lt;0,"YES","NO"),""))))</f>
        <v/>
      </c>
    </row>
    <row r="1895" ht="15" customHeight="1">
      <c r="K1895" s="26">
        <f>IF(H1895="","",(H1895-G1895)/G1895)</f>
        <v/>
      </c>
      <c r="L1895" s="26">
        <f>IF(I1895="","",(I1895-G1895)/G1895)</f>
        <v/>
      </c>
      <c r="M1895" s="26">
        <f>IF(J1895="","",(J1895-G1895)/G1895)</f>
        <v/>
      </c>
      <c r="N1895" s="27">
        <f>IF(H1895="","",IF(D1895="HOLD",IF(ABS(K1895)&lt;0.03,"YES","NO"),IF(D1895="BUY",IF(K1895&gt;0,"YES","NO"),IF(D1895="SELL",IF(K1895&lt;0,"YES","NO"),""))))</f>
        <v/>
      </c>
    </row>
    <row r="1896" ht="15" customHeight="1">
      <c r="K1896" s="26">
        <f>IF(H1896="","",(H1896-G1896)/G1896)</f>
        <v/>
      </c>
      <c r="L1896" s="26">
        <f>IF(I1896="","",(I1896-G1896)/G1896)</f>
        <v/>
      </c>
      <c r="M1896" s="26">
        <f>IF(J1896="","",(J1896-G1896)/G1896)</f>
        <v/>
      </c>
      <c r="N1896" s="27">
        <f>IF(H1896="","",IF(D1896="HOLD",IF(ABS(K1896)&lt;0.03,"YES","NO"),IF(D1896="BUY",IF(K1896&gt;0,"YES","NO"),IF(D1896="SELL",IF(K1896&lt;0,"YES","NO"),""))))</f>
        <v/>
      </c>
    </row>
    <row r="1897" ht="15" customHeight="1">
      <c r="K1897" s="26">
        <f>IF(H1897="","",(H1897-G1897)/G1897)</f>
        <v/>
      </c>
      <c r="L1897" s="26">
        <f>IF(I1897="","",(I1897-G1897)/G1897)</f>
        <v/>
      </c>
      <c r="M1897" s="26">
        <f>IF(J1897="","",(J1897-G1897)/G1897)</f>
        <v/>
      </c>
      <c r="N1897" s="27">
        <f>IF(H1897="","",IF(D1897="HOLD",IF(ABS(K1897)&lt;0.03,"YES","NO"),IF(D1897="BUY",IF(K1897&gt;0,"YES","NO"),IF(D1897="SELL",IF(K1897&lt;0,"YES","NO"),""))))</f>
        <v/>
      </c>
    </row>
    <row r="1898" ht="15" customHeight="1">
      <c r="K1898" s="26">
        <f>IF(H1898="","",(H1898-G1898)/G1898)</f>
        <v/>
      </c>
      <c r="L1898" s="26">
        <f>IF(I1898="","",(I1898-G1898)/G1898)</f>
        <v/>
      </c>
      <c r="M1898" s="26">
        <f>IF(J1898="","",(J1898-G1898)/G1898)</f>
        <v/>
      </c>
      <c r="N1898" s="27">
        <f>IF(H1898="","",IF(D1898="HOLD",IF(ABS(K1898)&lt;0.03,"YES","NO"),IF(D1898="BUY",IF(K1898&gt;0,"YES","NO"),IF(D1898="SELL",IF(K1898&lt;0,"YES","NO"),""))))</f>
        <v/>
      </c>
    </row>
    <row r="1899" ht="15" customHeight="1">
      <c r="K1899" s="26">
        <f>IF(H1899="","",(H1899-G1899)/G1899)</f>
        <v/>
      </c>
      <c r="L1899" s="26">
        <f>IF(I1899="","",(I1899-G1899)/G1899)</f>
        <v/>
      </c>
      <c r="M1899" s="26">
        <f>IF(J1899="","",(J1899-G1899)/G1899)</f>
        <v/>
      </c>
      <c r="N1899" s="27">
        <f>IF(H1899="","",IF(D1899="HOLD",IF(ABS(K1899)&lt;0.03,"YES","NO"),IF(D1899="BUY",IF(K1899&gt;0,"YES","NO"),IF(D1899="SELL",IF(K1899&lt;0,"YES","NO"),""))))</f>
        <v/>
      </c>
    </row>
    <row r="1900" ht="15" customHeight="1">
      <c r="K1900" s="26">
        <f>IF(H1900="","",(H1900-G1900)/G1900)</f>
        <v/>
      </c>
      <c r="L1900" s="26">
        <f>IF(I1900="","",(I1900-G1900)/G1900)</f>
        <v/>
      </c>
      <c r="M1900" s="26">
        <f>IF(J1900="","",(J1900-G1900)/G1900)</f>
        <v/>
      </c>
      <c r="N1900" s="27">
        <f>IF(H1900="","",IF(D1900="HOLD",IF(ABS(K1900)&lt;0.03,"YES","NO"),IF(D1900="BUY",IF(K1900&gt;0,"YES","NO"),IF(D1900="SELL",IF(K1900&lt;0,"YES","NO"),""))))</f>
        <v/>
      </c>
    </row>
    <row r="1901" ht="15" customHeight="1">
      <c r="K1901" s="26">
        <f>IF(H1901="","",(H1901-G1901)/G1901)</f>
        <v/>
      </c>
      <c r="L1901" s="26">
        <f>IF(I1901="","",(I1901-G1901)/G1901)</f>
        <v/>
      </c>
      <c r="M1901" s="26">
        <f>IF(J1901="","",(J1901-G1901)/G1901)</f>
        <v/>
      </c>
      <c r="N1901" s="27">
        <f>IF(H1901="","",IF(D1901="HOLD",IF(ABS(K1901)&lt;0.03,"YES","NO"),IF(D1901="BUY",IF(K1901&gt;0,"YES","NO"),IF(D1901="SELL",IF(K1901&lt;0,"YES","NO"),""))))</f>
        <v/>
      </c>
    </row>
    <row r="1902" ht="15" customHeight="1">
      <c r="K1902" s="26">
        <f>IF(H1902="","",(H1902-G1902)/G1902)</f>
        <v/>
      </c>
      <c r="L1902" s="26">
        <f>IF(I1902="","",(I1902-G1902)/G1902)</f>
        <v/>
      </c>
      <c r="M1902" s="26">
        <f>IF(J1902="","",(J1902-G1902)/G1902)</f>
        <v/>
      </c>
      <c r="N1902" s="27">
        <f>IF(H1902="","",IF(D1902="HOLD",IF(ABS(K1902)&lt;0.03,"YES","NO"),IF(D1902="BUY",IF(K1902&gt;0,"YES","NO"),IF(D1902="SELL",IF(K1902&lt;0,"YES","NO"),""))))</f>
        <v/>
      </c>
    </row>
    <row r="1903" ht="15" customHeight="1">
      <c r="K1903" s="26">
        <f>IF(H1903="","",(H1903-G1903)/G1903)</f>
        <v/>
      </c>
      <c r="L1903" s="26">
        <f>IF(I1903="","",(I1903-G1903)/G1903)</f>
        <v/>
      </c>
      <c r="M1903" s="26">
        <f>IF(J1903="","",(J1903-G1903)/G1903)</f>
        <v/>
      </c>
      <c r="N1903" s="27">
        <f>IF(H1903="","",IF(D1903="HOLD",IF(ABS(K1903)&lt;0.03,"YES","NO"),IF(D1903="BUY",IF(K1903&gt;0,"YES","NO"),IF(D1903="SELL",IF(K1903&lt;0,"YES","NO"),""))))</f>
        <v/>
      </c>
    </row>
    <row r="1904" ht="15" customHeight="1">
      <c r="K1904" s="26">
        <f>IF(H1904="","",(H1904-G1904)/G1904)</f>
        <v/>
      </c>
      <c r="L1904" s="26">
        <f>IF(I1904="","",(I1904-G1904)/G1904)</f>
        <v/>
      </c>
      <c r="M1904" s="26">
        <f>IF(J1904="","",(J1904-G1904)/G1904)</f>
        <v/>
      </c>
      <c r="N1904" s="27">
        <f>IF(H1904="","",IF(D1904="HOLD",IF(ABS(K1904)&lt;0.03,"YES","NO"),IF(D1904="BUY",IF(K1904&gt;0,"YES","NO"),IF(D1904="SELL",IF(K1904&lt;0,"YES","NO"),""))))</f>
        <v/>
      </c>
    </row>
    <row r="1905" ht="15" customHeight="1">
      <c r="K1905" s="26">
        <f>IF(H1905="","",(H1905-G1905)/G1905)</f>
        <v/>
      </c>
      <c r="L1905" s="26">
        <f>IF(I1905="","",(I1905-G1905)/G1905)</f>
        <v/>
      </c>
      <c r="M1905" s="26">
        <f>IF(J1905="","",(J1905-G1905)/G1905)</f>
        <v/>
      </c>
      <c r="N1905" s="27">
        <f>IF(H1905="","",IF(D1905="HOLD",IF(ABS(K1905)&lt;0.03,"YES","NO"),IF(D1905="BUY",IF(K1905&gt;0,"YES","NO"),IF(D1905="SELL",IF(K1905&lt;0,"YES","NO"),""))))</f>
        <v/>
      </c>
    </row>
    <row r="1906" ht="15" customHeight="1">
      <c r="K1906" s="26">
        <f>IF(H1906="","",(H1906-G1906)/G1906)</f>
        <v/>
      </c>
      <c r="L1906" s="26">
        <f>IF(I1906="","",(I1906-G1906)/G1906)</f>
        <v/>
      </c>
      <c r="M1906" s="26">
        <f>IF(J1906="","",(J1906-G1906)/G1906)</f>
        <v/>
      </c>
      <c r="N1906" s="27">
        <f>IF(H1906="","",IF(D1906="HOLD",IF(ABS(K1906)&lt;0.03,"YES","NO"),IF(D1906="BUY",IF(K1906&gt;0,"YES","NO"),IF(D1906="SELL",IF(K1906&lt;0,"YES","NO"),""))))</f>
        <v/>
      </c>
    </row>
    <row r="1907" ht="15" customHeight="1">
      <c r="K1907" s="26">
        <f>IF(H1907="","",(H1907-G1907)/G1907)</f>
        <v/>
      </c>
      <c r="L1907" s="26">
        <f>IF(I1907="","",(I1907-G1907)/G1907)</f>
        <v/>
      </c>
      <c r="M1907" s="26">
        <f>IF(J1907="","",(J1907-G1907)/G1907)</f>
        <v/>
      </c>
      <c r="N1907" s="27">
        <f>IF(H1907="","",IF(D1907="HOLD",IF(ABS(K1907)&lt;0.03,"YES","NO"),IF(D1907="BUY",IF(K1907&gt;0,"YES","NO"),IF(D1907="SELL",IF(K1907&lt;0,"YES","NO"),""))))</f>
        <v/>
      </c>
    </row>
    <row r="1908" ht="15" customHeight="1">
      <c r="K1908" s="26">
        <f>IF(H1908="","",(H1908-G1908)/G1908)</f>
        <v/>
      </c>
      <c r="L1908" s="26">
        <f>IF(I1908="","",(I1908-G1908)/G1908)</f>
        <v/>
      </c>
      <c r="M1908" s="26">
        <f>IF(J1908="","",(J1908-G1908)/G1908)</f>
        <v/>
      </c>
      <c r="N1908" s="27">
        <f>IF(H1908="","",IF(D1908="HOLD",IF(ABS(K1908)&lt;0.03,"YES","NO"),IF(D1908="BUY",IF(K1908&gt;0,"YES","NO"),IF(D1908="SELL",IF(K1908&lt;0,"YES","NO"),""))))</f>
        <v/>
      </c>
    </row>
    <row r="1909" ht="15" customHeight="1">
      <c r="K1909" s="26">
        <f>IF(H1909="","",(H1909-G1909)/G1909)</f>
        <v/>
      </c>
      <c r="L1909" s="26">
        <f>IF(I1909="","",(I1909-G1909)/G1909)</f>
        <v/>
      </c>
      <c r="M1909" s="26">
        <f>IF(J1909="","",(J1909-G1909)/G1909)</f>
        <v/>
      </c>
      <c r="N1909" s="27">
        <f>IF(H1909="","",IF(D1909="HOLD",IF(ABS(K1909)&lt;0.03,"YES","NO"),IF(D1909="BUY",IF(K1909&gt;0,"YES","NO"),IF(D1909="SELL",IF(K1909&lt;0,"YES","NO"),""))))</f>
        <v/>
      </c>
    </row>
    <row r="1910" ht="15" customHeight="1">
      <c r="K1910" s="26">
        <f>IF(H1910="","",(H1910-G1910)/G1910)</f>
        <v/>
      </c>
      <c r="L1910" s="26">
        <f>IF(I1910="","",(I1910-G1910)/G1910)</f>
        <v/>
      </c>
      <c r="M1910" s="26">
        <f>IF(J1910="","",(J1910-G1910)/G1910)</f>
        <v/>
      </c>
      <c r="N1910" s="27">
        <f>IF(H1910="","",IF(D1910="HOLD",IF(ABS(K1910)&lt;0.03,"YES","NO"),IF(D1910="BUY",IF(K1910&gt;0,"YES","NO"),IF(D1910="SELL",IF(K1910&lt;0,"YES","NO"),""))))</f>
        <v/>
      </c>
    </row>
    <row r="1911" ht="15" customHeight="1">
      <c r="K1911" s="26">
        <f>IF(H1911="","",(H1911-G1911)/G1911)</f>
        <v/>
      </c>
      <c r="L1911" s="26">
        <f>IF(I1911="","",(I1911-G1911)/G1911)</f>
        <v/>
      </c>
      <c r="M1911" s="26">
        <f>IF(J1911="","",(J1911-G1911)/G1911)</f>
        <v/>
      </c>
      <c r="N1911" s="27">
        <f>IF(H1911="","",IF(D1911="HOLD",IF(ABS(K1911)&lt;0.03,"YES","NO"),IF(D1911="BUY",IF(K1911&gt;0,"YES","NO"),IF(D1911="SELL",IF(K1911&lt;0,"YES","NO"),""))))</f>
        <v/>
      </c>
    </row>
    <row r="1912" ht="15" customHeight="1">
      <c r="K1912" s="26">
        <f>IF(H1912="","",(H1912-G1912)/G1912)</f>
        <v/>
      </c>
      <c r="L1912" s="26">
        <f>IF(I1912="","",(I1912-G1912)/G1912)</f>
        <v/>
      </c>
      <c r="M1912" s="26">
        <f>IF(J1912="","",(J1912-G1912)/G1912)</f>
        <v/>
      </c>
      <c r="N1912" s="27">
        <f>IF(H1912="","",IF(D1912="HOLD",IF(ABS(K1912)&lt;0.03,"YES","NO"),IF(D1912="BUY",IF(K1912&gt;0,"YES","NO"),IF(D1912="SELL",IF(K1912&lt;0,"YES","NO"),""))))</f>
        <v/>
      </c>
    </row>
    <row r="1913" ht="15" customHeight="1">
      <c r="K1913" s="26">
        <f>IF(H1913="","",(H1913-G1913)/G1913)</f>
        <v/>
      </c>
      <c r="L1913" s="26">
        <f>IF(I1913="","",(I1913-G1913)/G1913)</f>
        <v/>
      </c>
      <c r="M1913" s="26">
        <f>IF(J1913="","",(J1913-G1913)/G1913)</f>
        <v/>
      </c>
      <c r="N1913" s="27">
        <f>IF(H1913="","",IF(D1913="HOLD",IF(ABS(K1913)&lt;0.03,"YES","NO"),IF(D1913="BUY",IF(K1913&gt;0,"YES","NO"),IF(D1913="SELL",IF(K1913&lt;0,"YES","NO"),""))))</f>
        <v/>
      </c>
    </row>
    <row r="1914" ht="15" customHeight="1">
      <c r="K1914" s="26">
        <f>IF(H1914="","",(H1914-G1914)/G1914)</f>
        <v/>
      </c>
      <c r="L1914" s="26">
        <f>IF(I1914="","",(I1914-G1914)/G1914)</f>
        <v/>
      </c>
      <c r="M1914" s="26">
        <f>IF(J1914="","",(J1914-G1914)/G1914)</f>
        <v/>
      </c>
      <c r="N1914" s="27">
        <f>IF(H1914="","",IF(D1914="HOLD",IF(ABS(K1914)&lt;0.03,"YES","NO"),IF(D1914="BUY",IF(K1914&gt;0,"YES","NO"),IF(D1914="SELL",IF(K1914&lt;0,"YES","NO"),""))))</f>
        <v/>
      </c>
    </row>
    <row r="1915" ht="15" customHeight="1">
      <c r="K1915" s="26">
        <f>IF(H1915="","",(H1915-G1915)/G1915)</f>
        <v/>
      </c>
      <c r="L1915" s="26">
        <f>IF(I1915="","",(I1915-G1915)/G1915)</f>
        <v/>
      </c>
      <c r="M1915" s="26">
        <f>IF(J1915="","",(J1915-G1915)/G1915)</f>
        <v/>
      </c>
      <c r="N1915" s="27">
        <f>IF(H1915="","",IF(D1915="HOLD",IF(ABS(K1915)&lt;0.03,"YES","NO"),IF(D1915="BUY",IF(K1915&gt;0,"YES","NO"),IF(D1915="SELL",IF(K1915&lt;0,"YES","NO"),""))))</f>
        <v/>
      </c>
    </row>
    <row r="1916" ht="15" customHeight="1">
      <c r="K1916" s="26">
        <f>IF(H1916="","",(H1916-G1916)/G1916)</f>
        <v/>
      </c>
      <c r="L1916" s="26">
        <f>IF(I1916="","",(I1916-G1916)/G1916)</f>
        <v/>
      </c>
      <c r="M1916" s="26">
        <f>IF(J1916="","",(J1916-G1916)/G1916)</f>
        <v/>
      </c>
      <c r="N1916" s="27">
        <f>IF(H1916="","",IF(D1916="HOLD",IF(ABS(K1916)&lt;0.03,"YES","NO"),IF(D1916="BUY",IF(K1916&gt;0,"YES","NO"),IF(D1916="SELL",IF(K1916&lt;0,"YES","NO"),""))))</f>
        <v/>
      </c>
    </row>
    <row r="1917" ht="15" customHeight="1">
      <c r="K1917" s="26">
        <f>IF(H1917="","",(H1917-G1917)/G1917)</f>
        <v/>
      </c>
      <c r="L1917" s="26">
        <f>IF(I1917="","",(I1917-G1917)/G1917)</f>
        <v/>
      </c>
      <c r="M1917" s="26">
        <f>IF(J1917="","",(J1917-G1917)/G1917)</f>
        <v/>
      </c>
      <c r="N1917" s="27">
        <f>IF(H1917="","",IF(D1917="HOLD",IF(ABS(K1917)&lt;0.03,"YES","NO"),IF(D1917="BUY",IF(K1917&gt;0,"YES","NO"),IF(D1917="SELL",IF(K1917&lt;0,"YES","NO"),""))))</f>
        <v/>
      </c>
    </row>
    <row r="1918" ht="15" customHeight="1">
      <c r="K1918" s="26">
        <f>IF(H1918="","",(H1918-G1918)/G1918)</f>
        <v/>
      </c>
      <c r="L1918" s="26">
        <f>IF(I1918="","",(I1918-G1918)/G1918)</f>
        <v/>
      </c>
      <c r="M1918" s="26">
        <f>IF(J1918="","",(J1918-G1918)/G1918)</f>
        <v/>
      </c>
      <c r="N1918" s="27">
        <f>IF(H1918="","",IF(D1918="HOLD",IF(ABS(K1918)&lt;0.03,"YES","NO"),IF(D1918="BUY",IF(K1918&gt;0,"YES","NO"),IF(D1918="SELL",IF(K1918&lt;0,"YES","NO"),""))))</f>
        <v/>
      </c>
    </row>
    <row r="1919" ht="15" customHeight="1">
      <c r="K1919" s="26">
        <f>IF(H1919="","",(H1919-G1919)/G1919)</f>
        <v/>
      </c>
      <c r="L1919" s="26">
        <f>IF(I1919="","",(I1919-G1919)/G1919)</f>
        <v/>
      </c>
      <c r="M1919" s="26">
        <f>IF(J1919="","",(J1919-G1919)/G1919)</f>
        <v/>
      </c>
      <c r="N1919" s="27">
        <f>IF(H1919="","",IF(D1919="HOLD",IF(ABS(K1919)&lt;0.03,"YES","NO"),IF(D1919="BUY",IF(K1919&gt;0,"YES","NO"),IF(D1919="SELL",IF(K1919&lt;0,"YES","NO"),""))))</f>
        <v/>
      </c>
    </row>
    <row r="1920" ht="15" customHeight="1">
      <c r="K1920" s="26">
        <f>IF(H1920="","",(H1920-G1920)/G1920)</f>
        <v/>
      </c>
      <c r="L1920" s="26">
        <f>IF(I1920="","",(I1920-G1920)/G1920)</f>
        <v/>
      </c>
      <c r="M1920" s="26">
        <f>IF(J1920="","",(J1920-G1920)/G1920)</f>
        <v/>
      </c>
      <c r="N1920" s="27">
        <f>IF(H1920="","",IF(D1920="HOLD",IF(ABS(K1920)&lt;0.03,"YES","NO"),IF(D1920="BUY",IF(K1920&gt;0,"YES","NO"),IF(D1920="SELL",IF(K1920&lt;0,"YES","NO"),""))))</f>
        <v/>
      </c>
    </row>
    <row r="1921" ht="15" customHeight="1">
      <c r="K1921" s="26">
        <f>IF(H1921="","",(H1921-G1921)/G1921)</f>
        <v/>
      </c>
      <c r="L1921" s="26">
        <f>IF(I1921="","",(I1921-G1921)/G1921)</f>
        <v/>
      </c>
      <c r="M1921" s="26">
        <f>IF(J1921="","",(J1921-G1921)/G1921)</f>
        <v/>
      </c>
      <c r="N1921" s="27">
        <f>IF(H1921="","",IF(D1921="HOLD",IF(ABS(K1921)&lt;0.03,"YES","NO"),IF(D1921="BUY",IF(K1921&gt;0,"YES","NO"),IF(D1921="SELL",IF(K1921&lt;0,"YES","NO"),""))))</f>
        <v/>
      </c>
    </row>
    <row r="1922" ht="15" customHeight="1">
      <c r="K1922" s="26">
        <f>IF(H1922="","",(H1922-G1922)/G1922)</f>
        <v/>
      </c>
      <c r="L1922" s="26">
        <f>IF(I1922="","",(I1922-G1922)/G1922)</f>
        <v/>
      </c>
      <c r="M1922" s="26">
        <f>IF(J1922="","",(J1922-G1922)/G1922)</f>
        <v/>
      </c>
      <c r="N1922" s="27">
        <f>IF(H1922="","",IF(D1922="HOLD",IF(ABS(K1922)&lt;0.03,"YES","NO"),IF(D1922="BUY",IF(K1922&gt;0,"YES","NO"),IF(D1922="SELL",IF(K1922&lt;0,"YES","NO"),""))))</f>
        <v/>
      </c>
    </row>
    <row r="1923" ht="15" customHeight="1">
      <c r="K1923" s="26">
        <f>IF(H1923="","",(H1923-G1923)/G1923)</f>
        <v/>
      </c>
      <c r="L1923" s="26">
        <f>IF(I1923="","",(I1923-G1923)/G1923)</f>
        <v/>
      </c>
      <c r="M1923" s="26">
        <f>IF(J1923="","",(J1923-G1923)/G1923)</f>
        <v/>
      </c>
      <c r="N1923" s="27">
        <f>IF(H1923="","",IF(D1923="HOLD",IF(ABS(K1923)&lt;0.03,"YES","NO"),IF(D1923="BUY",IF(K1923&gt;0,"YES","NO"),IF(D1923="SELL",IF(K1923&lt;0,"YES","NO"),""))))</f>
        <v/>
      </c>
    </row>
    <row r="1924" ht="15" customHeight="1">
      <c r="K1924" s="26">
        <f>IF(H1924="","",(H1924-G1924)/G1924)</f>
        <v/>
      </c>
      <c r="L1924" s="26">
        <f>IF(I1924="","",(I1924-G1924)/G1924)</f>
        <v/>
      </c>
      <c r="M1924" s="26">
        <f>IF(J1924="","",(J1924-G1924)/G1924)</f>
        <v/>
      </c>
      <c r="N1924" s="27">
        <f>IF(H1924="","",IF(D1924="HOLD",IF(ABS(K1924)&lt;0.03,"YES","NO"),IF(D1924="BUY",IF(K1924&gt;0,"YES","NO"),IF(D1924="SELL",IF(K1924&lt;0,"YES","NO"),""))))</f>
        <v/>
      </c>
    </row>
    <row r="1925" ht="15" customHeight="1">
      <c r="K1925" s="26">
        <f>IF(H1925="","",(H1925-G1925)/G1925)</f>
        <v/>
      </c>
      <c r="L1925" s="26">
        <f>IF(I1925="","",(I1925-G1925)/G1925)</f>
        <v/>
      </c>
      <c r="M1925" s="26">
        <f>IF(J1925="","",(J1925-G1925)/G1925)</f>
        <v/>
      </c>
      <c r="N1925" s="27">
        <f>IF(H1925="","",IF(D1925="HOLD",IF(ABS(K1925)&lt;0.03,"YES","NO"),IF(D1925="BUY",IF(K1925&gt;0,"YES","NO"),IF(D1925="SELL",IF(K1925&lt;0,"YES","NO"),""))))</f>
        <v/>
      </c>
    </row>
    <row r="1926" ht="15" customHeight="1">
      <c r="K1926" s="26">
        <f>IF(H1926="","",(H1926-G1926)/G1926)</f>
        <v/>
      </c>
      <c r="L1926" s="26">
        <f>IF(I1926="","",(I1926-G1926)/G1926)</f>
        <v/>
      </c>
      <c r="M1926" s="26">
        <f>IF(J1926="","",(J1926-G1926)/G1926)</f>
        <v/>
      </c>
      <c r="N1926" s="27">
        <f>IF(H1926="","",IF(D1926="HOLD",IF(ABS(K1926)&lt;0.03,"YES","NO"),IF(D1926="BUY",IF(K1926&gt;0,"YES","NO"),IF(D1926="SELL",IF(K1926&lt;0,"YES","NO"),""))))</f>
        <v/>
      </c>
    </row>
    <row r="1927" ht="15" customHeight="1">
      <c r="K1927" s="26">
        <f>IF(H1927="","",(H1927-G1927)/G1927)</f>
        <v/>
      </c>
      <c r="L1927" s="26">
        <f>IF(I1927="","",(I1927-G1927)/G1927)</f>
        <v/>
      </c>
      <c r="M1927" s="26">
        <f>IF(J1927="","",(J1927-G1927)/G1927)</f>
        <v/>
      </c>
      <c r="N1927" s="27">
        <f>IF(H1927="","",IF(D1927="HOLD",IF(ABS(K1927)&lt;0.03,"YES","NO"),IF(D1927="BUY",IF(K1927&gt;0,"YES","NO"),IF(D1927="SELL",IF(K1927&lt;0,"YES","NO"),""))))</f>
        <v/>
      </c>
    </row>
    <row r="1928" ht="15" customHeight="1">
      <c r="K1928" s="26">
        <f>IF(H1928="","",(H1928-G1928)/G1928)</f>
        <v/>
      </c>
      <c r="L1928" s="26">
        <f>IF(I1928="","",(I1928-G1928)/G1928)</f>
        <v/>
      </c>
      <c r="M1928" s="26">
        <f>IF(J1928="","",(J1928-G1928)/G1928)</f>
        <v/>
      </c>
      <c r="N1928" s="27">
        <f>IF(H1928="","",IF(D1928="HOLD",IF(ABS(K1928)&lt;0.03,"YES","NO"),IF(D1928="BUY",IF(K1928&gt;0,"YES","NO"),IF(D1928="SELL",IF(K1928&lt;0,"YES","NO"),""))))</f>
        <v/>
      </c>
    </row>
    <row r="1929" ht="15" customHeight="1">
      <c r="K1929" s="26">
        <f>IF(H1929="","",(H1929-G1929)/G1929)</f>
        <v/>
      </c>
      <c r="L1929" s="26">
        <f>IF(I1929="","",(I1929-G1929)/G1929)</f>
        <v/>
      </c>
      <c r="M1929" s="26">
        <f>IF(J1929="","",(J1929-G1929)/G1929)</f>
        <v/>
      </c>
      <c r="N1929" s="27">
        <f>IF(H1929="","",IF(D1929="HOLD",IF(ABS(K1929)&lt;0.03,"YES","NO"),IF(D1929="BUY",IF(K1929&gt;0,"YES","NO"),IF(D1929="SELL",IF(K1929&lt;0,"YES","NO"),""))))</f>
        <v/>
      </c>
    </row>
    <row r="1930" ht="15" customHeight="1">
      <c r="K1930" s="26">
        <f>IF(H1930="","",(H1930-G1930)/G1930)</f>
        <v/>
      </c>
      <c r="L1930" s="26">
        <f>IF(I1930="","",(I1930-G1930)/G1930)</f>
        <v/>
      </c>
      <c r="M1930" s="26">
        <f>IF(J1930="","",(J1930-G1930)/G1930)</f>
        <v/>
      </c>
      <c r="N1930" s="27">
        <f>IF(H1930="","",IF(D1930="HOLD",IF(ABS(K1930)&lt;0.03,"YES","NO"),IF(D1930="BUY",IF(K1930&gt;0,"YES","NO"),IF(D1930="SELL",IF(K1930&lt;0,"YES","NO"),""))))</f>
        <v/>
      </c>
    </row>
    <row r="1931" ht="15" customHeight="1">
      <c r="K1931" s="26">
        <f>IF(H1931="","",(H1931-G1931)/G1931)</f>
        <v/>
      </c>
      <c r="L1931" s="26">
        <f>IF(I1931="","",(I1931-G1931)/G1931)</f>
        <v/>
      </c>
      <c r="M1931" s="26">
        <f>IF(J1931="","",(J1931-G1931)/G1931)</f>
        <v/>
      </c>
      <c r="N1931" s="27">
        <f>IF(H1931="","",IF(D1931="HOLD",IF(ABS(K1931)&lt;0.03,"YES","NO"),IF(D1931="BUY",IF(K1931&gt;0,"YES","NO"),IF(D1931="SELL",IF(K1931&lt;0,"YES","NO"),""))))</f>
        <v/>
      </c>
    </row>
    <row r="1932" ht="15" customHeight="1">
      <c r="K1932" s="26">
        <f>IF(H1932="","",(H1932-G1932)/G1932)</f>
        <v/>
      </c>
      <c r="L1932" s="26">
        <f>IF(I1932="","",(I1932-G1932)/G1932)</f>
        <v/>
      </c>
      <c r="M1932" s="26">
        <f>IF(J1932="","",(J1932-G1932)/G1932)</f>
        <v/>
      </c>
      <c r="N1932" s="27">
        <f>IF(H1932="","",IF(D1932="HOLD",IF(ABS(K1932)&lt;0.03,"YES","NO"),IF(D1932="BUY",IF(K1932&gt;0,"YES","NO"),IF(D1932="SELL",IF(K1932&lt;0,"YES","NO"),""))))</f>
        <v/>
      </c>
    </row>
    <row r="1933" ht="15" customHeight="1">
      <c r="K1933" s="26">
        <f>IF(H1933="","",(H1933-G1933)/G1933)</f>
        <v/>
      </c>
      <c r="L1933" s="26">
        <f>IF(I1933="","",(I1933-G1933)/G1933)</f>
        <v/>
      </c>
      <c r="M1933" s="26">
        <f>IF(J1933="","",(J1933-G1933)/G1933)</f>
        <v/>
      </c>
      <c r="N1933" s="27">
        <f>IF(H1933="","",IF(D1933="HOLD",IF(ABS(K1933)&lt;0.03,"YES","NO"),IF(D1933="BUY",IF(K1933&gt;0,"YES","NO"),IF(D1933="SELL",IF(K1933&lt;0,"YES","NO"),""))))</f>
        <v/>
      </c>
    </row>
    <row r="1934" ht="15" customHeight="1">
      <c r="K1934" s="26">
        <f>IF(H1934="","",(H1934-G1934)/G1934)</f>
        <v/>
      </c>
      <c r="L1934" s="26">
        <f>IF(I1934="","",(I1934-G1934)/G1934)</f>
        <v/>
      </c>
      <c r="M1934" s="26">
        <f>IF(J1934="","",(J1934-G1934)/G1934)</f>
        <v/>
      </c>
      <c r="N1934" s="27">
        <f>IF(H1934="","",IF(D1934="HOLD",IF(ABS(K1934)&lt;0.03,"YES","NO"),IF(D1934="BUY",IF(K1934&gt;0,"YES","NO"),IF(D1934="SELL",IF(K1934&lt;0,"YES","NO"),""))))</f>
        <v/>
      </c>
    </row>
    <row r="1935" ht="15" customHeight="1">
      <c r="K1935" s="26">
        <f>IF(H1935="","",(H1935-G1935)/G1935)</f>
        <v/>
      </c>
      <c r="L1935" s="26">
        <f>IF(I1935="","",(I1935-G1935)/G1935)</f>
        <v/>
      </c>
      <c r="M1935" s="26">
        <f>IF(J1935="","",(J1935-G1935)/G1935)</f>
        <v/>
      </c>
      <c r="N1935" s="27">
        <f>IF(H1935="","",IF(D1935="HOLD",IF(ABS(K1935)&lt;0.03,"YES","NO"),IF(D1935="BUY",IF(K1935&gt;0,"YES","NO"),IF(D1935="SELL",IF(K1935&lt;0,"YES","NO"),""))))</f>
        <v/>
      </c>
    </row>
    <row r="1936" ht="15" customHeight="1">
      <c r="K1936" s="26">
        <f>IF(H1936="","",(H1936-G1936)/G1936)</f>
        <v/>
      </c>
      <c r="L1936" s="26">
        <f>IF(I1936="","",(I1936-G1936)/G1936)</f>
        <v/>
      </c>
      <c r="M1936" s="26">
        <f>IF(J1936="","",(J1936-G1936)/G1936)</f>
        <v/>
      </c>
      <c r="N1936" s="27">
        <f>IF(H1936="","",IF(D1936="HOLD",IF(ABS(K1936)&lt;0.03,"YES","NO"),IF(D1936="BUY",IF(K1936&gt;0,"YES","NO"),IF(D1936="SELL",IF(K1936&lt;0,"YES","NO"),""))))</f>
        <v/>
      </c>
    </row>
    <row r="1937" ht="15" customHeight="1">
      <c r="K1937" s="26">
        <f>IF(H1937="","",(H1937-G1937)/G1937)</f>
        <v/>
      </c>
      <c r="L1937" s="26">
        <f>IF(I1937="","",(I1937-G1937)/G1937)</f>
        <v/>
      </c>
      <c r="M1937" s="26">
        <f>IF(J1937="","",(J1937-G1937)/G1937)</f>
        <v/>
      </c>
      <c r="N1937" s="27">
        <f>IF(H1937="","",IF(D1937="HOLD",IF(ABS(K1937)&lt;0.03,"YES","NO"),IF(D1937="BUY",IF(K1937&gt;0,"YES","NO"),IF(D1937="SELL",IF(K1937&lt;0,"YES","NO"),""))))</f>
        <v/>
      </c>
    </row>
    <row r="1938" ht="15" customHeight="1">
      <c r="K1938" s="26">
        <f>IF(H1938="","",(H1938-G1938)/G1938)</f>
        <v/>
      </c>
      <c r="L1938" s="26">
        <f>IF(I1938="","",(I1938-G1938)/G1938)</f>
        <v/>
      </c>
      <c r="M1938" s="26">
        <f>IF(J1938="","",(J1938-G1938)/G1938)</f>
        <v/>
      </c>
      <c r="N1938" s="27">
        <f>IF(H1938="","",IF(D1938="HOLD",IF(ABS(K1938)&lt;0.03,"YES","NO"),IF(D1938="BUY",IF(K1938&gt;0,"YES","NO"),IF(D1938="SELL",IF(K1938&lt;0,"YES","NO"),""))))</f>
        <v/>
      </c>
    </row>
    <row r="1939" ht="15" customHeight="1">
      <c r="K1939" s="26">
        <f>IF(H1939="","",(H1939-G1939)/G1939)</f>
        <v/>
      </c>
      <c r="L1939" s="26">
        <f>IF(I1939="","",(I1939-G1939)/G1939)</f>
        <v/>
      </c>
      <c r="M1939" s="26">
        <f>IF(J1939="","",(J1939-G1939)/G1939)</f>
        <v/>
      </c>
      <c r="N1939" s="27">
        <f>IF(H1939="","",IF(D1939="HOLD",IF(ABS(K1939)&lt;0.03,"YES","NO"),IF(D1939="BUY",IF(K1939&gt;0,"YES","NO"),IF(D1939="SELL",IF(K1939&lt;0,"YES","NO"),""))))</f>
        <v/>
      </c>
    </row>
    <row r="1940" ht="15" customHeight="1">
      <c r="K1940" s="26">
        <f>IF(H1940="","",(H1940-G1940)/G1940)</f>
        <v/>
      </c>
      <c r="L1940" s="26">
        <f>IF(I1940="","",(I1940-G1940)/G1940)</f>
        <v/>
      </c>
      <c r="M1940" s="26">
        <f>IF(J1940="","",(J1940-G1940)/G1940)</f>
        <v/>
      </c>
      <c r="N1940" s="27">
        <f>IF(H1940="","",IF(D1940="HOLD",IF(ABS(K1940)&lt;0.03,"YES","NO"),IF(D1940="BUY",IF(K1940&gt;0,"YES","NO"),IF(D1940="SELL",IF(K1940&lt;0,"YES","NO"),""))))</f>
        <v/>
      </c>
    </row>
    <row r="1941" ht="15" customHeight="1">
      <c r="K1941" s="26">
        <f>IF(H1941="","",(H1941-G1941)/G1941)</f>
        <v/>
      </c>
      <c r="L1941" s="26">
        <f>IF(I1941="","",(I1941-G1941)/G1941)</f>
        <v/>
      </c>
      <c r="M1941" s="26">
        <f>IF(J1941="","",(J1941-G1941)/G1941)</f>
        <v/>
      </c>
      <c r="N1941" s="27">
        <f>IF(H1941="","",IF(D1941="HOLD",IF(ABS(K1941)&lt;0.03,"YES","NO"),IF(D1941="BUY",IF(K1941&gt;0,"YES","NO"),IF(D1941="SELL",IF(K1941&lt;0,"YES","NO"),""))))</f>
        <v/>
      </c>
    </row>
    <row r="1942" ht="15" customHeight="1">
      <c r="K1942" s="26">
        <f>IF(H1942="","",(H1942-G1942)/G1942)</f>
        <v/>
      </c>
      <c r="L1942" s="26">
        <f>IF(I1942="","",(I1942-G1942)/G1942)</f>
        <v/>
      </c>
      <c r="M1942" s="26">
        <f>IF(J1942="","",(J1942-G1942)/G1942)</f>
        <v/>
      </c>
      <c r="N1942" s="27">
        <f>IF(H1942="","",IF(D1942="HOLD",IF(ABS(K1942)&lt;0.03,"YES","NO"),IF(D1942="BUY",IF(K1942&gt;0,"YES","NO"),IF(D1942="SELL",IF(K1942&lt;0,"YES","NO"),""))))</f>
        <v/>
      </c>
    </row>
    <row r="1943" ht="15" customHeight="1">
      <c r="K1943" s="26">
        <f>IF(H1943="","",(H1943-G1943)/G1943)</f>
        <v/>
      </c>
      <c r="L1943" s="26">
        <f>IF(I1943="","",(I1943-G1943)/G1943)</f>
        <v/>
      </c>
      <c r="M1943" s="26">
        <f>IF(J1943="","",(J1943-G1943)/G1943)</f>
        <v/>
      </c>
      <c r="N1943" s="27">
        <f>IF(H1943="","",IF(D1943="HOLD",IF(ABS(K1943)&lt;0.03,"YES","NO"),IF(D1943="BUY",IF(K1943&gt;0,"YES","NO"),IF(D1943="SELL",IF(K1943&lt;0,"YES","NO"),""))))</f>
        <v/>
      </c>
    </row>
    <row r="1944" ht="15" customHeight="1">
      <c r="K1944" s="26">
        <f>IF(H1944="","",(H1944-G1944)/G1944)</f>
        <v/>
      </c>
      <c r="L1944" s="26">
        <f>IF(I1944="","",(I1944-G1944)/G1944)</f>
        <v/>
      </c>
      <c r="M1944" s="26">
        <f>IF(J1944="","",(J1944-G1944)/G1944)</f>
        <v/>
      </c>
      <c r="N1944" s="27">
        <f>IF(H1944="","",IF(D1944="HOLD",IF(ABS(K1944)&lt;0.03,"YES","NO"),IF(D1944="BUY",IF(K1944&gt;0,"YES","NO"),IF(D1944="SELL",IF(K1944&lt;0,"YES","NO"),""))))</f>
        <v/>
      </c>
    </row>
    <row r="1945" ht="15" customHeight="1">
      <c r="K1945" s="26">
        <f>IF(H1945="","",(H1945-G1945)/G1945)</f>
        <v/>
      </c>
      <c r="L1945" s="26">
        <f>IF(I1945="","",(I1945-G1945)/G1945)</f>
        <v/>
      </c>
      <c r="M1945" s="26">
        <f>IF(J1945="","",(J1945-G1945)/G1945)</f>
        <v/>
      </c>
      <c r="N1945" s="27">
        <f>IF(H1945="","",IF(D1945="HOLD",IF(ABS(K1945)&lt;0.03,"YES","NO"),IF(D1945="BUY",IF(K1945&gt;0,"YES","NO"),IF(D1945="SELL",IF(K1945&lt;0,"YES","NO"),""))))</f>
        <v/>
      </c>
    </row>
    <row r="1946" ht="15" customHeight="1">
      <c r="K1946" s="26">
        <f>IF(H1946="","",(H1946-G1946)/G1946)</f>
        <v/>
      </c>
      <c r="L1946" s="26">
        <f>IF(I1946="","",(I1946-G1946)/G1946)</f>
        <v/>
      </c>
      <c r="M1946" s="26">
        <f>IF(J1946="","",(J1946-G1946)/G1946)</f>
        <v/>
      </c>
      <c r="N1946" s="27">
        <f>IF(H1946="","",IF(D1946="HOLD",IF(ABS(K1946)&lt;0.03,"YES","NO"),IF(D1946="BUY",IF(K1946&gt;0,"YES","NO"),IF(D1946="SELL",IF(K1946&lt;0,"YES","NO"),""))))</f>
        <v/>
      </c>
    </row>
    <row r="1947" ht="15" customHeight="1">
      <c r="K1947" s="26">
        <f>IF(H1947="","",(H1947-G1947)/G1947)</f>
        <v/>
      </c>
      <c r="L1947" s="26">
        <f>IF(I1947="","",(I1947-G1947)/G1947)</f>
        <v/>
      </c>
      <c r="M1947" s="26">
        <f>IF(J1947="","",(J1947-G1947)/G1947)</f>
        <v/>
      </c>
      <c r="N1947" s="27">
        <f>IF(H1947="","",IF(D1947="HOLD",IF(ABS(K1947)&lt;0.03,"YES","NO"),IF(D1947="BUY",IF(K1947&gt;0,"YES","NO"),IF(D1947="SELL",IF(K1947&lt;0,"YES","NO"),""))))</f>
        <v/>
      </c>
    </row>
    <row r="1948" ht="15" customHeight="1">
      <c r="K1948" s="26">
        <f>IF(H1948="","",(H1948-G1948)/G1948)</f>
        <v/>
      </c>
      <c r="L1948" s="26">
        <f>IF(I1948="","",(I1948-G1948)/G1948)</f>
        <v/>
      </c>
      <c r="M1948" s="26">
        <f>IF(J1948="","",(J1948-G1948)/G1948)</f>
        <v/>
      </c>
      <c r="N1948" s="27">
        <f>IF(H1948="","",IF(D1948="HOLD",IF(ABS(K1948)&lt;0.03,"YES","NO"),IF(D1948="BUY",IF(K1948&gt;0,"YES","NO"),IF(D1948="SELL",IF(K1948&lt;0,"YES","NO"),""))))</f>
        <v/>
      </c>
    </row>
    <row r="1949" ht="15" customHeight="1">
      <c r="K1949" s="26">
        <f>IF(H1949="","",(H1949-G1949)/G1949)</f>
        <v/>
      </c>
      <c r="L1949" s="26">
        <f>IF(I1949="","",(I1949-G1949)/G1949)</f>
        <v/>
      </c>
      <c r="M1949" s="26">
        <f>IF(J1949="","",(J1949-G1949)/G1949)</f>
        <v/>
      </c>
      <c r="N1949" s="27">
        <f>IF(H1949="","",IF(D1949="HOLD",IF(ABS(K1949)&lt;0.03,"YES","NO"),IF(D1949="BUY",IF(K1949&gt;0,"YES","NO"),IF(D1949="SELL",IF(K1949&lt;0,"YES","NO"),""))))</f>
        <v/>
      </c>
    </row>
    <row r="1950" ht="15" customHeight="1">
      <c r="K1950" s="26">
        <f>IF(H1950="","",(H1950-G1950)/G1950)</f>
        <v/>
      </c>
      <c r="L1950" s="26">
        <f>IF(I1950="","",(I1950-G1950)/G1950)</f>
        <v/>
      </c>
      <c r="M1950" s="26">
        <f>IF(J1950="","",(J1950-G1950)/G1950)</f>
        <v/>
      </c>
      <c r="N1950" s="27">
        <f>IF(H1950="","",IF(D1950="HOLD",IF(ABS(K1950)&lt;0.03,"YES","NO"),IF(D1950="BUY",IF(K1950&gt;0,"YES","NO"),IF(D1950="SELL",IF(K1950&lt;0,"YES","NO"),""))))</f>
        <v/>
      </c>
    </row>
    <row r="1951" ht="15" customHeight="1">
      <c r="K1951" s="26">
        <f>IF(H1951="","",(H1951-G1951)/G1951)</f>
        <v/>
      </c>
      <c r="L1951" s="26">
        <f>IF(I1951="","",(I1951-G1951)/G1951)</f>
        <v/>
      </c>
      <c r="M1951" s="26">
        <f>IF(J1951="","",(J1951-G1951)/G1951)</f>
        <v/>
      </c>
      <c r="N1951" s="27">
        <f>IF(H1951="","",IF(D1951="HOLD",IF(ABS(K1951)&lt;0.03,"YES","NO"),IF(D1951="BUY",IF(K1951&gt;0,"YES","NO"),IF(D1951="SELL",IF(K1951&lt;0,"YES","NO"),""))))</f>
        <v/>
      </c>
    </row>
    <row r="1952" ht="15" customHeight="1">
      <c r="K1952" s="26">
        <f>IF(H1952="","",(H1952-G1952)/G1952)</f>
        <v/>
      </c>
      <c r="L1952" s="26">
        <f>IF(I1952="","",(I1952-G1952)/G1952)</f>
        <v/>
      </c>
      <c r="M1952" s="26">
        <f>IF(J1952="","",(J1952-G1952)/G1952)</f>
        <v/>
      </c>
      <c r="N1952" s="27">
        <f>IF(H1952="","",IF(D1952="HOLD",IF(ABS(K1952)&lt;0.03,"YES","NO"),IF(D1952="BUY",IF(K1952&gt;0,"YES","NO"),IF(D1952="SELL",IF(K1952&lt;0,"YES","NO"),""))))</f>
        <v/>
      </c>
    </row>
    <row r="1953" ht="15" customHeight="1">
      <c r="K1953" s="26">
        <f>IF(H1953="","",(H1953-G1953)/G1953)</f>
        <v/>
      </c>
      <c r="L1953" s="26">
        <f>IF(I1953="","",(I1953-G1953)/G1953)</f>
        <v/>
      </c>
      <c r="M1953" s="26">
        <f>IF(J1953="","",(J1953-G1953)/G1953)</f>
        <v/>
      </c>
      <c r="N1953" s="27">
        <f>IF(H1953="","",IF(D1953="HOLD",IF(ABS(K1953)&lt;0.03,"YES","NO"),IF(D1953="BUY",IF(K1953&gt;0,"YES","NO"),IF(D1953="SELL",IF(K1953&lt;0,"YES","NO"),""))))</f>
        <v/>
      </c>
    </row>
    <row r="1954" ht="15" customHeight="1">
      <c r="K1954" s="26">
        <f>IF(H1954="","",(H1954-G1954)/G1954)</f>
        <v/>
      </c>
      <c r="L1954" s="26">
        <f>IF(I1954="","",(I1954-G1954)/G1954)</f>
        <v/>
      </c>
      <c r="M1954" s="26">
        <f>IF(J1954="","",(J1954-G1954)/G1954)</f>
        <v/>
      </c>
      <c r="N1954" s="27">
        <f>IF(H1954="","",IF(D1954="HOLD",IF(ABS(K1954)&lt;0.03,"YES","NO"),IF(D1954="BUY",IF(K1954&gt;0,"YES","NO"),IF(D1954="SELL",IF(K1954&lt;0,"YES","NO"),""))))</f>
        <v/>
      </c>
    </row>
    <row r="1955" ht="15" customHeight="1">
      <c r="K1955" s="26">
        <f>IF(H1955="","",(H1955-G1955)/G1955)</f>
        <v/>
      </c>
      <c r="L1955" s="26">
        <f>IF(I1955="","",(I1955-G1955)/G1955)</f>
        <v/>
      </c>
      <c r="M1955" s="26">
        <f>IF(J1955="","",(J1955-G1955)/G1955)</f>
        <v/>
      </c>
      <c r="N1955" s="27">
        <f>IF(H1955="","",IF(D1955="HOLD",IF(ABS(K1955)&lt;0.03,"YES","NO"),IF(D1955="BUY",IF(K1955&gt;0,"YES","NO"),IF(D1955="SELL",IF(K1955&lt;0,"YES","NO"),""))))</f>
        <v/>
      </c>
    </row>
    <row r="1956" ht="15" customHeight="1">
      <c r="K1956" s="26">
        <f>IF(H1956="","",(H1956-G1956)/G1956)</f>
        <v/>
      </c>
      <c r="L1956" s="26">
        <f>IF(I1956="","",(I1956-G1956)/G1956)</f>
        <v/>
      </c>
      <c r="M1956" s="26">
        <f>IF(J1956="","",(J1956-G1956)/G1956)</f>
        <v/>
      </c>
      <c r="N1956" s="27">
        <f>IF(H1956="","",IF(D1956="HOLD",IF(ABS(K1956)&lt;0.03,"YES","NO"),IF(D1956="BUY",IF(K1956&gt;0,"YES","NO"),IF(D1956="SELL",IF(K1956&lt;0,"YES","NO"),""))))</f>
        <v/>
      </c>
    </row>
    <row r="1957" ht="15" customHeight="1">
      <c r="K1957" s="26">
        <f>IF(H1957="","",(H1957-G1957)/G1957)</f>
        <v/>
      </c>
      <c r="L1957" s="26">
        <f>IF(I1957="","",(I1957-G1957)/G1957)</f>
        <v/>
      </c>
      <c r="M1957" s="26">
        <f>IF(J1957="","",(J1957-G1957)/G1957)</f>
        <v/>
      </c>
      <c r="N1957" s="27">
        <f>IF(H1957="","",IF(D1957="HOLD",IF(ABS(K1957)&lt;0.03,"YES","NO"),IF(D1957="BUY",IF(K1957&gt;0,"YES","NO"),IF(D1957="SELL",IF(K1957&lt;0,"YES","NO"),""))))</f>
        <v/>
      </c>
    </row>
    <row r="1958" ht="15" customHeight="1">
      <c r="K1958" s="26">
        <f>IF(H1958="","",(H1958-G1958)/G1958)</f>
        <v/>
      </c>
      <c r="L1958" s="26">
        <f>IF(I1958="","",(I1958-G1958)/G1958)</f>
        <v/>
      </c>
      <c r="M1958" s="26">
        <f>IF(J1958="","",(J1958-G1958)/G1958)</f>
        <v/>
      </c>
      <c r="N1958" s="27">
        <f>IF(H1958="","",IF(D1958="HOLD",IF(ABS(K1958)&lt;0.03,"YES","NO"),IF(D1958="BUY",IF(K1958&gt;0,"YES","NO"),IF(D1958="SELL",IF(K1958&lt;0,"YES","NO"),""))))</f>
        <v/>
      </c>
    </row>
    <row r="1959" ht="15" customHeight="1">
      <c r="K1959" s="26">
        <f>IF(H1959="","",(H1959-G1959)/G1959)</f>
        <v/>
      </c>
      <c r="L1959" s="26">
        <f>IF(I1959="","",(I1959-G1959)/G1959)</f>
        <v/>
      </c>
      <c r="M1959" s="26">
        <f>IF(J1959="","",(J1959-G1959)/G1959)</f>
        <v/>
      </c>
      <c r="N1959" s="27">
        <f>IF(H1959="","",IF(D1959="HOLD",IF(ABS(K1959)&lt;0.03,"YES","NO"),IF(D1959="BUY",IF(K1959&gt;0,"YES","NO"),IF(D1959="SELL",IF(K1959&lt;0,"YES","NO"),""))))</f>
        <v/>
      </c>
    </row>
    <row r="1960" ht="15" customHeight="1">
      <c r="K1960" s="26">
        <f>IF(H1960="","",(H1960-G1960)/G1960)</f>
        <v/>
      </c>
      <c r="L1960" s="26">
        <f>IF(I1960="","",(I1960-G1960)/G1960)</f>
        <v/>
      </c>
      <c r="M1960" s="26">
        <f>IF(J1960="","",(J1960-G1960)/G1960)</f>
        <v/>
      </c>
      <c r="N1960" s="27">
        <f>IF(H1960="","",IF(D1960="HOLD",IF(ABS(K1960)&lt;0.03,"YES","NO"),IF(D1960="BUY",IF(K1960&gt;0,"YES","NO"),IF(D1960="SELL",IF(K1960&lt;0,"YES","NO"),""))))</f>
        <v/>
      </c>
    </row>
    <row r="1961" ht="15" customHeight="1">
      <c r="K1961" s="26">
        <f>IF(H1961="","",(H1961-G1961)/G1961)</f>
        <v/>
      </c>
      <c r="L1961" s="26">
        <f>IF(I1961="","",(I1961-G1961)/G1961)</f>
        <v/>
      </c>
      <c r="M1961" s="26">
        <f>IF(J1961="","",(J1961-G1961)/G1961)</f>
        <v/>
      </c>
      <c r="N1961" s="27">
        <f>IF(H1961="","",IF(D1961="HOLD",IF(ABS(K1961)&lt;0.03,"YES","NO"),IF(D1961="BUY",IF(K1961&gt;0,"YES","NO"),IF(D1961="SELL",IF(K1961&lt;0,"YES","NO"),""))))</f>
        <v/>
      </c>
    </row>
    <row r="1962" ht="15" customHeight="1">
      <c r="K1962" s="26">
        <f>IF(H1962="","",(H1962-G1962)/G1962)</f>
        <v/>
      </c>
      <c r="L1962" s="26">
        <f>IF(I1962="","",(I1962-G1962)/G1962)</f>
        <v/>
      </c>
      <c r="M1962" s="26">
        <f>IF(J1962="","",(J1962-G1962)/G1962)</f>
        <v/>
      </c>
      <c r="N1962" s="27">
        <f>IF(H1962="","",IF(D1962="HOLD",IF(ABS(K1962)&lt;0.03,"YES","NO"),IF(D1962="BUY",IF(K1962&gt;0,"YES","NO"),IF(D1962="SELL",IF(K1962&lt;0,"YES","NO"),""))))</f>
        <v/>
      </c>
    </row>
    <row r="1963" ht="15" customHeight="1">
      <c r="K1963" s="26">
        <f>IF(H1963="","",(H1963-G1963)/G1963)</f>
        <v/>
      </c>
      <c r="L1963" s="26">
        <f>IF(I1963="","",(I1963-G1963)/G1963)</f>
        <v/>
      </c>
      <c r="M1963" s="26">
        <f>IF(J1963="","",(J1963-G1963)/G1963)</f>
        <v/>
      </c>
      <c r="N1963" s="27">
        <f>IF(H1963="","",IF(D1963="HOLD",IF(ABS(K1963)&lt;0.03,"YES","NO"),IF(D1963="BUY",IF(K1963&gt;0,"YES","NO"),IF(D1963="SELL",IF(K1963&lt;0,"YES","NO"),""))))</f>
        <v/>
      </c>
    </row>
    <row r="1964" ht="15" customHeight="1">
      <c r="K1964" s="26">
        <f>IF(H1964="","",(H1964-G1964)/G1964)</f>
        <v/>
      </c>
      <c r="L1964" s="26">
        <f>IF(I1964="","",(I1964-G1964)/G1964)</f>
        <v/>
      </c>
      <c r="M1964" s="26">
        <f>IF(J1964="","",(J1964-G1964)/G1964)</f>
        <v/>
      </c>
      <c r="N1964" s="27">
        <f>IF(H1964="","",IF(D1964="HOLD",IF(ABS(K1964)&lt;0.03,"YES","NO"),IF(D1964="BUY",IF(K1964&gt;0,"YES","NO"),IF(D1964="SELL",IF(K1964&lt;0,"YES","NO"),""))))</f>
        <v/>
      </c>
    </row>
    <row r="1965" ht="15" customHeight="1">
      <c r="K1965" s="26">
        <f>IF(H1965="","",(H1965-G1965)/G1965)</f>
        <v/>
      </c>
      <c r="L1965" s="26">
        <f>IF(I1965="","",(I1965-G1965)/G1965)</f>
        <v/>
      </c>
      <c r="M1965" s="26">
        <f>IF(J1965="","",(J1965-G1965)/G1965)</f>
        <v/>
      </c>
      <c r="N1965" s="27">
        <f>IF(H1965="","",IF(D1965="HOLD",IF(ABS(K1965)&lt;0.03,"YES","NO"),IF(D1965="BUY",IF(K1965&gt;0,"YES","NO"),IF(D1965="SELL",IF(K1965&lt;0,"YES","NO"),""))))</f>
        <v/>
      </c>
    </row>
    <row r="1966" ht="15" customHeight="1">
      <c r="K1966" s="26">
        <f>IF(H1966="","",(H1966-G1966)/G1966)</f>
        <v/>
      </c>
      <c r="L1966" s="26">
        <f>IF(I1966="","",(I1966-G1966)/G1966)</f>
        <v/>
      </c>
      <c r="M1966" s="26">
        <f>IF(J1966="","",(J1966-G1966)/G1966)</f>
        <v/>
      </c>
      <c r="N1966" s="27">
        <f>IF(H1966="","",IF(D1966="HOLD",IF(ABS(K1966)&lt;0.03,"YES","NO"),IF(D1966="BUY",IF(K1966&gt;0,"YES","NO"),IF(D1966="SELL",IF(K1966&lt;0,"YES","NO"),""))))</f>
        <v/>
      </c>
    </row>
    <row r="1967" ht="15" customHeight="1">
      <c r="K1967" s="26">
        <f>IF(H1967="","",(H1967-G1967)/G1967)</f>
        <v/>
      </c>
      <c r="L1967" s="26">
        <f>IF(I1967="","",(I1967-G1967)/G1967)</f>
        <v/>
      </c>
      <c r="M1967" s="26">
        <f>IF(J1967="","",(J1967-G1967)/G1967)</f>
        <v/>
      </c>
      <c r="N1967" s="27">
        <f>IF(H1967="","",IF(D1967="HOLD",IF(ABS(K1967)&lt;0.03,"YES","NO"),IF(D1967="BUY",IF(K1967&gt;0,"YES","NO"),IF(D1967="SELL",IF(K1967&lt;0,"YES","NO"),""))))</f>
        <v/>
      </c>
    </row>
    <row r="1968" ht="15" customHeight="1">
      <c r="K1968" s="26">
        <f>IF(H1968="","",(H1968-G1968)/G1968)</f>
        <v/>
      </c>
      <c r="L1968" s="26">
        <f>IF(I1968="","",(I1968-G1968)/G1968)</f>
        <v/>
      </c>
      <c r="M1968" s="26">
        <f>IF(J1968="","",(J1968-G1968)/G1968)</f>
        <v/>
      </c>
      <c r="N1968" s="27">
        <f>IF(H1968="","",IF(D1968="HOLD",IF(ABS(K1968)&lt;0.03,"YES","NO"),IF(D1968="BUY",IF(K1968&gt;0,"YES","NO"),IF(D1968="SELL",IF(K1968&lt;0,"YES","NO"),""))))</f>
        <v/>
      </c>
    </row>
    <row r="1969" ht="15" customHeight="1">
      <c r="K1969" s="26">
        <f>IF(H1969="","",(H1969-G1969)/G1969)</f>
        <v/>
      </c>
      <c r="L1969" s="26">
        <f>IF(I1969="","",(I1969-G1969)/G1969)</f>
        <v/>
      </c>
      <c r="M1969" s="26">
        <f>IF(J1969="","",(J1969-G1969)/G1969)</f>
        <v/>
      </c>
      <c r="N1969" s="27">
        <f>IF(H1969="","",IF(D1969="HOLD",IF(ABS(K1969)&lt;0.03,"YES","NO"),IF(D1969="BUY",IF(K1969&gt;0,"YES","NO"),IF(D1969="SELL",IF(K1969&lt;0,"YES","NO"),""))))</f>
        <v/>
      </c>
    </row>
    <row r="1970" ht="15" customHeight="1">
      <c r="K1970" s="26">
        <f>IF(H1970="","",(H1970-G1970)/G1970)</f>
        <v/>
      </c>
      <c r="L1970" s="26">
        <f>IF(I1970="","",(I1970-G1970)/G1970)</f>
        <v/>
      </c>
      <c r="M1970" s="26">
        <f>IF(J1970="","",(J1970-G1970)/G1970)</f>
        <v/>
      </c>
      <c r="N1970" s="27">
        <f>IF(H1970="","",IF(D1970="HOLD",IF(ABS(K1970)&lt;0.03,"YES","NO"),IF(D1970="BUY",IF(K1970&gt;0,"YES","NO"),IF(D1970="SELL",IF(K1970&lt;0,"YES","NO"),""))))</f>
        <v/>
      </c>
    </row>
    <row r="1971" ht="15" customHeight="1">
      <c r="K1971" s="26">
        <f>IF(H1971="","",(H1971-G1971)/G1971)</f>
        <v/>
      </c>
      <c r="L1971" s="26">
        <f>IF(I1971="","",(I1971-G1971)/G1971)</f>
        <v/>
      </c>
      <c r="M1971" s="26">
        <f>IF(J1971="","",(J1971-G1971)/G1971)</f>
        <v/>
      </c>
      <c r="N1971" s="27">
        <f>IF(H1971="","",IF(D1971="HOLD",IF(ABS(K1971)&lt;0.03,"YES","NO"),IF(D1971="BUY",IF(K1971&gt;0,"YES","NO"),IF(D1971="SELL",IF(K1971&lt;0,"YES","NO"),""))))</f>
        <v/>
      </c>
    </row>
    <row r="1972" ht="15" customHeight="1">
      <c r="K1972" s="26">
        <f>IF(H1972="","",(H1972-G1972)/G1972)</f>
        <v/>
      </c>
      <c r="L1972" s="26">
        <f>IF(I1972="","",(I1972-G1972)/G1972)</f>
        <v/>
      </c>
      <c r="M1972" s="26">
        <f>IF(J1972="","",(J1972-G1972)/G1972)</f>
        <v/>
      </c>
      <c r="N1972" s="27">
        <f>IF(H1972="","",IF(D1972="HOLD",IF(ABS(K1972)&lt;0.03,"YES","NO"),IF(D1972="BUY",IF(K1972&gt;0,"YES","NO"),IF(D1972="SELL",IF(K1972&lt;0,"YES","NO"),""))))</f>
        <v/>
      </c>
    </row>
    <row r="1973" ht="15" customHeight="1">
      <c r="K1973" s="26">
        <f>IF(H1973="","",(H1973-G1973)/G1973)</f>
        <v/>
      </c>
      <c r="L1973" s="26">
        <f>IF(I1973="","",(I1973-G1973)/G1973)</f>
        <v/>
      </c>
      <c r="M1973" s="26">
        <f>IF(J1973="","",(J1973-G1973)/G1973)</f>
        <v/>
      </c>
      <c r="N1973" s="27">
        <f>IF(H1973="","",IF(D1973="HOLD",IF(ABS(K1973)&lt;0.03,"YES","NO"),IF(D1973="BUY",IF(K1973&gt;0,"YES","NO"),IF(D1973="SELL",IF(K1973&lt;0,"YES","NO"),""))))</f>
        <v/>
      </c>
    </row>
    <row r="1974" ht="15" customHeight="1">
      <c r="K1974" s="26">
        <f>IF(H1974="","",(H1974-G1974)/G1974)</f>
        <v/>
      </c>
      <c r="L1974" s="26">
        <f>IF(I1974="","",(I1974-G1974)/G1974)</f>
        <v/>
      </c>
      <c r="M1974" s="26">
        <f>IF(J1974="","",(J1974-G1974)/G1974)</f>
        <v/>
      </c>
      <c r="N1974" s="27">
        <f>IF(H1974="","",IF(D1974="HOLD",IF(ABS(K1974)&lt;0.03,"YES","NO"),IF(D1974="BUY",IF(K1974&gt;0,"YES","NO"),IF(D1974="SELL",IF(K1974&lt;0,"YES","NO"),""))))</f>
        <v/>
      </c>
    </row>
    <row r="1975" ht="15" customHeight="1">
      <c r="K1975" s="26">
        <f>IF(H1975="","",(H1975-G1975)/G1975)</f>
        <v/>
      </c>
      <c r="L1975" s="26">
        <f>IF(I1975="","",(I1975-G1975)/G1975)</f>
        <v/>
      </c>
      <c r="M1975" s="26">
        <f>IF(J1975="","",(J1975-G1975)/G1975)</f>
        <v/>
      </c>
      <c r="N1975" s="27">
        <f>IF(H1975="","",IF(D1975="HOLD",IF(ABS(K1975)&lt;0.03,"YES","NO"),IF(D1975="BUY",IF(K1975&gt;0,"YES","NO"),IF(D1975="SELL",IF(K1975&lt;0,"YES","NO"),""))))</f>
        <v/>
      </c>
    </row>
    <row r="1976" ht="15" customHeight="1">
      <c r="K1976" s="26">
        <f>IF(H1976="","",(H1976-G1976)/G1976)</f>
        <v/>
      </c>
      <c r="L1976" s="26">
        <f>IF(I1976="","",(I1976-G1976)/G1976)</f>
        <v/>
      </c>
      <c r="M1976" s="26">
        <f>IF(J1976="","",(J1976-G1976)/G1976)</f>
        <v/>
      </c>
      <c r="N1976" s="27">
        <f>IF(H1976="","",IF(D1976="HOLD",IF(ABS(K1976)&lt;0.03,"YES","NO"),IF(D1976="BUY",IF(K1976&gt;0,"YES","NO"),IF(D1976="SELL",IF(K1976&lt;0,"YES","NO"),""))))</f>
        <v/>
      </c>
    </row>
    <row r="1977" ht="15" customHeight="1">
      <c r="K1977" s="26">
        <f>IF(H1977="","",(H1977-G1977)/G1977)</f>
        <v/>
      </c>
      <c r="L1977" s="26">
        <f>IF(I1977="","",(I1977-G1977)/G1977)</f>
        <v/>
      </c>
      <c r="M1977" s="26">
        <f>IF(J1977="","",(J1977-G1977)/G1977)</f>
        <v/>
      </c>
      <c r="N1977" s="27">
        <f>IF(H1977="","",IF(D1977="HOLD",IF(ABS(K1977)&lt;0.03,"YES","NO"),IF(D1977="BUY",IF(K1977&gt;0,"YES","NO"),IF(D1977="SELL",IF(K1977&lt;0,"YES","NO"),""))))</f>
        <v/>
      </c>
    </row>
    <row r="1978" ht="15" customHeight="1">
      <c r="K1978" s="26">
        <f>IF(H1978="","",(H1978-G1978)/G1978)</f>
        <v/>
      </c>
      <c r="L1978" s="26">
        <f>IF(I1978="","",(I1978-G1978)/G1978)</f>
        <v/>
      </c>
      <c r="M1978" s="26">
        <f>IF(J1978="","",(J1978-G1978)/G1978)</f>
        <v/>
      </c>
      <c r="N1978" s="27">
        <f>IF(H1978="","",IF(D1978="HOLD",IF(ABS(K1978)&lt;0.03,"YES","NO"),IF(D1978="BUY",IF(K1978&gt;0,"YES","NO"),IF(D1978="SELL",IF(K1978&lt;0,"YES","NO"),""))))</f>
        <v/>
      </c>
    </row>
    <row r="1979" ht="15" customHeight="1">
      <c r="K1979" s="26">
        <f>IF(H1979="","",(H1979-G1979)/G1979)</f>
        <v/>
      </c>
      <c r="L1979" s="26">
        <f>IF(I1979="","",(I1979-G1979)/G1979)</f>
        <v/>
      </c>
      <c r="M1979" s="26">
        <f>IF(J1979="","",(J1979-G1979)/G1979)</f>
        <v/>
      </c>
      <c r="N1979" s="27">
        <f>IF(H1979="","",IF(D1979="HOLD",IF(ABS(K1979)&lt;0.03,"YES","NO"),IF(D1979="BUY",IF(K1979&gt;0,"YES","NO"),IF(D1979="SELL",IF(K1979&lt;0,"YES","NO"),""))))</f>
        <v/>
      </c>
    </row>
    <row r="1980" ht="15" customHeight="1">
      <c r="K1980" s="26">
        <f>IF(H1980="","",(H1980-G1980)/G1980)</f>
        <v/>
      </c>
      <c r="L1980" s="26">
        <f>IF(I1980="","",(I1980-G1980)/G1980)</f>
        <v/>
      </c>
      <c r="M1980" s="26">
        <f>IF(J1980="","",(J1980-G1980)/G1980)</f>
        <v/>
      </c>
      <c r="N1980" s="27">
        <f>IF(H1980="","",IF(D1980="HOLD",IF(ABS(K1980)&lt;0.03,"YES","NO"),IF(D1980="BUY",IF(K1980&gt;0,"YES","NO"),IF(D1980="SELL",IF(K1980&lt;0,"YES","NO"),""))))</f>
        <v/>
      </c>
    </row>
    <row r="1981" ht="15" customHeight="1">
      <c r="K1981" s="26">
        <f>IF(H1981="","",(H1981-G1981)/G1981)</f>
        <v/>
      </c>
      <c r="L1981" s="26">
        <f>IF(I1981="","",(I1981-G1981)/G1981)</f>
        <v/>
      </c>
      <c r="M1981" s="26">
        <f>IF(J1981="","",(J1981-G1981)/G1981)</f>
        <v/>
      </c>
      <c r="N1981" s="27">
        <f>IF(H1981="","",IF(D1981="HOLD",IF(ABS(K1981)&lt;0.03,"YES","NO"),IF(D1981="BUY",IF(K1981&gt;0,"YES","NO"),IF(D1981="SELL",IF(K1981&lt;0,"YES","NO"),""))))</f>
        <v/>
      </c>
    </row>
    <row r="1982" ht="15" customHeight="1">
      <c r="K1982" s="26">
        <f>IF(H1982="","",(H1982-G1982)/G1982)</f>
        <v/>
      </c>
      <c r="L1982" s="26">
        <f>IF(I1982="","",(I1982-G1982)/G1982)</f>
        <v/>
      </c>
      <c r="M1982" s="26">
        <f>IF(J1982="","",(J1982-G1982)/G1982)</f>
        <v/>
      </c>
      <c r="N1982" s="27">
        <f>IF(H1982="","",IF(D1982="HOLD",IF(ABS(K1982)&lt;0.03,"YES","NO"),IF(D1982="BUY",IF(K1982&gt;0,"YES","NO"),IF(D1982="SELL",IF(K1982&lt;0,"YES","NO"),""))))</f>
        <v/>
      </c>
    </row>
    <row r="1983" ht="15" customHeight="1">
      <c r="K1983" s="26">
        <f>IF(H1983="","",(H1983-G1983)/G1983)</f>
        <v/>
      </c>
      <c r="L1983" s="26">
        <f>IF(I1983="","",(I1983-G1983)/G1983)</f>
        <v/>
      </c>
      <c r="M1983" s="26">
        <f>IF(J1983="","",(J1983-G1983)/G1983)</f>
        <v/>
      </c>
      <c r="N1983" s="27">
        <f>IF(H1983="","",IF(D1983="HOLD",IF(ABS(K1983)&lt;0.03,"YES","NO"),IF(D1983="BUY",IF(K1983&gt;0,"YES","NO"),IF(D1983="SELL",IF(K1983&lt;0,"YES","NO"),""))))</f>
        <v/>
      </c>
    </row>
    <row r="1984" ht="15" customHeight="1">
      <c r="K1984" s="26">
        <f>IF(H1984="","",(H1984-G1984)/G1984)</f>
        <v/>
      </c>
      <c r="L1984" s="26">
        <f>IF(I1984="","",(I1984-G1984)/G1984)</f>
        <v/>
      </c>
      <c r="M1984" s="26">
        <f>IF(J1984="","",(J1984-G1984)/G1984)</f>
        <v/>
      </c>
      <c r="N1984" s="27">
        <f>IF(H1984="","",IF(D1984="HOLD",IF(ABS(K1984)&lt;0.03,"YES","NO"),IF(D1984="BUY",IF(K1984&gt;0,"YES","NO"),IF(D1984="SELL",IF(K1984&lt;0,"YES","NO"),""))))</f>
        <v/>
      </c>
    </row>
    <row r="1985" ht="15" customHeight="1">
      <c r="K1985" s="26">
        <f>IF(H1985="","",(H1985-G1985)/G1985)</f>
        <v/>
      </c>
      <c r="L1985" s="26">
        <f>IF(I1985="","",(I1985-G1985)/G1985)</f>
        <v/>
      </c>
      <c r="M1985" s="26">
        <f>IF(J1985="","",(J1985-G1985)/G1985)</f>
        <v/>
      </c>
      <c r="N1985" s="27">
        <f>IF(H1985="","",IF(D1985="HOLD",IF(ABS(K1985)&lt;0.03,"YES","NO"),IF(D1985="BUY",IF(K1985&gt;0,"YES","NO"),IF(D1985="SELL",IF(K1985&lt;0,"YES","NO"),""))))</f>
        <v/>
      </c>
    </row>
    <row r="1986" ht="15" customHeight="1">
      <c r="K1986" s="26">
        <f>IF(H1986="","",(H1986-G1986)/G1986)</f>
        <v/>
      </c>
      <c r="L1986" s="26">
        <f>IF(I1986="","",(I1986-G1986)/G1986)</f>
        <v/>
      </c>
      <c r="M1986" s="26">
        <f>IF(J1986="","",(J1986-G1986)/G1986)</f>
        <v/>
      </c>
      <c r="N1986" s="27">
        <f>IF(H1986="","",IF(D1986="HOLD",IF(ABS(K1986)&lt;0.03,"YES","NO"),IF(D1986="BUY",IF(K1986&gt;0,"YES","NO"),IF(D1986="SELL",IF(K1986&lt;0,"YES","NO"),""))))</f>
        <v/>
      </c>
    </row>
    <row r="1987" ht="15" customHeight="1">
      <c r="K1987" s="26">
        <f>IF(H1987="","",(H1987-G1987)/G1987)</f>
        <v/>
      </c>
      <c r="L1987" s="26">
        <f>IF(I1987="","",(I1987-G1987)/G1987)</f>
        <v/>
      </c>
      <c r="M1987" s="26">
        <f>IF(J1987="","",(J1987-G1987)/G1987)</f>
        <v/>
      </c>
      <c r="N1987" s="27">
        <f>IF(H1987="","",IF(D1987="HOLD",IF(ABS(K1987)&lt;0.03,"YES","NO"),IF(D1987="BUY",IF(K1987&gt;0,"YES","NO"),IF(D1987="SELL",IF(K1987&lt;0,"YES","NO"),""))))</f>
        <v/>
      </c>
    </row>
    <row r="1988" ht="15" customHeight="1">
      <c r="K1988" s="26">
        <f>IF(H1988="","",(H1988-G1988)/G1988)</f>
        <v/>
      </c>
      <c r="L1988" s="26">
        <f>IF(I1988="","",(I1988-G1988)/G1988)</f>
        <v/>
      </c>
      <c r="M1988" s="26">
        <f>IF(J1988="","",(J1988-G1988)/G1988)</f>
        <v/>
      </c>
      <c r="N1988" s="27">
        <f>IF(H1988="","",IF(D1988="HOLD",IF(ABS(K1988)&lt;0.03,"YES","NO"),IF(D1988="BUY",IF(K1988&gt;0,"YES","NO"),IF(D1988="SELL",IF(K1988&lt;0,"YES","NO"),""))))</f>
        <v/>
      </c>
    </row>
    <row r="1989" ht="15" customHeight="1">
      <c r="K1989" s="26">
        <f>IF(H1989="","",(H1989-G1989)/G1989)</f>
        <v/>
      </c>
      <c r="L1989" s="26">
        <f>IF(I1989="","",(I1989-G1989)/G1989)</f>
        <v/>
      </c>
      <c r="M1989" s="26">
        <f>IF(J1989="","",(J1989-G1989)/G1989)</f>
        <v/>
      </c>
      <c r="N1989" s="27">
        <f>IF(H1989="","",IF(D1989="HOLD",IF(ABS(K1989)&lt;0.03,"YES","NO"),IF(D1989="BUY",IF(K1989&gt;0,"YES","NO"),IF(D1989="SELL",IF(K1989&lt;0,"YES","NO"),""))))</f>
        <v/>
      </c>
    </row>
    <row r="1990" ht="15" customHeight="1">
      <c r="K1990" s="26">
        <f>IF(H1990="","",(H1990-G1990)/G1990)</f>
        <v/>
      </c>
      <c r="L1990" s="26">
        <f>IF(I1990="","",(I1990-G1990)/G1990)</f>
        <v/>
      </c>
      <c r="M1990" s="26">
        <f>IF(J1990="","",(J1990-G1990)/G1990)</f>
        <v/>
      </c>
      <c r="N1990" s="27">
        <f>IF(H1990="","",IF(D1990="HOLD",IF(ABS(K1990)&lt;0.03,"YES","NO"),IF(D1990="BUY",IF(K1990&gt;0,"YES","NO"),IF(D1990="SELL",IF(K1990&lt;0,"YES","NO"),""))))</f>
        <v/>
      </c>
    </row>
    <row r="1991" ht="15" customHeight="1">
      <c r="K1991" s="26">
        <f>IF(H1991="","",(H1991-G1991)/G1991)</f>
        <v/>
      </c>
      <c r="L1991" s="26">
        <f>IF(I1991="","",(I1991-G1991)/G1991)</f>
        <v/>
      </c>
      <c r="M1991" s="26">
        <f>IF(J1991="","",(J1991-G1991)/G1991)</f>
        <v/>
      </c>
      <c r="N1991" s="27">
        <f>IF(H1991="","",IF(D1991="HOLD",IF(ABS(K1991)&lt;0.03,"YES","NO"),IF(D1991="BUY",IF(K1991&gt;0,"YES","NO"),IF(D1991="SELL",IF(K1991&lt;0,"YES","NO"),""))))</f>
        <v/>
      </c>
    </row>
    <row r="1992" ht="15" customHeight="1">
      <c r="K1992" s="26">
        <f>IF(H1992="","",(H1992-G1992)/G1992)</f>
        <v/>
      </c>
      <c r="L1992" s="26">
        <f>IF(I1992="","",(I1992-G1992)/G1992)</f>
        <v/>
      </c>
      <c r="M1992" s="26">
        <f>IF(J1992="","",(J1992-G1992)/G1992)</f>
        <v/>
      </c>
      <c r="N1992" s="27">
        <f>IF(H1992="","",IF(D1992="HOLD",IF(ABS(K1992)&lt;0.03,"YES","NO"),IF(D1992="BUY",IF(K1992&gt;0,"YES","NO"),IF(D1992="SELL",IF(K1992&lt;0,"YES","NO"),""))))</f>
        <v/>
      </c>
    </row>
    <row r="1993" ht="15" customHeight="1">
      <c r="K1993" s="26">
        <f>IF(H1993="","",(H1993-G1993)/G1993)</f>
        <v/>
      </c>
      <c r="L1993" s="26">
        <f>IF(I1993="","",(I1993-G1993)/G1993)</f>
        <v/>
      </c>
      <c r="M1993" s="26">
        <f>IF(J1993="","",(J1993-G1993)/G1993)</f>
        <v/>
      </c>
      <c r="N1993" s="27">
        <f>IF(H1993="","",IF(D1993="HOLD",IF(ABS(K1993)&lt;0.03,"YES","NO"),IF(D1993="BUY",IF(K1993&gt;0,"YES","NO"),IF(D1993="SELL",IF(K1993&lt;0,"YES","NO"),""))))</f>
        <v/>
      </c>
    </row>
    <row r="1994" ht="15" customHeight="1">
      <c r="K1994" s="26">
        <f>IF(H1994="","",(H1994-G1994)/G1994)</f>
        <v/>
      </c>
      <c r="L1994" s="26">
        <f>IF(I1994="","",(I1994-G1994)/G1994)</f>
        <v/>
      </c>
      <c r="M1994" s="26">
        <f>IF(J1994="","",(J1994-G1994)/G1994)</f>
        <v/>
      </c>
      <c r="N1994" s="27">
        <f>IF(H1994="","",IF(D1994="HOLD",IF(ABS(K1994)&lt;0.03,"YES","NO"),IF(D1994="BUY",IF(K1994&gt;0,"YES","NO"),IF(D1994="SELL",IF(K1994&lt;0,"YES","NO"),""))))</f>
        <v/>
      </c>
    </row>
    <row r="1995" ht="15" customHeight="1">
      <c r="K1995" s="26">
        <f>IF(H1995="","",(H1995-G1995)/G1995)</f>
        <v/>
      </c>
      <c r="L1995" s="26">
        <f>IF(I1995="","",(I1995-G1995)/G1995)</f>
        <v/>
      </c>
      <c r="M1995" s="26">
        <f>IF(J1995="","",(J1995-G1995)/G1995)</f>
        <v/>
      </c>
      <c r="N1995" s="27">
        <f>IF(H1995="","",IF(D1995="HOLD",IF(ABS(K1995)&lt;0.03,"YES","NO"),IF(D1995="BUY",IF(K1995&gt;0,"YES","NO"),IF(D1995="SELL",IF(K1995&lt;0,"YES","NO"),""))))</f>
        <v/>
      </c>
    </row>
    <row r="1996" ht="15" customHeight="1">
      <c r="K1996" s="26">
        <f>IF(H1996="","",(H1996-G1996)/G1996)</f>
        <v/>
      </c>
      <c r="L1996" s="26">
        <f>IF(I1996="","",(I1996-G1996)/G1996)</f>
        <v/>
      </c>
      <c r="M1996" s="26">
        <f>IF(J1996="","",(J1996-G1996)/G1996)</f>
        <v/>
      </c>
      <c r="N1996" s="27">
        <f>IF(H1996="","",IF(D1996="HOLD",IF(ABS(K1996)&lt;0.03,"YES","NO"),IF(D1996="BUY",IF(K1996&gt;0,"YES","NO"),IF(D1996="SELL",IF(K1996&lt;0,"YES","NO"),""))))</f>
        <v/>
      </c>
    </row>
    <row r="1997" ht="15" customHeight="1">
      <c r="K1997" s="26">
        <f>IF(H1997="","",(H1997-G1997)/G1997)</f>
        <v/>
      </c>
      <c r="L1997" s="26">
        <f>IF(I1997="","",(I1997-G1997)/G1997)</f>
        <v/>
      </c>
      <c r="M1997" s="26">
        <f>IF(J1997="","",(J1997-G1997)/G1997)</f>
        <v/>
      </c>
      <c r="N1997" s="27">
        <f>IF(H1997="","",IF(D1997="HOLD",IF(ABS(K1997)&lt;0.03,"YES","NO"),IF(D1997="BUY",IF(K1997&gt;0,"YES","NO"),IF(D1997="SELL",IF(K1997&lt;0,"YES","NO"),""))))</f>
        <v/>
      </c>
    </row>
    <row r="1998" ht="15" customHeight="1">
      <c r="K1998" s="26">
        <f>IF(H1998="","",(H1998-G1998)/G1998)</f>
        <v/>
      </c>
      <c r="L1998" s="26">
        <f>IF(I1998="","",(I1998-G1998)/G1998)</f>
        <v/>
      </c>
      <c r="M1998" s="26">
        <f>IF(J1998="","",(J1998-G1998)/G1998)</f>
        <v/>
      </c>
      <c r="N1998" s="27">
        <f>IF(H1998="","",IF(D1998="HOLD",IF(ABS(K1998)&lt;0.03,"YES","NO"),IF(D1998="BUY",IF(K1998&gt;0,"YES","NO"),IF(D1998="SELL",IF(K1998&lt;0,"YES","NO"),""))))</f>
        <v/>
      </c>
    </row>
    <row r="1999" ht="15" customHeight="1">
      <c r="K1999" s="26">
        <f>IF(H1999="","",(H1999-G1999)/G1999)</f>
        <v/>
      </c>
      <c r="L1999" s="26">
        <f>IF(I1999="","",(I1999-G1999)/G1999)</f>
        <v/>
      </c>
      <c r="M1999" s="26">
        <f>IF(J1999="","",(J1999-G1999)/G1999)</f>
        <v/>
      </c>
      <c r="N1999" s="27">
        <f>IF(H1999="","",IF(D1999="HOLD",IF(ABS(K1999)&lt;0.03,"YES","NO"),IF(D1999="BUY",IF(K1999&gt;0,"YES","NO"),IF(D1999="SELL",IF(K1999&lt;0,"YES","NO"),""))))</f>
        <v/>
      </c>
    </row>
    <row r="2000" ht="15" customHeight="1">
      <c r="K2000" s="26">
        <f>IF(H2000="","",(H2000-G2000)/G2000)</f>
        <v/>
      </c>
      <c r="L2000" s="26">
        <f>IF(I2000="","",(I2000-G2000)/G2000)</f>
        <v/>
      </c>
      <c r="M2000" s="26">
        <f>IF(J2000="","",(J2000-G2000)/G2000)</f>
        <v/>
      </c>
      <c r="N2000" s="27">
        <f>IF(H2000="","",IF(D2000="HOLD",IF(ABS(K2000)&lt;0.03,"YES","NO"),IF(D2000="BUY",IF(K2000&gt;0,"YES","NO"),IF(D2000="SELL",IF(K2000&lt;0,"YES","NO"),""))))</f>
        <v/>
      </c>
    </row>
    <row r="2001" ht="15" customHeight="1">
      <c r="K2001" s="26" t="n"/>
      <c r="L2001" s="26" t="n"/>
      <c r="M2001" s="26" t="n"/>
      <c r="N2001" s="27" t="n"/>
    </row>
    <row r="2002" ht="15" customHeight="1">
      <c r="K2002" s="26" t="n"/>
      <c r="L2002" s="26" t="n"/>
      <c r="M2002" s="26" t="n"/>
      <c r="N2002" s="27" t="n"/>
    </row>
    <row r="2003" ht="15" customHeight="1">
      <c r="K2003" s="26" t="n"/>
      <c r="L2003" s="26" t="n"/>
      <c r="M2003" s="26" t="n"/>
      <c r="N2003" s="27" t="n"/>
    </row>
    <row r="2004" ht="15" customHeight="1">
      <c r="K2004" s="26" t="n"/>
      <c r="L2004" s="26" t="n"/>
      <c r="M2004" s="26" t="n"/>
      <c r="N2004" s="27" t="n"/>
    </row>
    <row r="2005" ht="15" customHeight="1">
      <c r="K2005" s="26" t="n"/>
      <c r="L2005" s="26" t="n"/>
      <c r="M2005" s="26" t="n"/>
      <c r="N2005" s="27" t="n"/>
    </row>
    <row r="2006" ht="15" customHeight="1">
      <c r="K2006" s="26" t="n"/>
      <c r="L2006" s="26" t="n"/>
      <c r="M2006" s="26" t="n"/>
      <c r="N2006" s="27" t="n"/>
    </row>
    <row r="2007" ht="15" customHeight="1">
      <c r="K2007" s="26" t="n"/>
      <c r="L2007" s="26" t="n"/>
      <c r="M2007" s="26" t="n"/>
      <c r="N2007" s="27" t="n"/>
    </row>
    <row r="2008" ht="15" customHeight="1">
      <c r="K2008" s="26" t="n"/>
      <c r="L2008" s="26" t="n"/>
      <c r="M2008" s="26" t="n"/>
      <c r="N2008" s="27" t="n"/>
    </row>
    <row r="2009" ht="15" customHeight="1">
      <c r="K2009" s="26" t="n"/>
      <c r="L2009" s="26" t="n"/>
      <c r="M2009" s="26" t="n"/>
      <c r="N2009" s="27" t="n"/>
    </row>
    <row r="2010" ht="15" customHeight="1">
      <c r="K2010" s="26" t="n"/>
      <c r="L2010" s="26" t="n"/>
      <c r="M2010" s="26" t="n"/>
      <c r="N2010" s="27" t="n"/>
    </row>
    <row r="2011" ht="15" customHeight="1">
      <c r="K2011" s="26" t="n"/>
      <c r="L2011" s="26" t="n"/>
      <c r="M2011" s="26" t="n"/>
      <c r="N2011" s="27" t="n"/>
    </row>
    <row r="2012" ht="15" customHeight="1">
      <c r="K2012" s="26" t="n"/>
      <c r="L2012" s="26" t="n"/>
      <c r="M2012" s="26" t="n"/>
      <c r="N2012" s="27" t="n"/>
    </row>
    <row r="2013" ht="15" customHeight="1">
      <c r="K2013" s="26" t="n"/>
      <c r="L2013" s="26" t="n"/>
      <c r="M2013" s="26" t="n"/>
      <c r="N2013" s="27" t="n"/>
    </row>
    <row r="2014" ht="15" customHeight="1">
      <c r="K2014" s="26" t="n"/>
      <c r="L2014" s="26" t="n"/>
      <c r="M2014" s="26" t="n"/>
      <c r="N2014" s="27" t="n"/>
    </row>
    <row r="2015" ht="15" customHeight="1">
      <c r="K2015" s="26" t="n"/>
      <c r="L2015" s="26" t="n"/>
      <c r="M2015" s="26" t="n"/>
      <c r="N2015" s="27" t="n"/>
    </row>
    <row r="2016" ht="15" customHeight="1">
      <c r="K2016" s="26" t="n"/>
      <c r="L2016" s="26" t="n"/>
      <c r="M2016" s="26" t="n"/>
      <c r="N2016" s="27" t="n"/>
    </row>
    <row r="2017" ht="15" customHeight="1">
      <c r="K2017" s="26" t="n"/>
      <c r="L2017" s="26" t="n"/>
      <c r="M2017" s="26" t="n"/>
      <c r="N2017" s="27" t="n"/>
    </row>
    <row r="2018" ht="15" customHeight="1">
      <c r="K2018" s="26" t="n"/>
      <c r="L2018" s="26" t="n"/>
      <c r="M2018" s="26" t="n"/>
      <c r="N2018" s="27" t="n"/>
    </row>
    <row r="2019" ht="15" customHeight="1">
      <c r="K2019" s="26" t="n"/>
      <c r="L2019" s="26" t="n"/>
      <c r="M2019" s="26" t="n"/>
      <c r="N2019" s="27" t="n"/>
    </row>
    <row r="2020" ht="15" customHeight="1">
      <c r="K2020" s="26" t="n"/>
      <c r="L2020" s="26" t="n"/>
      <c r="M2020" s="26" t="n"/>
      <c r="N2020" s="27" t="n"/>
    </row>
    <row r="2021" ht="15" customHeight="1">
      <c r="K2021" s="26" t="n"/>
      <c r="L2021" s="26" t="n"/>
      <c r="M2021" s="26" t="n"/>
      <c r="N2021" s="27" t="n"/>
    </row>
    <row r="2022" ht="15" customHeight="1">
      <c r="K2022" s="26" t="n"/>
      <c r="L2022" s="26" t="n"/>
      <c r="M2022" s="26" t="n"/>
      <c r="N2022" s="27" t="n"/>
    </row>
    <row r="2023" ht="15" customHeight="1">
      <c r="K2023" s="26" t="n"/>
      <c r="L2023" s="26" t="n"/>
      <c r="M2023" s="26" t="n"/>
      <c r="N2023" s="27" t="n"/>
    </row>
    <row r="2024" ht="15" customHeight="1">
      <c r="K2024" s="26" t="n"/>
      <c r="L2024" s="26" t="n"/>
      <c r="M2024" s="26" t="n"/>
      <c r="N2024" s="27" t="n"/>
    </row>
    <row r="2025" ht="15" customHeight="1">
      <c r="K2025" s="26" t="n"/>
      <c r="L2025" s="26" t="n"/>
      <c r="M2025" s="26" t="n"/>
      <c r="N2025" s="27" t="n"/>
    </row>
    <row r="2026" ht="15" customHeight="1">
      <c r="K2026" s="26" t="n"/>
      <c r="L2026" s="26" t="n"/>
      <c r="M2026" s="26" t="n"/>
      <c r="N2026" s="27" t="n"/>
    </row>
    <row r="2027" ht="15" customHeight="1">
      <c r="K2027" s="26" t="n"/>
      <c r="L2027" s="26" t="n"/>
      <c r="M2027" s="26" t="n"/>
      <c r="N2027" s="27" t="n"/>
    </row>
    <row r="2028" ht="15" customHeight="1">
      <c r="K2028" s="26" t="n"/>
      <c r="L2028" s="26" t="n"/>
      <c r="M2028" s="26" t="n"/>
      <c r="N2028" s="27" t="n"/>
    </row>
    <row r="2029" ht="15" customHeight="1">
      <c r="K2029" s="26" t="n"/>
      <c r="L2029" s="26" t="n"/>
      <c r="M2029" s="26" t="n"/>
      <c r="N2029" s="27" t="n"/>
    </row>
    <row r="2030" ht="15" customHeight="1">
      <c r="K2030" s="26" t="n"/>
      <c r="L2030" s="26" t="n"/>
      <c r="M2030" s="26" t="n"/>
      <c r="N2030" s="27" t="n"/>
    </row>
    <row r="2031" ht="15" customHeight="1">
      <c r="K2031" s="26" t="n"/>
      <c r="L2031" s="26" t="n"/>
      <c r="M2031" s="26" t="n"/>
      <c r="N2031" s="27" t="n"/>
    </row>
    <row r="2032" ht="15" customHeight="1">
      <c r="K2032" s="26" t="n"/>
      <c r="L2032" s="26" t="n"/>
      <c r="M2032" s="26" t="n"/>
      <c r="N2032" s="27" t="n"/>
    </row>
    <row r="2033" ht="15" customHeight="1">
      <c r="K2033" s="26" t="n"/>
      <c r="L2033" s="26" t="n"/>
      <c r="M2033" s="26" t="n"/>
      <c r="N2033" s="27" t="n"/>
    </row>
    <row r="2034" ht="15" customHeight="1">
      <c r="K2034" s="26" t="n"/>
      <c r="L2034" s="26" t="n"/>
      <c r="M2034" s="26" t="n"/>
      <c r="N2034" s="27" t="n"/>
    </row>
    <row r="2035" ht="15" customHeight="1">
      <c r="K2035" s="26" t="n"/>
      <c r="L2035" s="26" t="n"/>
      <c r="M2035" s="26" t="n"/>
      <c r="N2035" s="27" t="n"/>
    </row>
    <row r="2036" ht="15" customHeight="1">
      <c r="K2036" s="26" t="n"/>
      <c r="L2036" s="26" t="n"/>
      <c r="M2036" s="26" t="n"/>
      <c r="N2036" s="27" t="n"/>
    </row>
    <row r="2037" ht="15" customHeight="1">
      <c r="K2037" s="26" t="n"/>
      <c r="L2037" s="26" t="n"/>
      <c r="M2037" s="26" t="n"/>
      <c r="N2037" s="27" t="n"/>
    </row>
    <row r="2038" ht="15" customHeight="1">
      <c r="K2038" s="26" t="n"/>
      <c r="L2038" s="26" t="n"/>
      <c r="M2038" s="26" t="n"/>
      <c r="N2038" s="27" t="n"/>
    </row>
    <row r="2039" ht="15" customHeight="1">
      <c r="K2039" s="26" t="n"/>
      <c r="L2039" s="26" t="n"/>
      <c r="M2039" s="26" t="n"/>
      <c r="N2039" s="27" t="n"/>
    </row>
    <row r="2040" ht="15" customHeight="1">
      <c r="K2040" s="26" t="n"/>
      <c r="L2040" s="26" t="n"/>
      <c r="M2040" s="26" t="n"/>
      <c r="N2040" s="27" t="n"/>
    </row>
    <row r="2041" ht="15" customHeight="1">
      <c r="K2041" s="26" t="n"/>
      <c r="L2041" s="26" t="n"/>
      <c r="M2041" s="26" t="n"/>
      <c r="N2041" s="27" t="n"/>
    </row>
    <row r="2042" ht="15" customHeight="1">
      <c r="K2042" s="26" t="n"/>
      <c r="L2042" s="26" t="n"/>
      <c r="M2042" s="26" t="n"/>
      <c r="N2042" s="27" t="n"/>
    </row>
    <row r="2043" ht="15" customHeight="1">
      <c r="K2043" s="26" t="n"/>
      <c r="L2043" s="26" t="n"/>
      <c r="M2043" s="26" t="n"/>
      <c r="N2043" s="27" t="n"/>
    </row>
    <row r="2044" ht="15" customHeight="1">
      <c r="K2044" s="26" t="n"/>
      <c r="L2044" s="26" t="n"/>
      <c r="M2044" s="26" t="n"/>
      <c r="N2044" s="27" t="n"/>
    </row>
    <row r="2045" ht="15" customHeight="1">
      <c r="K2045" s="26" t="n"/>
      <c r="L2045" s="26" t="n"/>
      <c r="M2045" s="26" t="n"/>
      <c r="N2045" s="27" t="n"/>
    </row>
    <row r="2046" ht="15" customHeight="1">
      <c r="K2046" s="26" t="n"/>
      <c r="L2046" s="26" t="n"/>
      <c r="M2046" s="26" t="n"/>
      <c r="N2046" s="27" t="n"/>
    </row>
    <row r="2047" ht="15" customHeight="1">
      <c r="K2047" s="26" t="n"/>
      <c r="L2047" s="26" t="n"/>
      <c r="M2047" s="26" t="n"/>
      <c r="N2047" s="27" t="n"/>
    </row>
    <row r="2048" ht="15" customHeight="1">
      <c r="K2048" s="26" t="n"/>
      <c r="L2048" s="26" t="n"/>
      <c r="M2048" s="26" t="n"/>
      <c r="N2048" s="27" t="n"/>
    </row>
    <row r="2049" ht="15" customHeight="1">
      <c r="K2049" s="26" t="n"/>
      <c r="L2049" s="26" t="n"/>
      <c r="M2049" s="26" t="n"/>
      <c r="N2049" s="27" t="n"/>
    </row>
    <row r="2050" ht="15" customHeight="1">
      <c r="K2050" s="26" t="n"/>
      <c r="L2050" s="26" t="n"/>
      <c r="M2050" s="26" t="n"/>
      <c r="N2050" s="27" t="n"/>
    </row>
    <row r="2051" ht="15" customHeight="1">
      <c r="K2051" s="26" t="n"/>
      <c r="L2051" s="26" t="n"/>
      <c r="M2051" s="26" t="n"/>
      <c r="N2051" s="27" t="n"/>
    </row>
    <row r="2052" ht="15" customHeight="1">
      <c r="K2052" s="26" t="n"/>
      <c r="L2052" s="26" t="n"/>
      <c r="M2052" s="26" t="n"/>
      <c r="N2052" s="27" t="n"/>
    </row>
    <row r="2053" ht="15" customHeight="1">
      <c r="K2053" s="26" t="n"/>
      <c r="L2053" s="26" t="n"/>
      <c r="M2053" s="26" t="n"/>
      <c r="N2053" s="27" t="n"/>
    </row>
    <row r="2054" ht="15" customHeight="1">
      <c r="K2054" s="26" t="n"/>
      <c r="L2054" s="26" t="n"/>
      <c r="M2054" s="26" t="n"/>
      <c r="N2054" s="27" t="n"/>
    </row>
    <row r="2055" ht="15" customHeight="1">
      <c r="K2055" s="26" t="n"/>
      <c r="L2055" s="26" t="n"/>
      <c r="M2055" s="26" t="n"/>
      <c r="N2055" s="27" t="n"/>
    </row>
    <row r="2056" ht="15" customHeight="1">
      <c r="K2056" s="26" t="n"/>
      <c r="L2056" s="26" t="n"/>
      <c r="M2056" s="26" t="n"/>
      <c r="N2056" s="27" t="n"/>
    </row>
    <row r="2057" ht="15" customHeight="1">
      <c r="K2057" s="26" t="n"/>
      <c r="L2057" s="26" t="n"/>
      <c r="M2057" s="26" t="n"/>
      <c r="N2057" s="27" t="n"/>
    </row>
    <row r="2058" ht="15" customHeight="1">
      <c r="K2058" s="26" t="n"/>
      <c r="L2058" s="26" t="n"/>
      <c r="M2058" s="26" t="n"/>
      <c r="N2058" s="27" t="n"/>
    </row>
    <row r="2059" ht="15" customHeight="1">
      <c r="K2059" s="26" t="n"/>
      <c r="L2059" s="26" t="n"/>
      <c r="M2059" s="26" t="n"/>
      <c r="N2059" s="27" t="n"/>
    </row>
    <row r="2060" ht="15" customHeight="1">
      <c r="K2060" s="26" t="n"/>
      <c r="L2060" s="26" t="n"/>
      <c r="M2060" s="26" t="n"/>
      <c r="N2060" s="27" t="n"/>
    </row>
    <row r="2061" ht="15" customHeight="1">
      <c r="K2061" s="26" t="n"/>
      <c r="L2061" s="26" t="n"/>
      <c r="M2061" s="26" t="n"/>
      <c r="N2061" s="27" t="n"/>
    </row>
    <row r="2062" ht="15" customHeight="1">
      <c r="K2062" s="26" t="n"/>
      <c r="L2062" s="26" t="n"/>
      <c r="M2062" s="26" t="n"/>
      <c r="N2062" s="27" t="n"/>
    </row>
    <row r="2063" ht="15" customHeight="1">
      <c r="K2063" s="26" t="n"/>
      <c r="L2063" s="26" t="n"/>
      <c r="M2063" s="26" t="n"/>
      <c r="N2063" s="27" t="n"/>
    </row>
    <row r="2064" ht="15" customHeight="1">
      <c r="K2064" s="26" t="n"/>
      <c r="L2064" s="26" t="n"/>
      <c r="M2064" s="26" t="n"/>
      <c r="N2064" s="27" t="n"/>
    </row>
    <row r="2065" ht="15" customHeight="1">
      <c r="K2065" s="26" t="n"/>
      <c r="L2065" s="26" t="n"/>
      <c r="M2065" s="26" t="n"/>
      <c r="N2065" s="27" t="n"/>
    </row>
    <row r="2066" ht="15" customHeight="1">
      <c r="K2066" s="26" t="n"/>
      <c r="L2066" s="26" t="n"/>
      <c r="M2066" s="26" t="n"/>
      <c r="N2066" s="27" t="n"/>
    </row>
    <row r="2067" ht="15" customHeight="1">
      <c r="K2067" s="26" t="n"/>
      <c r="L2067" s="26" t="n"/>
      <c r="M2067" s="26" t="n"/>
      <c r="N2067" s="27" t="n"/>
    </row>
    <row r="2068" ht="15" customHeight="1">
      <c r="K2068" s="26" t="n"/>
      <c r="L2068" s="26" t="n"/>
      <c r="M2068" s="26" t="n"/>
      <c r="N2068" s="27" t="n"/>
    </row>
    <row r="2069" ht="15" customHeight="1">
      <c r="K2069" s="26" t="n"/>
      <c r="L2069" s="26" t="n"/>
      <c r="M2069" s="26" t="n"/>
      <c r="N2069" s="27" t="n"/>
    </row>
    <row r="2070" ht="15" customHeight="1">
      <c r="K2070" s="26" t="n"/>
      <c r="L2070" s="26" t="n"/>
      <c r="M2070" s="26" t="n"/>
      <c r="N2070" s="27" t="n"/>
    </row>
    <row r="2071" ht="15" customHeight="1">
      <c r="K2071" s="26" t="n"/>
      <c r="L2071" s="26" t="n"/>
      <c r="M2071" s="26" t="n"/>
      <c r="N2071" s="27" t="n"/>
    </row>
    <row r="2072" ht="15" customHeight="1">
      <c r="K2072" s="26" t="n"/>
      <c r="L2072" s="26" t="n"/>
      <c r="M2072" s="26" t="n"/>
      <c r="N2072" s="27" t="n"/>
    </row>
    <row r="2073" ht="15" customHeight="1">
      <c r="K2073" s="26" t="n"/>
      <c r="L2073" s="26" t="n"/>
      <c r="M2073" s="26" t="n"/>
      <c r="N2073" s="27" t="n"/>
    </row>
    <row r="2074" ht="15" customHeight="1">
      <c r="K2074" s="26" t="n"/>
      <c r="L2074" s="26" t="n"/>
      <c r="M2074" s="26" t="n"/>
      <c r="N2074" s="27" t="n"/>
    </row>
    <row r="2075" ht="15" customHeight="1">
      <c r="K2075" s="26" t="n"/>
      <c r="L2075" s="26" t="n"/>
      <c r="M2075" s="26" t="n"/>
      <c r="N2075" s="27" t="n"/>
    </row>
    <row r="2076" ht="15" customHeight="1">
      <c r="K2076" s="26" t="n"/>
      <c r="L2076" s="26" t="n"/>
      <c r="M2076" s="26" t="n"/>
      <c r="N2076" s="27" t="n"/>
    </row>
    <row r="2077" ht="15" customHeight="1">
      <c r="K2077" s="26" t="n"/>
      <c r="L2077" s="26" t="n"/>
      <c r="M2077" s="26" t="n"/>
      <c r="N2077" s="27" t="n"/>
    </row>
    <row r="2078" ht="15" customHeight="1">
      <c r="K2078" s="26" t="n"/>
      <c r="L2078" s="26" t="n"/>
      <c r="M2078" s="26" t="n"/>
      <c r="N2078" s="27" t="n"/>
    </row>
    <row r="2079" ht="15" customHeight="1">
      <c r="K2079" s="26" t="n"/>
      <c r="L2079" s="26" t="n"/>
      <c r="M2079" s="26" t="n"/>
      <c r="N2079" s="27" t="n"/>
    </row>
    <row r="2080" ht="15" customHeight="1">
      <c r="K2080" s="26" t="n"/>
      <c r="L2080" s="26" t="n"/>
      <c r="M2080" s="26" t="n"/>
      <c r="N2080" s="27" t="n"/>
    </row>
    <row r="2081" ht="15" customHeight="1">
      <c r="K2081" s="26" t="n"/>
      <c r="L2081" s="26" t="n"/>
      <c r="M2081" s="26" t="n"/>
      <c r="N2081" s="27" t="n"/>
    </row>
    <row r="2082" ht="15" customHeight="1">
      <c r="K2082" s="26" t="n"/>
      <c r="L2082" s="26" t="n"/>
      <c r="M2082" s="26" t="n"/>
      <c r="N2082" s="27" t="n"/>
    </row>
    <row r="2083" ht="15" customHeight="1">
      <c r="K2083" s="26" t="n"/>
      <c r="L2083" s="26" t="n"/>
      <c r="M2083" s="26" t="n"/>
      <c r="N2083" s="27" t="n"/>
    </row>
    <row r="2084" ht="15" customHeight="1">
      <c r="K2084" s="26" t="n"/>
      <c r="L2084" s="26" t="n"/>
      <c r="M2084" s="26" t="n"/>
      <c r="N2084" s="27" t="n"/>
    </row>
    <row r="2085" ht="15" customHeight="1">
      <c r="K2085" s="26" t="n"/>
      <c r="L2085" s="26" t="n"/>
      <c r="M2085" s="26" t="n"/>
      <c r="N2085" s="27" t="n"/>
    </row>
    <row r="2086" ht="15" customHeight="1">
      <c r="K2086" s="26" t="n"/>
      <c r="L2086" s="26" t="n"/>
      <c r="M2086" s="26" t="n"/>
      <c r="N2086" s="27" t="n"/>
    </row>
    <row r="2087" ht="15" customHeight="1">
      <c r="K2087" s="26" t="n"/>
      <c r="L2087" s="26" t="n"/>
      <c r="M2087" s="26" t="n"/>
      <c r="N2087" s="27" t="n"/>
    </row>
    <row r="2088" ht="15" customHeight="1">
      <c r="K2088" s="26" t="n"/>
      <c r="L2088" s="26" t="n"/>
      <c r="M2088" s="26" t="n"/>
      <c r="N2088" s="27" t="n"/>
    </row>
    <row r="2089" ht="15" customHeight="1">
      <c r="K2089" s="26" t="n"/>
      <c r="L2089" s="26" t="n"/>
      <c r="M2089" s="26" t="n"/>
      <c r="N2089" s="27" t="n"/>
    </row>
    <row r="2090" ht="15" customHeight="1">
      <c r="K2090" s="26" t="n"/>
      <c r="L2090" s="26" t="n"/>
      <c r="M2090" s="26" t="n"/>
      <c r="N2090" s="27" t="n"/>
    </row>
    <row r="2091" ht="15" customHeight="1">
      <c r="K2091" s="26" t="n"/>
      <c r="L2091" s="26" t="n"/>
      <c r="M2091" s="26" t="n"/>
      <c r="N2091" s="27" t="n"/>
    </row>
    <row r="2092" ht="15" customHeight="1">
      <c r="K2092" s="26" t="n"/>
      <c r="L2092" s="26" t="n"/>
      <c r="M2092" s="26" t="n"/>
      <c r="N2092" s="27" t="n"/>
    </row>
    <row r="2093" ht="15" customHeight="1">
      <c r="K2093" s="26" t="n"/>
      <c r="L2093" s="26" t="n"/>
      <c r="M2093" s="26" t="n"/>
      <c r="N2093" s="27" t="n"/>
    </row>
    <row r="2094" ht="15" customHeight="1">
      <c r="K2094" s="26" t="n"/>
      <c r="L2094" s="26" t="n"/>
      <c r="M2094" s="26" t="n"/>
      <c r="N2094" s="27" t="n"/>
    </row>
    <row r="2095" ht="15" customHeight="1">
      <c r="K2095" s="26" t="n"/>
      <c r="L2095" s="26" t="n"/>
      <c r="M2095" s="26" t="n"/>
      <c r="N2095" s="27" t="n"/>
    </row>
    <row r="2096" ht="15" customHeight="1">
      <c r="K2096" s="26" t="n"/>
      <c r="L2096" s="26" t="n"/>
      <c r="M2096" s="26" t="n"/>
      <c r="N2096" s="27" t="n"/>
    </row>
    <row r="2097" ht="15" customHeight="1">
      <c r="K2097" s="26" t="n"/>
      <c r="L2097" s="26" t="n"/>
      <c r="M2097" s="26" t="n"/>
      <c r="N2097" s="27" t="n"/>
    </row>
    <row r="2098" ht="15" customHeight="1">
      <c r="K2098" s="26" t="n"/>
      <c r="L2098" s="26" t="n"/>
      <c r="M2098" s="26" t="n"/>
      <c r="N2098" s="27" t="n"/>
    </row>
    <row r="2099" ht="15" customHeight="1">
      <c r="K2099" s="26" t="n"/>
      <c r="L2099" s="26" t="n"/>
      <c r="M2099" s="26" t="n"/>
      <c r="N2099" s="27" t="n"/>
    </row>
    <row r="2100" ht="15" customHeight="1">
      <c r="K2100" s="26" t="n"/>
      <c r="L2100" s="26" t="n"/>
      <c r="M2100" s="26" t="n"/>
      <c r="N2100" s="27" t="n"/>
    </row>
    <row r="2101" ht="15" customHeight="1">
      <c r="K2101" s="26" t="n"/>
      <c r="L2101" s="26" t="n"/>
      <c r="M2101" s="26" t="n"/>
      <c r="N2101" s="27" t="n"/>
    </row>
    <row r="2102" ht="15" customHeight="1">
      <c r="K2102" s="26" t="n"/>
      <c r="L2102" s="26" t="n"/>
      <c r="M2102" s="26" t="n"/>
      <c r="N2102" s="27" t="n"/>
    </row>
    <row r="2103" ht="15" customHeight="1">
      <c r="K2103" s="26" t="n"/>
      <c r="L2103" s="26" t="n"/>
      <c r="M2103" s="26" t="n"/>
      <c r="N2103" s="27" t="n"/>
    </row>
    <row r="2104" ht="15" customHeight="1">
      <c r="K2104" s="26" t="n"/>
      <c r="L2104" s="26" t="n"/>
      <c r="M2104" s="26" t="n"/>
      <c r="N2104" s="27" t="n"/>
    </row>
    <row r="2105" ht="15" customHeight="1">
      <c r="K2105" s="26" t="n"/>
      <c r="L2105" s="26" t="n"/>
      <c r="M2105" s="26" t="n"/>
      <c r="N2105" s="27" t="n"/>
    </row>
    <row r="2106" ht="15" customHeight="1">
      <c r="K2106" s="26" t="n"/>
      <c r="L2106" s="26" t="n"/>
      <c r="M2106" s="26" t="n"/>
      <c r="N2106" s="27" t="n"/>
    </row>
    <row r="2107" ht="15" customHeight="1">
      <c r="K2107" s="26" t="n"/>
      <c r="L2107" s="26" t="n"/>
      <c r="M2107" s="26" t="n"/>
      <c r="N2107" s="27" t="n"/>
    </row>
    <row r="2108" ht="15" customHeight="1">
      <c r="K2108" s="26" t="n"/>
      <c r="L2108" s="26" t="n"/>
      <c r="M2108" s="26" t="n"/>
      <c r="N2108" s="27" t="n"/>
    </row>
    <row r="2109" ht="15" customHeight="1">
      <c r="K2109" s="26" t="n"/>
      <c r="L2109" s="26" t="n"/>
      <c r="M2109" s="26" t="n"/>
      <c r="N2109" s="27" t="n"/>
    </row>
    <row r="2110" ht="15" customHeight="1">
      <c r="K2110" s="26" t="n"/>
      <c r="L2110" s="26" t="n"/>
      <c r="M2110" s="26" t="n"/>
      <c r="N2110" s="27" t="n"/>
    </row>
    <row r="2111" ht="15" customHeight="1">
      <c r="K2111" s="26" t="n"/>
      <c r="L2111" s="26" t="n"/>
      <c r="M2111" s="26" t="n"/>
      <c r="N2111" s="27" t="n"/>
    </row>
    <row r="2112" ht="15" customHeight="1">
      <c r="K2112" s="26" t="n"/>
      <c r="L2112" s="26" t="n"/>
      <c r="M2112" s="26" t="n"/>
      <c r="N2112" s="27" t="n"/>
    </row>
    <row r="2113" ht="15" customHeight="1">
      <c r="K2113" s="26" t="n"/>
      <c r="L2113" s="26" t="n"/>
      <c r="M2113" s="26" t="n"/>
      <c r="N2113" s="27" t="n"/>
    </row>
    <row r="2114" ht="15" customHeight="1">
      <c r="K2114" s="26" t="n"/>
      <c r="L2114" s="26" t="n"/>
      <c r="M2114" s="26" t="n"/>
      <c r="N2114" s="27" t="n"/>
    </row>
    <row r="2115" ht="15" customHeight="1">
      <c r="K2115" s="26" t="n"/>
      <c r="L2115" s="26" t="n"/>
      <c r="M2115" s="26" t="n"/>
      <c r="N2115" s="27" t="n"/>
    </row>
    <row r="2116" ht="15" customHeight="1">
      <c r="K2116" s="26" t="n"/>
      <c r="L2116" s="26" t="n"/>
      <c r="M2116" s="26" t="n"/>
      <c r="N2116" s="27" t="n"/>
    </row>
    <row r="2117" ht="15" customHeight="1">
      <c r="K2117" s="26" t="n"/>
      <c r="L2117" s="26" t="n"/>
      <c r="M2117" s="26" t="n"/>
      <c r="N2117" s="27" t="n"/>
    </row>
    <row r="2118" ht="15" customHeight="1">
      <c r="K2118" s="26" t="n"/>
      <c r="L2118" s="26" t="n"/>
      <c r="M2118" s="26" t="n"/>
      <c r="N2118" s="27" t="n"/>
    </row>
    <row r="2119" ht="15" customHeight="1">
      <c r="K2119" s="26" t="n"/>
      <c r="L2119" s="26" t="n"/>
      <c r="M2119" s="26" t="n"/>
      <c r="N2119" s="27" t="n"/>
    </row>
    <row r="2120" ht="15" customHeight="1">
      <c r="K2120" s="26" t="n"/>
      <c r="L2120" s="26" t="n"/>
      <c r="M2120" s="26" t="n"/>
      <c r="N2120" s="27" t="n"/>
    </row>
    <row r="2121" ht="15" customHeight="1">
      <c r="K2121" s="26" t="n"/>
      <c r="L2121" s="26" t="n"/>
      <c r="M2121" s="26" t="n"/>
      <c r="N2121" s="27" t="n"/>
    </row>
    <row r="2122" ht="15" customHeight="1">
      <c r="K2122" s="26" t="n"/>
      <c r="L2122" s="26" t="n"/>
      <c r="M2122" s="26" t="n"/>
      <c r="N2122" s="27" t="n"/>
    </row>
    <row r="2123" ht="15" customHeight="1">
      <c r="K2123" s="26" t="n"/>
      <c r="L2123" s="26" t="n"/>
      <c r="M2123" s="26" t="n"/>
      <c r="N2123" s="27" t="n"/>
    </row>
    <row r="2124" ht="15" customHeight="1">
      <c r="K2124" s="26" t="n"/>
      <c r="L2124" s="26" t="n"/>
      <c r="M2124" s="26" t="n"/>
      <c r="N2124" s="27" t="n"/>
    </row>
    <row r="2125" ht="15" customHeight="1">
      <c r="K2125" s="26" t="n"/>
      <c r="L2125" s="26" t="n"/>
      <c r="M2125" s="26" t="n"/>
      <c r="N2125" s="27" t="n"/>
    </row>
    <row r="2126" ht="15" customHeight="1">
      <c r="K2126" s="26" t="n"/>
      <c r="L2126" s="26" t="n"/>
      <c r="M2126" s="26" t="n"/>
      <c r="N2126" s="27" t="n"/>
    </row>
    <row r="2127" ht="15" customHeight="1">
      <c r="K2127" s="26" t="n"/>
      <c r="L2127" s="26" t="n"/>
      <c r="M2127" s="26" t="n"/>
      <c r="N2127" s="27" t="n"/>
    </row>
    <row r="2128" ht="15" customHeight="1">
      <c r="K2128" s="26" t="n"/>
      <c r="L2128" s="26" t="n"/>
      <c r="M2128" s="26" t="n"/>
      <c r="N2128" s="27" t="n"/>
    </row>
    <row r="2129" ht="15" customHeight="1">
      <c r="K2129" s="26" t="n"/>
      <c r="L2129" s="26" t="n"/>
      <c r="M2129" s="26" t="n"/>
      <c r="N2129" s="27" t="n"/>
    </row>
    <row r="2130" ht="15" customHeight="1">
      <c r="K2130" s="26" t="n"/>
      <c r="L2130" s="26" t="n"/>
      <c r="M2130" s="26" t="n"/>
      <c r="N2130" s="27" t="n"/>
    </row>
    <row r="2131" ht="15" customHeight="1">
      <c r="K2131" s="26" t="n"/>
      <c r="L2131" s="26" t="n"/>
      <c r="M2131" s="26" t="n"/>
      <c r="N2131" s="27" t="n"/>
    </row>
    <row r="2132" ht="15" customHeight="1">
      <c r="K2132" s="26" t="n"/>
      <c r="L2132" s="26" t="n"/>
      <c r="M2132" s="26" t="n"/>
      <c r="N2132" s="27" t="n"/>
    </row>
    <row r="2133" ht="15" customHeight="1">
      <c r="K2133" s="26" t="n"/>
      <c r="L2133" s="26" t="n"/>
      <c r="M2133" s="26" t="n"/>
      <c r="N2133" s="27" t="n"/>
    </row>
    <row r="2134" ht="15" customHeight="1">
      <c r="K2134" s="26" t="n"/>
      <c r="L2134" s="26" t="n"/>
      <c r="M2134" s="26" t="n"/>
      <c r="N2134" s="27" t="n"/>
    </row>
    <row r="2135" ht="15" customHeight="1">
      <c r="K2135" s="26" t="n"/>
      <c r="L2135" s="26" t="n"/>
      <c r="M2135" s="26" t="n"/>
      <c r="N2135" s="27" t="n"/>
    </row>
    <row r="2136" ht="15" customHeight="1">
      <c r="K2136" s="26" t="n"/>
      <c r="L2136" s="26" t="n"/>
      <c r="M2136" s="26" t="n"/>
      <c r="N2136" s="27" t="n"/>
    </row>
    <row r="2137" ht="15" customHeight="1">
      <c r="K2137" s="26" t="n"/>
      <c r="L2137" s="26" t="n"/>
      <c r="M2137" s="26" t="n"/>
      <c r="N2137" s="27" t="n"/>
    </row>
    <row r="2138" ht="15" customHeight="1">
      <c r="K2138" s="26" t="n"/>
      <c r="L2138" s="26" t="n"/>
      <c r="M2138" s="26" t="n"/>
      <c r="N2138" s="27" t="n"/>
    </row>
    <row r="2139" ht="15" customHeight="1">
      <c r="K2139" s="26" t="n"/>
      <c r="L2139" s="26" t="n"/>
      <c r="M2139" s="26" t="n"/>
      <c r="N2139" s="27" t="n"/>
    </row>
    <row r="2140" ht="15" customHeight="1">
      <c r="K2140" s="26" t="n"/>
      <c r="L2140" s="26" t="n"/>
      <c r="M2140" s="26" t="n"/>
      <c r="N2140" s="27" t="n"/>
    </row>
    <row r="2141" ht="15" customHeight="1">
      <c r="K2141" s="26" t="n"/>
      <c r="L2141" s="26" t="n"/>
      <c r="M2141" s="26" t="n"/>
      <c r="N2141" s="27" t="n"/>
    </row>
    <row r="2142" ht="15" customHeight="1">
      <c r="K2142" s="26" t="n"/>
      <c r="L2142" s="26" t="n"/>
      <c r="M2142" s="26" t="n"/>
      <c r="N2142" s="27" t="n"/>
    </row>
    <row r="2143" ht="15" customHeight="1">
      <c r="K2143" s="26" t="n"/>
      <c r="L2143" s="26" t="n"/>
      <c r="M2143" s="26" t="n"/>
      <c r="N2143" s="27" t="n"/>
    </row>
    <row r="2144" ht="15" customHeight="1">
      <c r="K2144" s="26" t="n"/>
      <c r="L2144" s="26" t="n"/>
      <c r="M2144" s="26" t="n"/>
      <c r="N2144" s="27" t="n"/>
    </row>
    <row r="2145" ht="15" customHeight="1">
      <c r="K2145" s="26" t="n"/>
      <c r="L2145" s="26" t="n"/>
      <c r="M2145" s="26" t="n"/>
      <c r="N2145" s="27" t="n"/>
    </row>
    <row r="2146" ht="15" customHeight="1">
      <c r="K2146" s="26" t="n"/>
      <c r="L2146" s="26" t="n"/>
      <c r="M2146" s="26" t="n"/>
      <c r="N2146" s="27" t="n"/>
    </row>
    <row r="2147" ht="15" customHeight="1">
      <c r="K2147" s="26" t="n"/>
      <c r="L2147" s="26" t="n"/>
      <c r="M2147" s="26" t="n"/>
      <c r="N2147" s="27" t="n"/>
    </row>
    <row r="2148" ht="15" customHeight="1">
      <c r="K2148" s="26" t="n"/>
      <c r="L2148" s="26" t="n"/>
      <c r="M2148" s="26" t="n"/>
      <c r="N2148" s="27" t="n"/>
    </row>
    <row r="2149" ht="15" customHeight="1">
      <c r="K2149" s="26" t="n"/>
      <c r="L2149" s="26" t="n"/>
      <c r="M2149" s="26" t="n"/>
      <c r="N2149" s="27" t="n"/>
    </row>
    <row r="2150" ht="15" customHeight="1">
      <c r="K2150" s="26" t="n"/>
      <c r="L2150" s="26" t="n"/>
      <c r="M2150" s="26" t="n"/>
      <c r="N2150" s="27" t="n"/>
    </row>
    <row r="2151" ht="15" customHeight="1">
      <c r="K2151" s="26" t="n"/>
      <c r="L2151" s="26" t="n"/>
      <c r="M2151" s="26" t="n"/>
      <c r="N2151" s="27" t="n"/>
    </row>
    <row r="2152" ht="15" customHeight="1">
      <c r="K2152" s="26" t="n"/>
      <c r="L2152" s="26" t="n"/>
      <c r="M2152" s="26" t="n"/>
      <c r="N2152" s="27" t="n"/>
    </row>
    <row r="2153" ht="15" customHeight="1">
      <c r="K2153" s="26" t="n"/>
      <c r="L2153" s="26" t="n"/>
      <c r="M2153" s="26" t="n"/>
      <c r="N2153" s="27" t="n"/>
    </row>
    <row r="2154" ht="15" customHeight="1">
      <c r="K2154" s="26" t="n"/>
      <c r="L2154" s="26" t="n"/>
      <c r="M2154" s="26" t="n"/>
      <c r="N2154" s="27" t="n"/>
    </row>
    <row r="2155" ht="15" customHeight="1">
      <c r="K2155" s="26" t="n"/>
      <c r="L2155" s="26" t="n"/>
      <c r="M2155" s="26" t="n"/>
      <c r="N2155" s="27" t="n"/>
    </row>
    <row r="2156" ht="15" customHeight="1">
      <c r="K2156" s="26" t="n"/>
      <c r="L2156" s="26" t="n"/>
      <c r="M2156" s="26" t="n"/>
      <c r="N2156" s="27" t="n"/>
    </row>
    <row r="2157" ht="15" customHeight="1">
      <c r="K2157" s="26" t="n"/>
      <c r="L2157" s="26" t="n"/>
      <c r="M2157" s="26" t="n"/>
      <c r="N2157" s="27" t="n"/>
    </row>
    <row r="2158" ht="15" customHeight="1">
      <c r="K2158" s="26" t="n"/>
      <c r="L2158" s="26" t="n"/>
      <c r="M2158" s="26" t="n"/>
      <c r="N2158" s="27" t="n"/>
    </row>
    <row r="2159" ht="15" customHeight="1">
      <c r="K2159" s="26" t="n"/>
      <c r="L2159" s="26" t="n"/>
      <c r="M2159" s="26" t="n"/>
      <c r="N2159" s="27" t="n"/>
    </row>
    <row r="2160" ht="15" customHeight="1">
      <c r="K2160" s="26" t="n"/>
      <c r="L2160" s="26" t="n"/>
      <c r="M2160" s="26" t="n"/>
      <c r="N2160" s="27" t="n"/>
    </row>
    <row r="2161" ht="15" customHeight="1">
      <c r="K2161" s="26" t="n"/>
      <c r="L2161" s="26" t="n"/>
      <c r="M2161" s="26" t="n"/>
      <c r="N2161" s="27" t="n"/>
    </row>
    <row r="2162" ht="15" customHeight="1">
      <c r="K2162" s="26" t="n"/>
      <c r="L2162" s="26" t="n"/>
      <c r="M2162" s="26" t="n"/>
      <c r="N2162" s="27" t="n"/>
    </row>
    <row r="2163" ht="15" customHeight="1">
      <c r="K2163" s="26" t="n"/>
      <c r="L2163" s="26" t="n"/>
      <c r="M2163" s="26" t="n"/>
      <c r="N2163" s="27" t="n"/>
    </row>
    <row r="2164" ht="15" customHeight="1">
      <c r="K2164" s="26" t="n"/>
      <c r="L2164" s="26" t="n"/>
      <c r="M2164" s="26" t="n"/>
      <c r="N2164" s="27" t="n"/>
    </row>
    <row r="2165" ht="15" customHeight="1">
      <c r="K2165" s="26" t="n"/>
      <c r="L2165" s="26" t="n"/>
      <c r="M2165" s="26" t="n"/>
      <c r="N2165" s="27" t="n"/>
    </row>
    <row r="2166" ht="15" customHeight="1">
      <c r="K2166" s="26" t="n"/>
      <c r="L2166" s="26" t="n"/>
      <c r="M2166" s="26" t="n"/>
      <c r="N2166" s="27" t="n"/>
    </row>
    <row r="2167" ht="15" customHeight="1">
      <c r="K2167" s="26" t="n"/>
      <c r="L2167" s="26" t="n"/>
      <c r="M2167" s="26" t="n"/>
      <c r="N2167" s="27" t="n"/>
    </row>
    <row r="2168" ht="15" customHeight="1">
      <c r="K2168" s="26" t="n"/>
      <c r="L2168" s="26" t="n"/>
      <c r="M2168" s="26" t="n"/>
      <c r="N2168" s="27" t="n"/>
    </row>
    <row r="2169" ht="15" customHeight="1">
      <c r="K2169" s="26" t="n"/>
      <c r="L2169" s="26" t="n"/>
      <c r="M2169" s="26" t="n"/>
      <c r="N2169" s="27" t="n"/>
    </row>
    <row r="2170" ht="15" customHeight="1">
      <c r="K2170" s="26" t="n"/>
      <c r="L2170" s="26" t="n"/>
      <c r="M2170" s="26" t="n"/>
      <c r="N2170" s="27" t="n"/>
    </row>
    <row r="2171" ht="15" customHeight="1">
      <c r="K2171" s="26" t="n"/>
      <c r="L2171" s="26" t="n"/>
      <c r="M2171" s="26" t="n"/>
      <c r="N2171" s="27" t="n"/>
    </row>
    <row r="2172" ht="15" customHeight="1">
      <c r="K2172" s="26" t="n"/>
      <c r="L2172" s="26" t="n"/>
      <c r="M2172" s="26" t="n"/>
      <c r="N2172" s="27" t="n"/>
    </row>
    <row r="2173" ht="15" customHeight="1">
      <c r="K2173" s="26" t="n"/>
      <c r="L2173" s="26" t="n"/>
      <c r="M2173" s="26" t="n"/>
      <c r="N2173" s="27" t="n"/>
    </row>
    <row r="2174" ht="15" customHeight="1">
      <c r="K2174" s="26" t="n"/>
      <c r="L2174" s="26" t="n"/>
      <c r="M2174" s="26" t="n"/>
      <c r="N2174" s="27" t="n"/>
    </row>
    <row r="2175" ht="15" customHeight="1">
      <c r="K2175" s="26" t="n"/>
      <c r="L2175" s="26" t="n"/>
      <c r="M2175" s="26" t="n"/>
      <c r="N2175" s="27" t="n"/>
    </row>
    <row r="2176" ht="15" customHeight="1">
      <c r="K2176" s="26" t="n"/>
      <c r="L2176" s="26" t="n"/>
      <c r="M2176" s="26" t="n"/>
      <c r="N2176" s="27" t="n"/>
    </row>
    <row r="2177" ht="15" customHeight="1">
      <c r="K2177" s="26" t="n"/>
      <c r="L2177" s="26" t="n"/>
      <c r="M2177" s="26" t="n"/>
      <c r="N2177" s="27" t="n"/>
    </row>
    <row r="2178" ht="15" customHeight="1">
      <c r="K2178" s="26" t="n"/>
      <c r="L2178" s="26" t="n"/>
      <c r="M2178" s="26" t="n"/>
      <c r="N2178" s="27" t="n"/>
    </row>
    <row r="2179" ht="15" customHeight="1">
      <c r="K2179" s="26" t="n"/>
      <c r="L2179" s="26" t="n"/>
      <c r="M2179" s="26" t="n"/>
      <c r="N2179" s="27" t="n"/>
    </row>
    <row r="2180" ht="15" customHeight="1">
      <c r="K2180" s="26" t="n"/>
      <c r="L2180" s="26" t="n"/>
      <c r="M2180" s="26" t="n"/>
      <c r="N2180" s="27" t="n"/>
    </row>
    <row r="2181" ht="15" customHeight="1">
      <c r="K2181" s="26" t="n"/>
      <c r="L2181" s="26" t="n"/>
      <c r="M2181" s="26" t="n"/>
      <c r="N2181" s="27" t="n"/>
    </row>
    <row r="2182" ht="15" customHeight="1">
      <c r="K2182" s="26" t="n"/>
      <c r="L2182" s="26" t="n"/>
      <c r="M2182" s="26" t="n"/>
      <c r="N2182" s="27" t="n"/>
    </row>
    <row r="2183" ht="15" customHeight="1">
      <c r="K2183" s="26" t="n"/>
      <c r="L2183" s="26" t="n"/>
      <c r="M2183" s="26" t="n"/>
      <c r="N2183" s="27" t="n"/>
    </row>
    <row r="2184" ht="15" customHeight="1">
      <c r="K2184" s="26" t="n"/>
      <c r="L2184" s="26" t="n"/>
      <c r="M2184" s="26" t="n"/>
      <c r="N2184" s="27" t="n"/>
    </row>
    <row r="2185" ht="15" customHeight="1">
      <c r="K2185" s="26" t="n"/>
      <c r="L2185" s="26" t="n"/>
      <c r="M2185" s="26" t="n"/>
      <c r="N2185" s="27" t="n"/>
    </row>
    <row r="2186" ht="15" customHeight="1">
      <c r="K2186" s="26" t="n"/>
      <c r="L2186" s="26" t="n"/>
      <c r="M2186" s="26" t="n"/>
      <c r="N2186" s="27" t="n"/>
    </row>
    <row r="2187" ht="15" customHeight="1">
      <c r="K2187" s="26" t="n"/>
      <c r="L2187" s="26" t="n"/>
      <c r="M2187" s="26" t="n"/>
      <c r="N2187" s="27" t="n"/>
    </row>
    <row r="2188" ht="15" customHeight="1">
      <c r="K2188" s="26" t="n"/>
      <c r="L2188" s="26" t="n"/>
      <c r="M2188" s="26" t="n"/>
      <c r="N2188" s="27" t="n"/>
    </row>
    <row r="2189" ht="15" customHeight="1">
      <c r="K2189" s="26" t="n"/>
      <c r="L2189" s="26" t="n"/>
      <c r="M2189" s="26" t="n"/>
      <c r="N2189" s="27" t="n"/>
    </row>
    <row r="2190" ht="15" customHeight="1">
      <c r="K2190" s="26" t="n"/>
      <c r="L2190" s="26" t="n"/>
      <c r="M2190" s="26" t="n"/>
      <c r="N2190" s="27" t="n"/>
    </row>
    <row r="2191" ht="15" customHeight="1">
      <c r="K2191" s="26" t="n"/>
      <c r="L2191" s="26" t="n"/>
      <c r="M2191" s="26" t="n"/>
      <c r="N2191" s="27" t="n"/>
    </row>
    <row r="2192" ht="15" customHeight="1">
      <c r="K2192" s="26" t="n"/>
      <c r="L2192" s="26" t="n"/>
      <c r="M2192" s="26" t="n"/>
      <c r="N2192" s="27" t="n"/>
    </row>
    <row r="2193" ht="15" customHeight="1">
      <c r="K2193" s="26" t="n"/>
      <c r="L2193" s="26" t="n"/>
      <c r="M2193" s="26" t="n"/>
      <c r="N2193" s="27" t="n"/>
    </row>
    <row r="2194" ht="15" customHeight="1">
      <c r="K2194" s="26" t="n"/>
      <c r="L2194" s="26" t="n"/>
      <c r="M2194" s="26" t="n"/>
      <c r="N2194" s="27" t="n"/>
    </row>
    <row r="2195" ht="15" customHeight="1">
      <c r="K2195" s="26" t="n"/>
      <c r="L2195" s="26" t="n"/>
      <c r="M2195" s="26" t="n"/>
      <c r="N2195" s="27" t="n"/>
    </row>
    <row r="2196" ht="15" customHeight="1">
      <c r="K2196" s="26" t="n"/>
      <c r="L2196" s="26" t="n"/>
      <c r="M2196" s="26" t="n"/>
      <c r="N2196" s="27" t="n"/>
    </row>
    <row r="2197" ht="15" customHeight="1">
      <c r="K2197" s="26" t="n"/>
      <c r="L2197" s="26" t="n"/>
      <c r="M2197" s="26" t="n"/>
      <c r="N2197" s="27" t="n"/>
    </row>
    <row r="2198" ht="15" customHeight="1">
      <c r="K2198" s="26" t="n"/>
      <c r="L2198" s="26" t="n"/>
      <c r="M2198" s="26" t="n"/>
      <c r="N2198" s="27" t="n"/>
    </row>
    <row r="2199" ht="15" customHeight="1">
      <c r="K2199" s="26" t="n"/>
      <c r="L2199" s="26" t="n"/>
      <c r="M2199" s="26" t="n"/>
      <c r="N2199" s="27" t="n"/>
    </row>
    <row r="2200" ht="15" customHeight="1">
      <c r="K2200" s="26" t="n"/>
      <c r="L2200" s="26" t="n"/>
      <c r="M2200" s="26" t="n"/>
      <c r="N2200" s="27" t="n"/>
    </row>
    <row r="2201" ht="15" customHeight="1">
      <c r="K2201" s="26" t="n"/>
      <c r="L2201" s="26" t="n"/>
      <c r="M2201" s="26" t="n"/>
      <c r="N2201" s="27" t="n"/>
    </row>
    <row r="2202" ht="15" customHeight="1">
      <c r="K2202" s="26" t="n"/>
      <c r="L2202" s="26" t="n"/>
      <c r="M2202" s="26" t="n"/>
      <c r="N2202" s="27" t="n"/>
    </row>
    <row r="2203" ht="15" customHeight="1">
      <c r="K2203" s="26" t="n"/>
      <c r="L2203" s="26" t="n"/>
      <c r="M2203" s="26" t="n"/>
      <c r="N2203" s="27" t="n"/>
    </row>
    <row r="2204" ht="15" customHeight="1">
      <c r="K2204" s="26" t="n"/>
      <c r="L2204" s="26" t="n"/>
      <c r="M2204" s="26" t="n"/>
      <c r="N2204" s="27" t="n"/>
    </row>
    <row r="2205" ht="15" customHeight="1">
      <c r="K2205" s="26" t="n"/>
      <c r="L2205" s="26" t="n"/>
      <c r="M2205" s="26" t="n"/>
      <c r="N2205" s="27" t="n"/>
    </row>
    <row r="2206" ht="15" customHeight="1">
      <c r="K2206" s="26" t="n"/>
      <c r="L2206" s="26" t="n"/>
      <c r="M2206" s="26" t="n"/>
      <c r="N2206" s="27" t="n"/>
    </row>
    <row r="2207" ht="15" customHeight="1">
      <c r="K2207" s="26" t="n"/>
      <c r="L2207" s="26" t="n"/>
      <c r="M2207" s="26" t="n"/>
      <c r="N2207" s="27" t="n"/>
    </row>
    <row r="2208" ht="15" customHeight="1">
      <c r="K2208" s="26" t="n"/>
      <c r="L2208" s="26" t="n"/>
      <c r="M2208" s="26" t="n"/>
      <c r="N2208" s="27" t="n"/>
    </row>
    <row r="2209" ht="15" customHeight="1">
      <c r="K2209" s="26" t="n"/>
      <c r="L2209" s="26" t="n"/>
      <c r="M2209" s="26" t="n"/>
      <c r="N2209" s="27" t="n"/>
    </row>
    <row r="2210" ht="15" customHeight="1">
      <c r="K2210" s="26" t="n"/>
      <c r="L2210" s="26" t="n"/>
      <c r="M2210" s="26" t="n"/>
      <c r="N2210" s="27" t="n"/>
    </row>
    <row r="2211" ht="15" customHeight="1">
      <c r="K2211" s="26" t="n"/>
      <c r="L2211" s="26" t="n"/>
      <c r="M2211" s="26" t="n"/>
      <c r="N2211" s="27" t="n"/>
    </row>
    <row r="2212" ht="15" customHeight="1">
      <c r="K2212" s="26" t="n"/>
      <c r="L2212" s="26" t="n"/>
      <c r="M2212" s="26" t="n"/>
      <c r="N2212" s="27" t="n"/>
    </row>
    <row r="2213" ht="15" customHeight="1">
      <c r="K2213" s="26" t="n"/>
      <c r="L2213" s="26" t="n"/>
      <c r="M2213" s="26" t="n"/>
      <c r="N2213" s="27" t="n"/>
    </row>
    <row r="2214" ht="15" customHeight="1">
      <c r="K2214" s="26" t="n"/>
      <c r="L2214" s="26" t="n"/>
      <c r="M2214" s="26" t="n"/>
      <c r="N2214" s="27" t="n"/>
    </row>
    <row r="2215" ht="15" customHeight="1">
      <c r="K2215" s="26" t="n"/>
      <c r="L2215" s="26" t="n"/>
      <c r="M2215" s="26" t="n"/>
      <c r="N2215" s="27" t="n"/>
    </row>
    <row r="2216" ht="15" customHeight="1">
      <c r="K2216" s="26" t="n"/>
      <c r="L2216" s="26" t="n"/>
      <c r="M2216" s="26" t="n"/>
      <c r="N2216" s="27" t="n"/>
    </row>
    <row r="2217" ht="15" customHeight="1">
      <c r="K2217" s="26" t="n"/>
      <c r="L2217" s="26" t="n"/>
      <c r="M2217" s="26" t="n"/>
      <c r="N2217" s="27" t="n"/>
    </row>
    <row r="2218" ht="15" customHeight="1">
      <c r="K2218" s="26" t="n"/>
      <c r="L2218" s="26" t="n"/>
      <c r="M2218" s="26" t="n"/>
      <c r="N2218" s="27" t="n"/>
    </row>
    <row r="2219" ht="15" customHeight="1">
      <c r="K2219" s="26" t="n"/>
      <c r="L2219" s="26" t="n"/>
      <c r="M2219" s="26" t="n"/>
      <c r="N2219" s="27" t="n"/>
    </row>
    <row r="2220" ht="15" customHeight="1">
      <c r="K2220" s="26" t="n"/>
      <c r="L2220" s="26" t="n"/>
      <c r="M2220" s="26" t="n"/>
      <c r="N2220" s="27" t="n"/>
    </row>
    <row r="2221" ht="15" customHeight="1">
      <c r="K2221" s="26" t="n"/>
      <c r="L2221" s="26" t="n"/>
      <c r="M2221" s="26" t="n"/>
      <c r="N2221" s="27" t="n"/>
    </row>
    <row r="2222" ht="15" customHeight="1">
      <c r="K2222" s="26" t="n"/>
      <c r="L2222" s="26" t="n"/>
      <c r="M2222" s="26" t="n"/>
      <c r="N2222" s="27" t="n"/>
    </row>
    <row r="2223" ht="15" customHeight="1">
      <c r="K2223" s="26" t="n"/>
      <c r="L2223" s="26" t="n"/>
      <c r="M2223" s="26" t="n"/>
      <c r="N2223" s="27" t="n"/>
    </row>
    <row r="2224" ht="15" customHeight="1">
      <c r="K2224" s="26" t="n"/>
      <c r="L2224" s="26" t="n"/>
      <c r="M2224" s="26" t="n"/>
      <c r="N2224" s="27" t="n"/>
    </row>
    <row r="2225" ht="15" customHeight="1">
      <c r="K2225" s="26" t="n"/>
      <c r="L2225" s="26" t="n"/>
      <c r="M2225" s="26" t="n"/>
      <c r="N2225" s="27" t="n"/>
    </row>
    <row r="2226" ht="15" customHeight="1">
      <c r="K2226" s="26" t="n"/>
      <c r="L2226" s="26" t="n"/>
      <c r="M2226" s="26" t="n"/>
      <c r="N2226" s="27" t="n"/>
    </row>
    <row r="2227" ht="15" customHeight="1">
      <c r="K2227" s="26" t="n"/>
      <c r="L2227" s="26" t="n"/>
      <c r="M2227" s="26" t="n"/>
      <c r="N2227" s="27" t="n"/>
    </row>
    <row r="2228" ht="15" customHeight="1">
      <c r="K2228" s="26" t="n"/>
      <c r="L2228" s="26" t="n"/>
      <c r="M2228" s="26" t="n"/>
      <c r="N2228" s="27" t="n"/>
    </row>
    <row r="2229" ht="15" customHeight="1">
      <c r="K2229" s="26" t="n"/>
      <c r="L2229" s="26" t="n"/>
      <c r="M2229" s="26" t="n"/>
      <c r="N2229" s="27" t="n"/>
    </row>
    <row r="2230" ht="15" customHeight="1">
      <c r="K2230" s="26" t="n"/>
      <c r="L2230" s="26" t="n"/>
      <c r="M2230" s="26" t="n"/>
      <c r="N2230" s="27" t="n"/>
    </row>
    <row r="2231" ht="15" customHeight="1">
      <c r="K2231" s="26" t="n"/>
      <c r="L2231" s="26" t="n"/>
      <c r="M2231" s="26" t="n"/>
      <c r="N2231" s="27" t="n"/>
    </row>
    <row r="2232" ht="15" customHeight="1">
      <c r="K2232" s="26" t="n"/>
      <c r="L2232" s="26" t="n"/>
      <c r="M2232" s="26" t="n"/>
      <c r="N2232" s="27" t="n"/>
    </row>
    <row r="2233" ht="15" customHeight="1">
      <c r="K2233" s="26" t="n"/>
      <c r="L2233" s="26" t="n"/>
      <c r="M2233" s="26" t="n"/>
      <c r="N2233" s="27" t="n"/>
    </row>
    <row r="2234" ht="15" customHeight="1">
      <c r="K2234" s="26" t="n"/>
      <c r="L2234" s="26" t="n"/>
      <c r="M2234" s="26" t="n"/>
      <c r="N2234" s="27" t="n"/>
    </row>
    <row r="2235" ht="15" customHeight="1">
      <c r="K2235" s="26" t="n"/>
      <c r="L2235" s="26" t="n"/>
      <c r="M2235" s="26" t="n"/>
      <c r="N2235" s="27" t="n"/>
    </row>
    <row r="2236" ht="15" customHeight="1">
      <c r="K2236" s="26" t="n"/>
      <c r="L2236" s="26" t="n"/>
      <c r="M2236" s="26" t="n"/>
      <c r="N2236" s="27" t="n"/>
    </row>
    <row r="2237" ht="15" customHeight="1">
      <c r="K2237" s="26" t="n"/>
      <c r="L2237" s="26" t="n"/>
      <c r="M2237" s="26" t="n"/>
      <c r="N2237" s="27" t="n"/>
    </row>
    <row r="2238" ht="15" customHeight="1">
      <c r="K2238" s="26" t="n"/>
      <c r="L2238" s="26" t="n"/>
      <c r="M2238" s="26" t="n"/>
      <c r="N2238" s="27" t="n"/>
    </row>
    <row r="2239" ht="15" customHeight="1">
      <c r="K2239" s="26" t="n"/>
      <c r="L2239" s="26" t="n"/>
      <c r="M2239" s="26" t="n"/>
      <c r="N2239" s="27" t="n"/>
    </row>
    <row r="2240" ht="15" customHeight="1">
      <c r="K2240" s="26" t="n"/>
      <c r="L2240" s="26" t="n"/>
      <c r="M2240" s="26" t="n"/>
      <c r="N2240" s="27" t="n"/>
    </row>
    <row r="2241" ht="15" customHeight="1">
      <c r="K2241" s="26" t="n"/>
      <c r="L2241" s="26" t="n"/>
      <c r="M2241" s="26" t="n"/>
      <c r="N2241" s="27" t="n"/>
    </row>
    <row r="2242" ht="15" customHeight="1">
      <c r="K2242" s="26" t="n"/>
      <c r="L2242" s="26" t="n"/>
      <c r="M2242" s="26" t="n"/>
      <c r="N2242" s="27" t="n"/>
    </row>
    <row r="2243" ht="15" customHeight="1">
      <c r="K2243" s="26" t="n"/>
      <c r="L2243" s="26" t="n"/>
      <c r="M2243" s="26" t="n"/>
      <c r="N2243" s="27" t="n"/>
    </row>
    <row r="2244" ht="15" customHeight="1">
      <c r="K2244" s="26" t="n"/>
      <c r="L2244" s="26" t="n"/>
      <c r="M2244" s="26" t="n"/>
      <c r="N2244" s="27" t="n"/>
    </row>
    <row r="2245" ht="15" customHeight="1">
      <c r="K2245" s="26" t="n"/>
      <c r="L2245" s="26" t="n"/>
      <c r="M2245" s="26" t="n"/>
      <c r="N2245" s="27" t="n"/>
    </row>
    <row r="2246" ht="15" customHeight="1">
      <c r="K2246" s="26" t="n"/>
      <c r="L2246" s="26" t="n"/>
      <c r="M2246" s="26" t="n"/>
      <c r="N2246" s="27" t="n"/>
    </row>
    <row r="2247" ht="15" customHeight="1">
      <c r="K2247" s="26" t="n"/>
      <c r="L2247" s="26" t="n"/>
      <c r="M2247" s="26" t="n"/>
      <c r="N2247" s="27" t="n"/>
    </row>
    <row r="2248" ht="15" customHeight="1">
      <c r="K2248" s="26" t="n"/>
      <c r="L2248" s="26" t="n"/>
      <c r="M2248" s="26" t="n"/>
      <c r="N2248" s="27" t="n"/>
    </row>
    <row r="2249" ht="15" customHeight="1">
      <c r="K2249" s="26" t="n"/>
      <c r="L2249" s="26" t="n"/>
      <c r="M2249" s="26" t="n"/>
      <c r="N2249" s="27" t="n"/>
    </row>
    <row r="2250" ht="15" customHeight="1">
      <c r="K2250" s="26" t="n"/>
      <c r="L2250" s="26" t="n"/>
      <c r="M2250" s="26" t="n"/>
      <c r="N2250" s="27" t="n"/>
    </row>
    <row r="2251" ht="15" customHeight="1">
      <c r="K2251" s="26" t="n"/>
      <c r="L2251" s="26" t="n"/>
      <c r="M2251" s="26" t="n"/>
      <c r="N2251" s="27" t="n"/>
    </row>
    <row r="2252" ht="15" customHeight="1">
      <c r="K2252" s="26" t="n"/>
      <c r="L2252" s="26" t="n"/>
      <c r="M2252" s="26" t="n"/>
      <c r="N2252" s="27" t="n"/>
    </row>
    <row r="2253" ht="15" customHeight="1">
      <c r="K2253" s="26" t="n"/>
      <c r="L2253" s="26" t="n"/>
      <c r="M2253" s="26" t="n"/>
      <c r="N2253" s="27" t="n"/>
    </row>
    <row r="2254" ht="15" customHeight="1">
      <c r="K2254" s="26" t="n"/>
      <c r="L2254" s="26" t="n"/>
      <c r="M2254" s="26" t="n"/>
      <c r="N2254" s="27" t="n"/>
    </row>
    <row r="2255" ht="15" customHeight="1">
      <c r="K2255" s="26" t="n"/>
      <c r="L2255" s="26" t="n"/>
      <c r="M2255" s="26" t="n"/>
      <c r="N2255" s="27" t="n"/>
    </row>
    <row r="2256" ht="15" customHeight="1">
      <c r="K2256" s="26" t="n"/>
      <c r="L2256" s="26" t="n"/>
      <c r="M2256" s="26" t="n"/>
      <c r="N2256" s="27" t="n"/>
    </row>
    <row r="2257" ht="15" customHeight="1">
      <c r="K2257" s="26" t="n"/>
      <c r="L2257" s="26" t="n"/>
      <c r="M2257" s="26" t="n"/>
      <c r="N2257" s="27" t="n"/>
    </row>
    <row r="2258" ht="15" customHeight="1">
      <c r="K2258" s="26" t="n"/>
      <c r="L2258" s="26" t="n"/>
      <c r="M2258" s="26" t="n"/>
      <c r="N2258" s="27" t="n"/>
    </row>
    <row r="2259" ht="15" customHeight="1">
      <c r="K2259" s="26" t="n"/>
      <c r="L2259" s="26" t="n"/>
      <c r="M2259" s="26" t="n"/>
      <c r="N2259" s="27" t="n"/>
    </row>
    <row r="2260" ht="15" customHeight="1">
      <c r="K2260" s="26" t="n"/>
      <c r="L2260" s="26" t="n"/>
      <c r="M2260" s="26" t="n"/>
      <c r="N2260" s="27" t="n"/>
    </row>
    <row r="2261" ht="15" customHeight="1">
      <c r="K2261" s="26" t="n"/>
      <c r="L2261" s="26" t="n"/>
      <c r="M2261" s="26" t="n"/>
      <c r="N2261" s="27" t="n"/>
    </row>
    <row r="2262" ht="15" customHeight="1">
      <c r="K2262" s="26" t="n"/>
      <c r="L2262" s="26" t="n"/>
      <c r="M2262" s="26" t="n"/>
      <c r="N2262" s="27" t="n"/>
    </row>
    <row r="2263" ht="15" customHeight="1">
      <c r="K2263" s="26" t="n"/>
      <c r="L2263" s="26" t="n"/>
      <c r="M2263" s="26" t="n"/>
      <c r="N2263" s="27" t="n"/>
    </row>
    <row r="2264" ht="15" customHeight="1">
      <c r="K2264" s="26" t="n"/>
      <c r="L2264" s="26" t="n"/>
      <c r="M2264" s="26" t="n"/>
      <c r="N2264" s="27" t="n"/>
    </row>
    <row r="2265" ht="15" customHeight="1">
      <c r="K2265" s="26" t="n"/>
      <c r="L2265" s="26" t="n"/>
      <c r="M2265" s="26" t="n"/>
      <c r="N2265" s="27" t="n"/>
    </row>
    <row r="2266" ht="15" customHeight="1">
      <c r="K2266" s="26" t="n"/>
      <c r="L2266" s="26" t="n"/>
      <c r="M2266" s="26" t="n"/>
      <c r="N2266" s="27" t="n"/>
    </row>
    <row r="2267" ht="15" customHeight="1">
      <c r="K2267" s="26" t="n"/>
      <c r="L2267" s="26" t="n"/>
      <c r="M2267" s="26" t="n"/>
      <c r="N2267" s="27" t="n"/>
    </row>
    <row r="2268" ht="15" customHeight="1">
      <c r="K2268" s="26" t="n"/>
      <c r="L2268" s="26" t="n"/>
      <c r="M2268" s="26" t="n"/>
      <c r="N2268" s="27" t="n"/>
    </row>
    <row r="2269" ht="15" customHeight="1">
      <c r="K2269" s="26" t="n"/>
      <c r="L2269" s="26" t="n"/>
      <c r="M2269" s="26" t="n"/>
      <c r="N2269" s="27" t="n"/>
    </row>
    <row r="2270" ht="15" customHeight="1">
      <c r="K2270" s="26" t="n"/>
      <c r="L2270" s="26" t="n"/>
      <c r="M2270" s="26" t="n"/>
      <c r="N2270" s="27" t="n"/>
    </row>
    <row r="2271" ht="15" customHeight="1">
      <c r="K2271" s="26" t="n"/>
      <c r="L2271" s="26" t="n"/>
      <c r="M2271" s="26" t="n"/>
      <c r="N2271" s="27" t="n"/>
    </row>
    <row r="2272" ht="15" customHeight="1">
      <c r="K2272" s="26" t="n"/>
      <c r="L2272" s="26" t="n"/>
      <c r="M2272" s="26" t="n"/>
      <c r="N2272" s="27" t="n"/>
    </row>
    <row r="2273" ht="15" customHeight="1">
      <c r="K2273" s="26" t="n"/>
      <c r="L2273" s="26" t="n"/>
      <c r="M2273" s="26" t="n"/>
      <c r="N2273" s="27" t="n"/>
    </row>
    <row r="2274" ht="15" customHeight="1">
      <c r="K2274" s="26" t="n"/>
      <c r="L2274" s="26" t="n"/>
      <c r="M2274" s="26" t="n"/>
      <c r="N2274" s="27" t="n"/>
    </row>
    <row r="2275" ht="15" customHeight="1">
      <c r="K2275" s="26" t="n"/>
      <c r="L2275" s="26" t="n"/>
      <c r="M2275" s="26" t="n"/>
      <c r="N2275" s="27" t="n"/>
    </row>
    <row r="2276" ht="15" customHeight="1">
      <c r="K2276" s="26" t="n"/>
      <c r="L2276" s="26" t="n"/>
      <c r="M2276" s="26" t="n"/>
      <c r="N2276" s="27" t="n"/>
    </row>
    <row r="2277" ht="15" customHeight="1">
      <c r="K2277" s="26" t="n"/>
      <c r="L2277" s="26" t="n"/>
      <c r="M2277" s="26" t="n"/>
      <c r="N2277" s="27" t="n"/>
    </row>
    <row r="2278" ht="15" customHeight="1">
      <c r="K2278" s="26" t="n"/>
      <c r="L2278" s="26" t="n"/>
      <c r="M2278" s="26" t="n"/>
      <c r="N2278" s="27" t="n"/>
    </row>
    <row r="2279" ht="15" customHeight="1">
      <c r="K2279" s="26" t="n"/>
      <c r="L2279" s="26" t="n"/>
      <c r="M2279" s="26" t="n"/>
      <c r="N2279" s="27" t="n"/>
    </row>
    <row r="2280" ht="15" customHeight="1">
      <c r="K2280" s="26" t="n"/>
      <c r="L2280" s="26" t="n"/>
      <c r="M2280" s="26" t="n"/>
      <c r="N2280" s="27" t="n"/>
    </row>
    <row r="2281" ht="15" customHeight="1">
      <c r="K2281" s="26" t="n"/>
      <c r="L2281" s="26" t="n"/>
      <c r="M2281" s="26" t="n"/>
      <c r="N2281" s="27" t="n"/>
    </row>
    <row r="2282" ht="15" customHeight="1">
      <c r="K2282" s="26" t="n"/>
      <c r="L2282" s="26" t="n"/>
      <c r="M2282" s="26" t="n"/>
      <c r="N2282" s="27" t="n"/>
    </row>
    <row r="2283" ht="15" customHeight="1">
      <c r="K2283" s="26" t="n"/>
      <c r="L2283" s="26" t="n"/>
      <c r="M2283" s="26" t="n"/>
      <c r="N2283" s="27" t="n"/>
    </row>
    <row r="2284" ht="15" customHeight="1">
      <c r="K2284" s="26" t="n"/>
      <c r="L2284" s="26" t="n"/>
      <c r="M2284" s="26" t="n"/>
      <c r="N2284" s="27" t="n"/>
    </row>
    <row r="2285" ht="15" customHeight="1">
      <c r="K2285" s="26" t="n"/>
      <c r="L2285" s="26" t="n"/>
      <c r="M2285" s="26" t="n"/>
      <c r="N2285" s="27" t="n"/>
    </row>
    <row r="2286" ht="15" customHeight="1">
      <c r="K2286" s="26" t="n"/>
      <c r="L2286" s="26" t="n"/>
      <c r="M2286" s="26" t="n"/>
      <c r="N2286" s="27" t="n"/>
    </row>
    <row r="2287" ht="15" customHeight="1">
      <c r="K2287" s="26" t="n"/>
      <c r="L2287" s="26" t="n"/>
      <c r="M2287" s="26" t="n"/>
      <c r="N2287" s="27" t="n"/>
    </row>
    <row r="2288" ht="15" customHeight="1">
      <c r="K2288" s="26" t="n"/>
      <c r="L2288" s="26" t="n"/>
      <c r="M2288" s="26" t="n"/>
      <c r="N2288" s="27" t="n"/>
    </row>
    <row r="2289" ht="15" customHeight="1">
      <c r="K2289" s="26" t="n"/>
      <c r="L2289" s="26" t="n"/>
      <c r="M2289" s="26" t="n"/>
      <c r="N2289" s="27" t="n"/>
    </row>
    <row r="2290" ht="15" customHeight="1">
      <c r="K2290" s="26" t="n"/>
      <c r="L2290" s="26" t="n"/>
      <c r="M2290" s="26" t="n"/>
      <c r="N2290" s="27" t="n"/>
    </row>
    <row r="2291" ht="15" customHeight="1">
      <c r="K2291" s="26" t="n"/>
      <c r="L2291" s="26" t="n"/>
      <c r="M2291" s="26" t="n"/>
      <c r="N2291" s="27" t="n"/>
    </row>
    <row r="2292" ht="15" customHeight="1">
      <c r="K2292" s="26" t="n"/>
      <c r="L2292" s="26" t="n"/>
      <c r="M2292" s="26" t="n"/>
      <c r="N2292" s="27" t="n"/>
    </row>
    <row r="2293" ht="15" customHeight="1">
      <c r="K2293" s="26" t="n"/>
      <c r="L2293" s="26" t="n"/>
      <c r="M2293" s="26" t="n"/>
      <c r="N2293" s="27" t="n"/>
    </row>
    <row r="2294" ht="15" customHeight="1">
      <c r="K2294" s="26" t="n"/>
      <c r="L2294" s="26" t="n"/>
      <c r="M2294" s="26" t="n"/>
      <c r="N2294" s="27" t="n"/>
    </row>
    <row r="2295" ht="15" customHeight="1">
      <c r="K2295" s="26" t="n"/>
      <c r="L2295" s="26" t="n"/>
      <c r="M2295" s="26" t="n"/>
      <c r="N2295" s="27" t="n"/>
    </row>
    <row r="2296" ht="15" customHeight="1">
      <c r="K2296" s="26" t="n"/>
      <c r="L2296" s="26" t="n"/>
      <c r="M2296" s="26" t="n"/>
      <c r="N2296" s="27" t="n"/>
    </row>
    <row r="2297" ht="15" customHeight="1">
      <c r="K2297" s="26" t="n"/>
      <c r="L2297" s="26" t="n"/>
      <c r="M2297" s="26" t="n"/>
      <c r="N2297" s="27" t="n"/>
    </row>
    <row r="2298" ht="15" customHeight="1">
      <c r="K2298" s="26" t="n"/>
      <c r="L2298" s="26" t="n"/>
      <c r="M2298" s="26" t="n"/>
      <c r="N2298" s="27" t="n"/>
    </row>
    <row r="2299" ht="15" customHeight="1">
      <c r="K2299" s="26" t="n"/>
      <c r="L2299" s="26" t="n"/>
      <c r="M2299" s="26" t="n"/>
      <c r="N2299" s="27" t="n"/>
    </row>
    <row r="2300" ht="15" customHeight="1">
      <c r="K2300" s="26" t="n"/>
      <c r="L2300" s="26" t="n"/>
      <c r="M2300" s="26" t="n"/>
      <c r="N2300" s="27" t="n"/>
    </row>
    <row r="2301" ht="15" customHeight="1">
      <c r="K2301" s="26" t="n"/>
      <c r="L2301" s="26" t="n"/>
      <c r="M2301" s="26" t="n"/>
      <c r="N2301" s="27" t="n"/>
    </row>
    <row r="2302" ht="15" customHeight="1">
      <c r="K2302" s="26" t="n"/>
      <c r="L2302" s="26" t="n"/>
      <c r="M2302" s="26" t="n"/>
      <c r="N2302" s="27" t="n"/>
    </row>
    <row r="2303" ht="15" customHeight="1">
      <c r="K2303" s="26" t="n"/>
      <c r="L2303" s="26" t="n"/>
      <c r="M2303" s="26" t="n"/>
      <c r="N2303" s="27" t="n"/>
    </row>
    <row r="2304" ht="15" customHeight="1">
      <c r="K2304" s="26" t="n"/>
      <c r="L2304" s="26" t="n"/>
      <c r="M2304" s="26" t="n"/>
      <c r="N2304" s="27" t="n"/>
    </row>
    <row r="2305" ht="15" customHeight="1">
      <c r="K2305" s="26" t="n"/>
      <c r="L2305" s="26" t="n"/>
      <c r="M2305" s="26" t="n"/>
      <c r="N2305" s="27" t="n"/>
    </row>
    <row r="2306" ht="15" customHeight="1">
      <c r="K2306" s="26" t="n"/>
      <c r="L2306" s="26" t="n"/>
      <c r="M2306" s="26" t="n"/>
      <c r="N2306" s="27" t="n"/>
    </row>
    <row r="2307" ht="15" customHeight="1">
      <c r="K2307" s="26" t="n"/>
      <c r="L2307" s="26" t="n"/>
      <c r="M2307" s="26" t="n"/>
      <c r="N2307" s="27" t="n"/>
    </row>
    <row r="2308" ht="15" customHeight="1">
      <c r="K2308" s="26" t="n"/>
      <c r="L2308" s="26" t="n"/>
      <c r="M2308" s="26" t="n"/>
      <c r="N2308" s="27" t="n"/>
    </row>
    <row r="2309" ht="15" customHeight="1">
      <c r="K2309" s="26" t="n"/>
      <c r="L2309" s="26" t="n"/>
      <c r="M2309" s="26" t="n"/>
      <c r="N2309" s="27" t="n"/>
    </row>
    <row r="2310" ht="15" customHeight="1">
      <c r="K2310" s="26" t="n"/>
      <c r="L2310" s="26" t="n"/>
      <c r="M2310" s="26" t="n"/>
      <c r="N2310" s="27" t="n"/>
    </row>
    <row r="2311" ht="15" customHeight="1">
      <c r="K2311" s="26" t="n"/>
      <c r="L2311" s="26" t="n"/>
      <c r="M2311" s="26" t="n"/>
      <c r="N2311" s="27" t="n"/>
    </row>
    <row r="2312" ht="15" customHeight="1">
      <c r="K2312" s="26" t="n"/>
      <c r="L2312" s="26" t="n"/>
      <c r="M2312" s="26" t="n"/>
      <c r="N2312" s="27" t="n"/>
    </row>
    <row r="2313" ht="15" customHeight="1">
      <c r="K2313" s="26" t="n"/>
      <c r="L2313" s="26" t="n"/>
      <c r="M2313" s="26" t="n"/>
      <c r="N2313" s="27" t="n"/>
    </row>
    <row r="2314" ht="15" customHeight="1">
      <c r="K2314" s="26" t="n"/>
      <c r="L2314" s="26" t="n"/>
      <c r="M2314" s="26" t="n"/>
      <c r="N2314" s="27" t="n"/>
    </row>
    <row r="2315" ht="15" customHeight="1">
      <c r="K2315" s="26" t="n"/>
      <c r="L2315" s="26" t="n"/>
      <c r="M2315" s="26" t="n"/>
      <c r="N2315" s="27" t="n"/>
    </row>
    <row r="2316" ht="15" customHeight="1">
      <c r="K2316" s="26" t="n"/>
      <c r="L2316" s="26" t="n"/>
      <c r="M2316" s="26" t="n"/>
      <c r="N2316" s="27" t="n"/>
    </row>
    <row r="2317" ht="15" customHeight="1">
      <c r="K2317" s="26" t="n"/>
      <c r="L2317" s="26" t="n"/>
      <c r="M2317" s="26" t="n"/>
      <c r="N2317" s="27" t="n"/>
    </row>
    <row r="2318" ht="15" customHeight="1">
      <c r="K2318" s="26" t="n"/>
      <c r="L2318" s="26" t="n"/>
      <c r="M2318" s="26" t="n"/>
      <c r="N2318" s="27" t="n"/>
    </row>
    <row r="2319" ht="15" customHeight="1">
      <c r="K2319" s="26" t="n"/>
      <c r="L2319" s="26" t="n"/>
      <c r="M2319" s="26" t="n"/>
      <c r="N2319" s="27" t="n"/>
    </row>
    <row r="2320" ht="15" customHeight="1">
      <c r="K2320" s="26" t="n"/>
      <c r="L2320" s="26" t="n"/>
      <c r="M2320" s="26" t="n"/>
      <c r="N2320" s="27" t="n"/>
    </row>
    <row r="2321" ht="15" customHeight="1">
      <c r="K2321" s="26" t="n"/>
      <c r="L2321" s="26" t="n"/>
      <c r="M2321" s="26" t="n"/>
      <c r="N2321" s="27" t="n"/>
    </row>
    <row r="2322" ht="15" customHeight="1">
      <c r="K2322" s="26" t="n"/>
      <c r="L2322" s="26" t="n"/>
      <c r="M2322" s="26" t="n"/>
      <c r="N2322" s="27" t="n"/>
    </row>
    <row r="2323" ht="15" customHeight="1">
      <c r="K2323" s="26" t="n"/>
      <c r="L2323" s="26" t="n"/>
      <c r="M2323" s="26" t="n"/>
      <c r="N2323" s="27" t="n"/>
    </row>
    <row r="2324" ht="15" customHeight="1">
      <c r="K2324" s="26" t="n"/>
      <c r="L2324" s="26" t="n"/>
      <c r="M2324" s="26" t="n"/>
      <c r="N2324" s="27" t="n"/>
    </row>
    <row r="2325" ht="15" customHeight="1">
      <c r="K2325" s="26" t="n"/>
      <c r="L2325" s="26" t="n"/>
      <c r="M2325" s="26" t="n"/>
      <c r="N2325" s="27" t="n"/>
    </row>
    <row r="2326" ht="15" customHeight="1">
      <c r="K2326" s="26" t="n"/>
      <c r="L2326" s="26" t="n"/>
      <c r="M2326" s="26" t="n"/>
      <c r="N2326" s="27" t="n"/>
    </row>
    <row r="2327" ht="15" customHeight="1">
      <c r="K2327" s="26" t="n"/>
      <c r="L2327" s="26" t="n"/>
      <c r="M2327" s="26" t="n"/>
      <c r="N2327" s="27" t="n"/>
    </row>
    <row r="2328" ht="15" customHeight="1">
      <c r="K2328" s="26" t="n"/>
      <c r="L2328" s="26" t="n"/>
      <c r="M2328" s="26" t="n"/>
      <c r="N2328" s="27" t="n"/>
    </row>
    <row r="2329" ht="15" customHeight="1">
      <c r="K2329" s="26" t="n"/>
      <c r="L2329" s="26" t="n"/>
      <c r="M2329" s="26" t="n"/>
      <c r="N2329" s="27" t="n"/>
    </row>
    <row r="2330" ht="15" customHeight="1">
      <c r="K2330" s="26" t="n"/>
      <c r="L2330" s="26" t="n"/>
      <c r="M2330" s="26" t="n"/>
      <c r="N2330" s="27" t="n"/>
    </row>
    <row r="2331" ht="15" customHeight="1">
      <c r="K2331" s="26" t="n"/>
      <c r="L2331" s="26" t="n"/>
      <c r="M2331" s="26" t="n"/>
      <c r="N2331" s="27" t="n"/>
    </row>
    <row r="2332" ht="15" customHeight="1">
      <c r="K2332" s="26" t="n"/>
      <c r="L2332" s="26" t="n"/>
      <c r="M2332" s="26" t="n"/>
      <c r="N2332" s="27" t="n"/>
    </row>
    <row r="2333" ht="15" customHeight="1">
      <c r="K2333" s="26" t="n"/>
      <c r="L2333" s="26" t="n"/>
      <c r="M2333" s="26" t="n"/>
      <c r="N2333" s="27" t="n"/>
    </row>
    <row r="2334" ht="15" customHeight="1">
      <c r="K2334" s="26" t="n"/>
      <c r="L2334" s="26" t="n"/>
      <c r="M2334" s="26" t="n"/>
      <c r="N2334" s="27" t="n"/>
    </row>
    <row r="2335" ht="15" customHeight="1">
      <c r="K2335" s="26" t="n"/>
      <c r="L2335" s="26" t="n"/>
      <c r="M2335" s="26" t="n"/>
      <c r="N2335" s="27" t="n"/>
    </row>
    <row r="2336" ht="15" customHeight="1">
      <c r="K2336" s="26" t="n"/>
      <c r="L2336" s="26" t="n"/>
      <c r="M2336" s="26" t="n"/>
      <c r="N2336" s="27" t="n"/>
    </row>
    <row r="2337" ht="15" customHeight="1">
      <c r="K2337" s="26" t="n"/>
      <c r="L2337" s="26" t="n"/>
      <c r="M2337" s="26" t="n"/>
      <c r="N2337" s="27" t="n"/>
    </row>
    <row r="2338" ht="15" customHeight="1">
      <c r="K2338" s="26" t="n"/>
      <c r="L2338" s="26" t="n"/>
      <c r="M2338" s="26" t="n"/>
      <c r="N2338" s="27" t="n"/>
    </row>
    <row r="2339" ht="15" customHeight="1">
      <c r="K2339" s="26" t="n"/>
      <c r="L2339" s="26" t="n"/>
      <c r="M2339" s="26" t="n"/>
      <c r="N2339" s="27" t="n"/>
    </row>
    <row r="2340" ht="15" customHeight="1">
      <c r="K2340" s="26" t="n"/>
      <c r="L2340" s="26" t="n"/>
      <c r="M2340" s="26" t="n"/>
      <c r="N2340" s="27" t="n"/>
    </row>
    <row r="2341" ht="15" customHeight="1">
      <c r="K2341" s="26" t="n"/>
      <c r="L2341" s="26" t="n"/>
      <c r="M2341" s="26" t="n"/>
      <c r="N2341" s="27" t="n"/>
    </row>
    <row r="2342" ht="15" customHeight="1">
      <c r="K2342" s="26" t="n"/>
      <c r="L2342" s="26" t="n"/>
      <c r="M2342" s="26" t="n"/>
      <c r="N2342" s="27" t="n"/>
    </row>
    <row r="2343" ht="15" customHeight="1">
      <c r="K2343" s="26" t="n"/>
      <c r="L2343" s="26" t="n"/>
      <c r="M2343" s="26" t="n"/>
      <c r="N2343" s="27" t="n"/>
    </row>
    <row r="2344" ht="15" customHeight="1">
      <c r="K2344" s="26" t="n"/>
      <c r="L2344" s="26" t="n"/>
      <c r="M2344" s="26" t="n"/>
      <c r="N2344" s="27" t="n"/>
    </row>
    <row r="2345" ht="15" customHeight="1">
      <c r="K2345" s="26" t="n"/>
      <c r="L2345" s="26" t="n"/>
      <c r="M2345" s="26" t="n"/>
      <c r="N2345" s="27" t="n"/>
    </row>
    <row r="2346" ht="15" customHeight="1">
      <c r="K2346" s="26" t="n"/>
      <c r="L2346" s="26" t="n"/>
      <c r="M2346" s="26" t="n"/>
      <c r="N2346" s="27" t="n"/>
    </row>
    <row r="2347" ht="15" customHeight="1">
      <c r="K2347" s="26" t="n"/>
      <c r="L2347" s="26" t="n"/>
      <c r="M2347" s="26" t="n"/>
      <c r="N2347" s="27" t="n"/>
    </row>
    <row r="2348" ht="15" customHeight="1">
      <c r="K2348" s="26" t="n"/>
      <c r="L2348" s="26" t="n"/>
      <c r="M2348" s="26" t="n"/>
      <c r="N2348" s="27" t="n"/>
    </row>
    <row r="2349" ht="15" customHeight="1">
      <c r="K2349" s="26" t="n"/>
      <c r="L2349" s="26" t="n"/>
      <c r="M2349" s="26" t="n"/>
      <c r="N2349" s="27" t="n"/>
    </row>
    <row r="2350" ht="15" customHeight="1">
      <c r="K2350" s="26" t="n"/>
      <c r="L2350" s="26" t="n"/>
      <c r="M2350" s="26" t="n"/>
      <c r="N2350" s="27" t="n"/>
    </row>
    <row r="2351" ht="15" customHeight="1">
      <c r="K2351" s="26" t="n"/>
      <c r="L2351" s="26" t="n"/>
      <c r="M2351" s="26" t="n"/>
      <c r="N2351" s="27" t="n"/>
    </row>
    <row r="2352" ht="15" customHeight="1">
      <c r="K2352" s="26" t="n"/>
      <c r="L2352" s="26" t="n"/>
      <c r="M2352" s="26" t="n"/>
      <c r="N2352" s="27" t="n"/>
    </row>
    <row r="2353" ht="15" customHeight="1">
      <c r="K2353" s="26" t="n"/>
      <c r="L2353" s="26" t="n"/>
      <c r="M2353" s="26" t="n"/>
      <c r="N2353" s="27" t="n"/>
    </row>
    <row r="2354" ht="15" customHeight="1">
      <c r="K2354" s="26" t="n"/>
      <c r="L2354" s="26" t="n"/>
      <c r="M2354" s="26" t="n"/>
      <c r="N2354" s="27" t="n"/>
    </row>
    <row r="2355" ht="15" customHeight="1">
      <c r="K2355" s="26" t="n"/>
      <c r="L2355" s="26" t="n"/>
      <c r="M2355" s="26" t="n"/>
      <c r="N2355" s="27" t="n"/>
    </row>
    <row r="2356" ht="15" customHeight="1">
      <c r="K2356" s="26" t="n"/>
      <c r="L2356" s="26" t="n"/>
      <c r="M2356" s="26" t="n"/>
      <c r="N2356" s="27" t="n"/>
    </row>
    <row r="2357" ht="15" customHeight="1">
      <c r="K2357" s="26" t="n"/>
      <c r="L2357" s="26" t="n"/>
      <c r="M2357" s="26" t="n"/>
      <c r="N2357" s="27" t="n"/>
    </row>
    <row r="2358" ht="15" customHeight="1">
      <c r="K2358" s="26" t="n"/>
      <c r="L2358" s="26" t="n"/>
      <c r="M2358" s="26" t="n"/>
      <c r="N2358" s="27" t="n"/>
    </row>
    <row r="2359" ht="15" customHeight="1">
      <c r="K2359" s="26" t="n"/>
      <c r="L2359" s="26" t="n"/>
      <c r="M2359" s="26" t="n"/>
      <c r="N2359" s="27" t="n"/>
    </row>
    <row r="2360" ht="15" customHeight="1">
      <c r="K2360" s="26" t="n"/>
      <c r="L2360" s="26" t="n"/>
      <c r="M2360" s="26" t="n"/>
      <c r="N2360" s="27" t="n"/>
    </row>
    <row r="2361" ht="15" customHeight="1">
      <c r="K2361" s="26" t="n"/>
      <c r="L2361" s="26" t="n"/>
      <c r="M2361" s="26" t="n"/>
      <c r="N2361" s="27" t="n"/>
    </row>
    <row r="2362" ht="15" customHeight="1">
      <c r="K2362" s="26" t="n"/>
      <c r="L2362" s="26" t="n"/>
      <c r="M2362" s="26" t="n"/>
      <c r="N2362" s="27" t="n"/>
    </row>
    <row r="2363" ht="15" customHeight="1">
      <c r="K2363" s="26" t="n"/>
      <c r="L2363" s="26" t="n"/>
      <c r="M2363" s="26" t="n"/>
      <c r="N2363" s="27" t="n"/>
    </row>
    <row r="2364" ht="15" customHeight="1">
      <c r="K2364" s="26" t="n"/>
      <c r="L2364" s="26" t="n"/>
      <c r="M2364" s="26" t="n"/>
      <c r="N2364" s="27" t="n"/>
    </row>
    <row r="2365" ht="15" customHeight="1">
      <c r="K2365" s="26" t="n"/>
      <c r="L2365" s="26" t="n"/>
      <c r="M2365" s="26" t="n"/>
      <c r="N2365" s="27" t="n"/>
    </row>
    <row r="2366" ht="15" customHeight="1">
      <c r="K2366" s="26" t="n"/>
      <c r="L2366" s="26" t="n"/>
      <c r="M2366" s="26" t="n"/>
      <c r="N2366" s="27" t="n"/>
    </row>
    <row r="2367" ht="15" customHeight="1">
      <c r="K2367" s="26" t="n"/>
      <c r="L2367" s="26" t="n"/>
      <c r="M2367" s="26" t="n"/>
      <c r="N2367" s="27" t="n"/>
    </row>
    <row r="2368" ht="15" customHeight="1">
      <c r="K2368" s="26" t="n"/>
      <c r="L2368" s="26" t="n"/>
      <c r="M2368" s="26" t="n"/>
      <c r="N2368" s="27" t="n"/>
    </row>
    <row r="2369" ht="15" customHeight="1">
      <c r="K2369" s="26" t="n"/>
      <c r="L2369" s="26" t="n"/>
      <c r="M2369" s="26" t="n"/>
      <c r="N2369" s="27" t="n"/>
    </row>
    <row r="2370" ht="15" customHeight="1">
      <c r="K2370" s="26" t="n"/>
      <c r="L2370" s="26" t="n"/>
      <c r="M2370" s="26" t="n"/>
      <c r="N2370" s="27" t="n"/>
    </row>
    <row r="2371" ht="15" customHeight="1">
      <c r="K2371" s="26" t="n"/>
      <c r="L2371" s="26" t="n"/>
      <c r="M2371" s="26" t="n"/>
      <c r="N2371" s="27" t="n"/>
    </row>
    <row r="2372" ht="15" customHeight="1">
      <c r="K2372" s="26" t="n"/>
      <c r="L2372" s="26" t="n"/>
      <c r="M2372" s="26" t="n"/>
      <c r="N2372" s="27" t="n"/>
    </row>
    <row r="2373" ht="15" customHeight="1">
      <c r="K2373" s="26" t="n"/>
      <c r="L2373" s="26" t="n"/>
      <c r="M2373" s="26" t="n"/>
      <c r="N2373" s="27" t="n"/>
    </row>
    <row r="2374" ht="15" customHeight="1">
      <c r="K2374" s="26" t="n"/>
      <c r="L2374" s="26" t="n"/>
      <c r="M2374" s="26" t="n"/>
      <c r="N2374" s="27" t="n"/>
    </row>
    <row r="2375" ht="15" customHeight="1">
      <c r="K2375" s="26" t="n"/>
      <c r="L2375" s="26" t="n"/>
      <c r="M2375" s="26" t="n"/>
      <c r="N2375" s="27" t="n"/>
    </row>
    <row r="2376" ht="15" customHeight="1">
      <c r="K2376" s="26" t="n"/>
      <c r="L2376" s="26" t="n"/>
      <c r="M2376" s="26" t="n"/>
      <c r="N2376" s="27" t="n"/>
    </row>
    <row r="2377" ht="15" customHeight="1">
      <c r="K2377" s="26" t="n"/>
      <c r="L2377" s="26" t="n"/>
      <c r="M2377" s="26" t="n"/>
      <c r="N2377" s="27" t="n"/>
    </row>
    <row r="2378" ht="15" customHeight="1">
      <c r="K2378" s="26" t="n"/>
      <c r="L2378" s="26" t="n"/>
      <c r="M2378" s="26" t="n"/>
      <c r="N2378" s="27" t="n"/>
    </row>
    <row r="2379" ht="15" customHeight="1">
      <c r="K2379" s="26" t="n"/>
      <c r="L2379" s="26" t="n"/>
      <c r="M2379" s="26" t="n"/>
      <c r="N2379" s="27" t="n"/>
    </row>
    <row r="2380" ht="15" customHeight="1">
      <c r="K2380" s="26" t="n"/>
      <c r="L2380" s="26" t="n"/>
      <c r="M2380" s="26" t="n"/>
      <c r="N2380" s="27" t="n"/>
    </row>
    <row r="2381" ht="15" customHeight="1">
      <c r="K2381" s="26" t="n"/>
      <c r="L2381" s="26" t="n"/>
      <c r="M2381" s="26" t="n"/>
      <c r="N2381" s="27" t="n"/>
    </row>
    <row r="2382" ht="15" customHeight="1">
      <c r="K2382" s="26" t="n"/>
      <c r="L2382" s="26" t="n"/>
      <c r="M2382" s="26" t="n"/>
      <c r="N2382" s="27" t="n"/>
    </row>
    <row r="2383" ht="15" customHeight="1">
      <c r="K2383" s="26" t="n"/>
      <c r="L2383" s="26" t="n"/>
      <c r="M2383" s="26" t="n"/>
      <c r="N2383" s="27" t="n"/>
    </row>
    <row r="2384" ht="15" customHeight="1">
      <c r="K2384" s="26" t="n"/>
      <c r="L2384" s="26" t="n"/>
      <c r="M2384" s="26" t="n"/>
      <c r="N2384" s="27" t="n"/>
    </row>
    <row r="2385" ht="15" customHeight="1">
      <c r="K2385" s="26" t="n"/>
      <c r="L2385" s="26" t="n"/>
      <c r="M2385" s="26" t="n"/>
      <c r="N2385" s="27" t="n"/>
    </row>
    <row r="2386" ht="15" customHeight="1">
      <c r="K2386" s="26" t="n"/>
      <c r="L2386" s="26" t="n"/>
      <c r="M2386" s="26" t="n"/>
      <c r="N2386" s="27" t="n"/>
    </row>
    <row r="2387" ht="15" customHeight="1">
      <c r="K2387" s="26" t="n"/>
      <c r="L2387" s="26" t="n"/>
      <c r="M2387" s="26" t="n"/>
      <c r="N2387" s="27" t="n"/>
    </row>
    <row r="2388" ht="15" customHeight="1">
      <c r="K2388" s="26" t="n"/>
      <c r="L2388" s="26" t="n"/>
      <c r="M2388" s="26" t="n"/>
      <c r="N2388" s="27" t="n"/>
    </row>
    <row r="2389" ht="15" customHeight="1">
      <c r="K2389" s="26" t="n"/>
      <c r="L2389" s="26" t="n"/>
      <c r="M2389" s="26" t="n"/>
      <c r="N2389" s="27" t="n"/>
    </row>
    <row r="2390" ht="15" customHeight="1">
      <c r="K2390" s="26" t="n"/>
      <c r="L2390" s="26" t="n"/>
      <c r="M2390" s="26" t="n"/>
      <c r="N2390" s="27" t="n"/>
    </row>
    <row r="2391" ht="15" customHeight="1">
      <c r="K2391" s="26" t="n"/>
      <c r="L2391" s="26" t="n"/>
      <c r="M2391" s="26" t="n"/>
      <c r="N2391" s="27" t="n"/>
    </row>
    <row r="2392" ht="15" customHeight="1">
      <c r="K2392" s="26" t="n"/>
      <c r="L2392" s="26" t="n"/>
      <c r="M2392" s="26" t="n"/>
      <c r="N2392" s="27" t="n"/>
    </row>
    <row r="2393" ht="15" customHeight="1">
      <c r="K2393" s="26" t="n"/>
      <c r="L2393" s="26" t="n"/>
      <c r="M2393" s="26" t="n"/>
      <c r="N2393" s="27" t="n"/>
    </row>
    <row r="2394" ht="15" customHeight="1">
      <c r="K2394" s="26" t="n"/>
      <c r="L2394" s="26" t="n"/>
      <c r="M2394" s="26" t="n"/>
      <c r="N2394" s="27" t="n"/>
    </row>
    <row r="2395" ht="15" customHeight="1">
      <c r="K2395" s="26" t="n"/>
      <c r="L2395" s="26" t="n"/>
      <c r="M2395" s="26" t="n"/>
      <c r="N2395" s="27" t="n"/>
    </row>
    <row r="2396" ht="15" customHeight="1">
      <c r="K2396" s="26" t="n"/>
      <c r="L2396" s="26" t="n"/>
      <c r="M2396" s="26" t="n"/>
      <c r="N2396" s="27" t="n"/>
    </row>
    <row r="2397" ht="15" customHeight="1">
      <c r="K2397" s="26" t="n"/>
      <c r="L2397" s="26" t="n"/>
      <c r="M2397" s="26" t="n"/>
      <c r="N2397" s="27" t="n"/>
    </row>
    <row r="2398" ht="15" customHeight="1">
      <c r="K2398" s="26" t="n"/>
      <c r="L2398" s="26" t="n"/>
      <c r="M2398" s="26" t="n"/>
      <c r="N2398" s="27" t="n"/>
    </row>
    <row r="2399" ht="15" customHeight="1">
      <c r="K2399" s="26" t="n"/>
      <c r="L2399" s="26" t="n"/>
      <c r="M2399" s="26" t="n"/>
      <c r="N2399" s="27" t="n"/>
    </row>
    <row r="2400" ht="15" customHeight="1">
      <c r="K2400" s="26" t="n"/>
      <c r="L2400" s="26" t="n"/>
      <c r="M2400" s="26" t="n"/>
      <c r="N2400" s="27" t="n"/>
    </row>
    <row r="2401" ht="15" customHeight="1">
      <c r="K2401" s="26" t="n"/>
      <c r="L2401" s="26" t="n"/>
      <c r="M2401" s="26" t="n"/>
      <c r="N2401" s="27" t="n"/>
    </row>
    <row r="2402" ht="15" customHeight="1">
      <c r="K2402" s="26" t="n"/>
      <c r="L2402" s="26" t="n"/>
      <c r="M2402" s="26" t="n"/>
      <c r="N2402" s="27" t="n"/>
    </row>
    <row r="2403" ht="15" customHeight="1">
      <c r="K2403" s="26" t="n"/>
      <c r="L2403" s="26" t="n"/>
      <c r="M2403" s="26" t="n"/>
      <c r="N2403" s="27" t="n"/>
    </row>
    <row r="2404" ht="15" customHeight="1">
      <c r="K2404" s="26" t="n"/>
      <c r="L2404" s="26" t="n"/>
      <c r="M2404" s="26" t="n"/>
      <c r="N2404" s="27" t="n"/>
    </row>
    <row r="2405" ht="15" customHeight="1">
      <c r="K2405" s="26" t="n"/>
      <c r="L2405" s="26" t="n"/>
      <c r="M2405" s="26" t="n"/>
      <c r="N2405" s="27" t="n"/>
    </row>
    <row r="2406" ht="15" customHeight="1">
      <c r="K2406" s="26" t="n"/>
      <c r="L2406" s="26" t="n"/>
      <c r="M2406" s="26" t="n"/>
      <c r="N2406" s="27" t="n"/>
    </row>
    <row r="2407" ht="15" customHeight="1">
      <c r="K2407" s="26" t="n"/>
      <c r="L2407" s="26" t="n"/>
      <c r="M2407" s="26" t="n"/>
      <c r="N2407" s="27" t="n"/>
    </row>
    <row r="2408" ht="15" customHeight="1">
      <c r="K2408" s="26" t="n"/>
      <c r="L2408" s="26" t="n"/>
      <c r="M2408" s="26" t="n"/>
      <c r="N2408" s="27" t="n"/>
    </row>
    <row r="2409" ht="15" customHeight="1">
      <c r="K2409" s="26" t="n"/>
      <c r="L2409" s="26" t="n"/>
      <c r="M2409" s="26" t="n"/>
      <c r="N2409" s="27" t="n"/>
    </row>
    <row r="2410" ht="15" customHeight="1">
      <c r="K2410" s="26" t="n"/>
      <c r="L2410" s="26" t="n"/>
      <c r="M2410" s="26" t="n"/>
      <c r="N2410" s="27" t="n"/>
    </row>
    <row r="2411" ht="15" customHeight="1">
      <c r="K2411" s="26" t="n"/>
      <c r="L2411" s="26" t="n"/>
      <c r="M2411" s="26" t="n"/>
      <c r="N2411" s="27" t="n"/>
    </row>
    <row r="2412" ht="15" customHeight="1">
      <c r="K2412" s="26" t="n"/>
      <c r="L2412" s="26" t="n"/>
      <c r="M2412" s="26" t="n"/>
      <c r="N2412" s="27" t="n"/>
    </row>
    <row r="2413" ht="15" customHeight="1">
      <c r="K2413" s="26" t="n"/>
      <c r="L2413" s="26" t="n"/>
      <c r="M2413" s="26" t="n"/>
      <c r="N2413" s="27" t="n"/>
    </row>
    <row r="2414" ht="15" customHeight="1">
      <c r="K2414" s="26" t="n"/>
      <c r="L2414" s="26" t="n"/>
      <c r="M2414" s="26" t="n"/>
      <c r="N2414" s="27" t="n"/>
    </row>
    <row r="2415" ht="15" customHeight="1">
      <c r="K2415" s="26" t="n"/>
      <c r="L2415" s="26" t="n"/>
      <c r="M2415" s="26" t="n"/>
      <c r="N2415" s="27" t="n"/>
    </row>
    <row r="2416" ht="15" customHeight="1">
      <c r="K2416" s="26" t="n"/>
      <c r="L2416" s="26" t="n"/>
      <c r="M2416" s="26" t="n"/>
      <c r="N2416" s="27" t="n"/>
    </row>
    <row r="2417" ht="15" customHeight="1">
      <c r="K2417" s="26" t="n"/>
      <c r="L2417" s="26" t="n"/>
      <c r="M2417" s="26" t="n"/>
      <c r="N2417" s="27" t="n"/>
    </row>
    <row r="2418" ht="15" customHeight="1">
      <c r="K2418" s="26" t="n"/>
      <c r="L2418" s="26" t="n"/>
      <c r="M2418" s="26" t="n"/>
      <c r="N2418" s="27" t="n"/>
    </row>
    <row r="2419" ht="15" customHeight="1">
      <c r="K2419" s="26" t="n"/>
      <c r="L2419" s="26" t="n"/>
      <c r="M2419" s="26" t="n"/>
      <c r="N2419" s="27" t="n"/>
    </row>
    <row r="2420" ht="15" customHeight="1">
      <c r="K2420" s="26" t="n"/>
      <c r="L2420" s="26" t="n"/>
      <c r="M2420" s="26" t="n"/>
      <c r="N2420" s="27" t="n"/>
    </row>
    <row r="2421" ht="15" customHeight="1">
      <c r="K2421" s="26" t="n"/>
      <c r="L2421" s="26" t="n"/>
      <c r="M2421" s="26" t="n"/>
      <c r="N2421" s="27" t="n"/>
    </row>
    <row r="2422" ht="15" customHeight="1">
      <c r="K2422" s="26" t="n"/>
      <c r="L2422" s="26" t="n"/>
      <c r="M2422" s="26" t="n"/>
      <c r="N2422" s="27" t="n"/>
    </row>
    <row r="2423" ht="15" customHeight="1">
      <c r="K2423" s="26" t="n"/>
      <c r="L2423" s="26" t="n"/>
      <c r="M2423" s="26" t="n"/>
      <c r="N2423" s="27" t="n"/>
    </row>
    <row r="2424" ht="15" customHeight="1">
      <c r="K2424" s="26" t="n"/>
      <c r="L2424" s="26" t="n"/>
      <c r="M2424" s="26" t="n"/>
      <c r="N2424" s="27" t="n"/>
    </row>
    <row r="2425" ht="15" customHeight="1">
      <c r="K2425" s="26" t="n"/>
      <c r="L2425" s="26" t="n"/>
      <c r="M2425" s="26" t="n"/>
      <c r="N2425" s="27" t="n"/>
    </row>
    <row r="2426" ht="15" customHeight="1">
      <c r="K2426" s="26" t="n"/>
      <c r="L2426" s="26" t="n"/>
      <c r="M2426" s="26" t="n"/>
      <c r="N2426" s="27" t="n"/>
    </row>
    <row r="2427" ht="15" customHeight="1">
      <c r="K2427" s="26" t="n"/>
      <c r="L2427" s="26" t="n"/>
      <c r="M2427" s="26" t="n"/>
      <c r="N2427" s="27" t="n"/>
    </row>
    <row r="2428" ht="15" customHeight="1">
      <c r="K2428" s="26" t="n"/>
      <c r="L2428" s="26" t="n"/>
      <c r="M2428" s="26" t="n"/>
      <c r="N2428" s="27" t="n"/>
    </row>
    <row r="2429" ht="15" customHeight="1">
      <c r="K2429" s="26" t="n"/>
      <c r="L2429" s="26" t="n"/>
      <c r="M2429" s="26" t="n"/>
      <c r="N2429" s="27" t="n"/>
    </row>
    <row r="2430" ht="15" customHeight="1">
      <c r="K2430" s="26" t="n"/>
      <c r="L2430" s="26" t="n"/>
      <c r="M2430" s="26" t="n"/>
      <c r="N2430" s="27" t="n"/>
    </row>
    <row r="2431" ht="15" customHeight="1">
      <c r="K2431" s="26" t="n"/>
      <c r="L2431" s="26" t="n"/>
      <c r="M2431" s="26" t="n"/>
      <c r="N2431" s="27" t="n"/>
    </row>
    <row r="2432" ht="15" customHeight="1">
      <c r="K2432" s="26" t="n"/>
      <c r="L2432" s="26" t="n"/>
      <c r="M2432" s="26" t="n"/>
      <c r="N2432" s="27" t="n"/>
    </row>
    <row r="2433" ht="15" customHeight="1">
      <c r="K2433" s="26" t="n"/>
      <c r="L2433" s="26" t="n"/>
      <c r="M2433" s="26" t="n"/>
      <c r="N2433" s="27" t="n"/>
    </row>
    <row r="2434" ht="15" customHeight="1">
      <c r="K2434" s="26" t="n"/>
      <c r="L2434" s="26" t="n"/>
      <c r="M2434" s="26" t="n"/>
      <c r="N2434" s="27" t="n"/>
    </row>
    <row r="2435" ht="15" customHeight="1">
      <c r="K2435" s="26" t="n"/>
      <c r="L2435" s="26" t="n"/>
      <c r="M2435" s="26" t="n"/>
      <c r="N2435" s="27" t="n"/>
    </row>
    <row r="2436" ht="15" customHeight="1">
      <c r="K2436" s="26" t="n"/>
      <c r="L2436" s="26" t="n"/>
      <c r="M2436" s="26" t="n"/>
      <c r="N2436" s="27" t="n"/>
    </row>
    <row r="2437" ht="15" customHeight="1">
      <c r="K2437" s="26" t="n"/>
      <c r="L2437" s="26" t="n"/>
      <c r="M2437" s="26" t="n"/>
      <c r="N2437" s="27" t="n"/>
    </row>
    <row r="2438" ht="15" customHeight="1">
      <c r="K2438" s="26" t="n"/>
      <c r="L2438" s="26" t="n"/>
      <c r="M2438" s="26" t="n"/>
      <c r="N2438" s="27" t="n"/>
    </row>
    <row r="2439" ht="15" customHeight="1">
      <c r="K2439" s="26" t="n"/>
      <c r="L2439" s="26" t="n"/>
      <c r="M2439" s="26" t="n"/>
      <c r="N2439" s="27" t="n"/>
    </row>
    <row r="2440" ht="15" customHeight="1">
      <c r="K2440" s="26" t="n"/>
      <c r="L2440" s="26" t="n"/>
      <c r="M2440" s="26" t="n"/>
      <c r="N2440" s="27" t="n"/>
    </row>
    <row r="2441" ht="15" customHeight="1">
      <c r="K2441" s="26" t="n"/>
      <c r="L2441" s="26" t="n"/>
      <c r="M2441" s="26" t="n"/>
      <c r="N2441" s="27" t="n"/>
    </row>
    <row r="2442" ht="15" customHeight="1">
      <c r="K2442" s="26" t="n"/>
      <c r="L2442" s="26" t="n"/>
      <c r="M2442" s="26" t="n"/>
      <c r="N2442" s="27" t="n"/>
    </row>
    <row r="2443" ht="15" customHeight="1">
      <c r="K2443" s="26" t="n"/>
      <c r="L2443" s="26" t="n"/>
      <c r="M2443" s="26" t="n"/>
      <c r="N2443" s="27" t="n"/>
    </row>
    <row r="2444" ht="15" customHeight="1">
      <c r="K2444" s="26" t="n"/>
      <c r="L2444" s="26" t="n"/>
      <c r="M2444" s="26" t="n"/>
      <c r="N2444" s="27" t="n"/>
    </row>
    <row r="2445" ht="15" customHeight="1">
      <c r="K2445" s="26" t="n"/>
      <c r="L2445" s="26" t="n"/>
      <c r="M2445" s="26" t="n"/>
      <c r="N2445" s="27" t="n"/>
    </row>
    <row r="2446" ht="15" customHeight="1">
      <c r="K2446" s="26" t="n"/>
      <c r="L2446" s="26" t="n"/>
      <c r="M2446" s="26" t="n"/>
      <c r="N2446" s="27" t="n"/>
    </row>
    <row r="2447" ht="15" customHeight="1">
      <c r="K2447" s="26" t="n"/>
      <c r="L2447" s="26" t="n"/>
      <c r="M2447" s="26" t="n"/>
      <c r="N2447" s="27" t="n"/>
    </row>
    <row r="2448" ht="15" customHeight="1">
      <c r="K2448" s="26" t="n"/>
      <c r="L2448" s="26" t="n"/>
      <c r="M2448" s="26" t="n"/>
      <c r="N2448" s="27" t="n"/>
    </row>
    <row r="2449" ht="15" customHeight="1">
      <c r="K2449" s="26" t="n"/>
      <c r="L2449" s="26" t="n"/>
      <c r="M2449" s="26" t="n"/>
      <c r="N2449" s="27" t="n"/>
    </row>
    <row r="2450" ht="15" customHeight="1">
      <c r="K2450" s="26" t="n"/>
      <c r="L2450" s="26" t="n"/>
      <c r="M2450" s="26" t="n"/>
      <c r="N2450" s="27" t="n"/>
    </row>
    <row r="2451" ht="15" customHeight="1">
      <c r="K2451" s="26" t="n"/>
      <c r="L2451" s="26" t="n"/>
      <c r="M2451" s="26" t="n"/>
      <c r="N2451" s="27" t="n"/>
    </row>
    <row r="2452" ht="15" customHeight="1">
      <c r="K2452" s="26" t="n"/>
      <c r="L2452" s="26" t="n"/>
      <c r="M2452" s="26" t="n"/>
      <c r="N2452" s="27" t="n"/>
    </row>
    <row r="2453" ht="15" customHeight="1">
      <c r="K2453" s="26" t="n"/>
      <c r="L2453" s="26" t="n"/>
      <c r="M2453" s="26" t="n"/>
      <c r="N2453" s="27" t="n"/>
    </row>
    <row r="2454" ht="15" customHeight="1">
      <c r="K2454" s="26" t="n"/>
      <c r="L2454" s="26" t="n"/>
      <c r="M2454" s="26" t="n"/>
      <c r="N2454" s="27" t="n"/>
    </row>
    <row r="2455" ht="15" customHeight="1">
      <c r="K2455" s="26" t="n"/>
      <c r="L2455" s="26" t="n"/>
      <c r="M2455" s="26" t="n"/>
      <c r="N2455" s="27" t="n"/>
    </row>
    <row r="2456" ht="15" customHeight="1">
      <c r="K2456" s="26" t="n"/>
      <c r="L2456" s="26" t="n"/>
      <c r="M2456" s="26" t="n"/>
      <c r="N2456" s="27" t="n"/>
    </row>
    <row r="2457" ht="15" customHeight="1">
      <c r="K2457" s="26" t="n"/>
      <c r="L2457" s="26" t="n"/>
      <c r="M2457" s="26" t="n"/>
      <c r="N2457" s="27" t="n"/>
    </row>
    <row r="2458" ht="15" customHeight="1">
      <c r="K2458" s="26" t="n"/>
      <c r="L2458" s="26" t="n"/>
      <c r="M2458" s="26" t="n"/>
      <c r="N2458" s="27" t="n"/>
    </row>
    <row r="2459" ht="15" customHeight="1">
      <c r="K2459" s="26" t="n"/>
      <c r="L2459" s="26" t="n"/>
      <c r="M2459" s="26" t="n"/>
      <c r="N2459" s="27" t="n"/>
    </row>
    <row r="2460" ht="15" customHeight="1">
      <c r="K2460" s="26" t="n"/>
      <c r="L2460" s="26" t="n"/>
      <c r="M2460" s="26" t="n"/>
      <c r="N2460" s="27" t="n"/>
    </row>
    <row r="2461" ht="15" customHeight="1">
      <c r="K2461" s="26" t="n"/>
      <c r="L2461" s="26" t="n"/>
      <c r="M2461" s="26" t="n"/>
      <c r="N2461" s="27" t="n"/>
    </row>
    <row r="2462" ht="15" customHeight="1">
      <c r="K2462" s="26" t="n"/>
      <c r="L2462" s="26" t="n"/>
      <c r="M2462" s="26" t="n"/>
      <c r="N2462" s="27" t="n"/>
    </row>
    <row r="2463" ht="15" customHeight="1">
      <c r="K2463" s="26" t="n"/>
      <c r="L2463" s="26" t="n"/>
      <c r="M2463" s="26" t="n"/>
      <c r="N2463" s="27" t="n"/>
    </row>
    <row r="2464" ht="15" customHeight="1">
      <c r="K2464" s="26" t="n"/>
      <c r="L2464" s="26" t="n"/>
      <c r="M2464" s="26" t="n"/>
      <c r="N2464" s="27" t="n"/>
    </row>
    <row r="2465" ht="15" customHeight="1">
      <c r="K2465" s="26" t="n"/>
      <c r="L2465" s="26" t="n"/>
      <c r="M2465" s="26" t="n"/>
      <c r="N2465" s="27" t="n"/>
    </row>
    <row r="2466" ht="15" customHeight="1">
      <c r="K2466" s="26" t="n"/>
      <c r="L2466" s="26" t="n"/>
      <c r="M2466" s="26" t="n"/>
      <c r="N2466" s="27" t="n"/>
    </row>
    <row r="2467" ht="15" customHeight="1">
      <c r="K2467" s="26" t="n"/>
      <c r="L2467" s="26" t="n"/>
      <c r="M2467" s="26" t="n"/>
      <c r="N2467" s="27" t="n"/>
    </row>
    <row r="2468" ht="15" customHeight="1">
      <c r="K2468" s="26" t="n"/>
      <c r="L2468" s="26" t="n"/>
      <c r="M2468" s="26" t="n"/>
      <c r="N2468" s="27" t="n"/>
    </row>
    <row r="2469" ht="15" customHeight="1">
      <c r="K2469" s="26" t="n"/>
      <c r="L2469" s="26" t="n"/>
      <c r="M2469" s="26" t="n"/>
      <c r="N2469" s="27" t="n"/>
    </row>
    <row r="2470" ht="15" customHeight="1">
      <c r="K2470" s="26" t="n"/>
      <c r="L2470" s="26" t="n"/>
      <c r="M2470" s="26" t="n"/>
      <c r="N2470" s="27" t="n"/>
    </row>
    <row r="2471" ht="15" customHeight="1">
      <c r="K2471" s="26" t="n"/>
      <c r="L2471" s="26" t="n"/>
      <c r="M2471" s="26" t="n"/>
      <c r="N2471" s="27" t="n"/>
    </row>
    <row r="2472" ht="15" customHeight="1">
      <c r="K2472" s="26" t="n"/>
      <c r="L2472" s="26" t="n"/>
      <c r="M2472" s="26" t="n"/>
      <c r="N2472" s="27" t="n"/>
    </row>
    <row r="2473" ht="15" customHeight="1">
      <c r="K2473" s="26" t="n"/>
      <c r="L2473" s="26" t="n"/>
      <c r="M2473" s="26" t="n"/>
      <c r="N2473" s="27" t="n"/>
    </row>
    <row r="2474" ht="15" customHeight="1">
      <c r="K2474" s="26" t="n"/>
      <c r="L2474" s="26" t="n"/>
      <c r="M2474" s="26" t="n"/>
      <c r="N2474" s="27" t="n"/>
    </row>
    <row r="2475" ht="15" customHeight="1">
      <c r="K2475" s="26" t="n"/>
      <c r="L2475" s="26" t="n"/>
      <c r="M2475" s="26" t="n"/>
      <c r="N2475" s="27" t="n"/>
    </row>
    <row r="2476" ht="15" customHeight="1">
      <c r="K2476" s="26" t="n"/>
      <c r="L2476" s="26" t="n"/>
      <c r="M2476" s="26" t="n"/>
      <c r="N2476" s="27" t="n"/>
    </row>
    <row r="2477" ht="15" customHeight="1">
      <c r="K2477" s="26" t="n"/>
      <c r="L2477" s="26" t="n"/>
      <c r="M2477" s="26" t="n"/>
      <c r="N2477" s="27" t="n"/>
    </row>
    <row r="2478" ht="15" customHeight="1">
      <c r="K2478" s="26" t="n"/>
      <c r="L2478" s="26" t="n"/>
      <c r="M2478" s="26" t="n"/>
      <c r="N2478" s="27" t="n"/>
    </row>
    <row r="2479" ht="15" customHeight="1">
      <c r="K2479" s="26" t="n"/>
      <c r="L2479" s="26" t="n"/>
      <c r="M2479" s="26" t="n"/>
      <c r="N2479" s="27" t="n"/>
    </row>
    <row r="2480" ht="15" customHeight="1">
      <c r="K2480" s="26" t="n"/>
      <c r="L2480" s="26" t="n"/>
      <c r="M2480" s="26" t="n"/>
      <c r="N2480" s="27" t="n"/>
    </row>
    <row r="2481" ht="15" customHeight="1">
      <c r="K2481" s="26" t="n"/>
      <c r="L2481" s="26" t="n"/>
      <c r="M2481" s="26" t="n"/>
      <c r="N2481" s="27" t="n"/>
    </row>
    <row r="2482" ht="15" customHeight="1">
      <c r="K2482" s="26" t="n"/>
      <c r="L2482" s="26" t="n"/>
      <c r="M2482" s="26" t="n"/>
      <c r="N2482" s="27" t="n"/>
    </row>
    <row r="2483" ht="15" customHeight="1">
      <c r="K2483" s="26" t="n"/>
      <c r="L2483" s="26" t="n"/>
      <c r="M2483" s="26" t="n"/>
      <c r="N2483" s="27" t="n"/>
    </row>
    <row r="2484" ht="15" customHeight="1">
      <c r="K2484" s="26" t="n"/>
      <c r="L2484" s="26" t="n"/>
      <c r="M2484" s="26" t="n"/>
      <c r="N2484" s="27" t="n"/>
    </row>
    <row r="2485" ht="15" customHeight="1">
      <c r="K2485" s="26" t="n"/>
      <c r="L2485" s="26" t="n"/>
      <c r="M2485" s="26" t="n"/>
      <c r="N2485" s="27" t="n"/>
    </row>
    <row r="2486" ht="15" customHeight="1">
      <c r="K2486" s="26" t="n"/>
      <c r="L2486" s="26" t="n"/>
      <c r="M2486" s="26" t="n"/>
      <c r="N2486" s="27" t="n"/>
    </row>
    <row r="2487" ht="15" customHeight="1">
      <c r="K2487" s="26" t="n"/>
      <c r="L2487" s="26" t="n"/>
      <c r="M2487" s="26" t="n"/>
      <c r="N2487" s="27" t="n"/>
    </row>
    <row r="2488" ht="15" customHeight="1">
      <c r="K2488" s="26" t="n"/>
      <c r="L2488" s="26" t="n"/>
      <c r="M2488" s="26" t="n"/>
      <c r="N2488" s="27" t="n"/>
    </row>
    <row r="2489" ht="15" customHeight="1">
      <c r="K2489" s="26" t="n"/>
      <c r="L2489" s="26" t="n"/>
      <c r="M2489" s="26" t="n"/>
      <c r="N2489" s="27" t="n"/>
    </row>
    <row r="2490" ht="15" customHeight="1">
      <c r="K2490" s="26" t="n"/>
      <c r="L2490" s="26" t="n"/>
      <c r="M2490" s="26" t="n"/>
      <c r="N2490" s="27" t="n"/>
    </row>
    <row r="2491" ht="15" customHeight="1">
      <c r="K2491" s="26" t="n"/>
      <c r="L2491" s="26" t="n"/>
      <c r="M2491" s="26" t="n"/>
      <c r="N2491" s="27" t="n"/>
    </row>
    <row r="2492" ht="15" customHeight="1">
      <c r="K2492" s="26" t="n"/>
      <c r="L2492" s="26" t="n"/>
      <c r="M2492" s="26" t="n"/>
      <c r="N2492" s="27" t="n"/>
    </row>
    <row r="2493" ht="15" customHeight="1">
      <c r="K2493" s="26" t="n"/>
      <c r="L2493" s="26" t="n"/>
      <c r="M2493" s="26" t="n"/>
      <c r="N2493" s="27" t="n"/>
    </row>
    <row r="2494" ht="15" customHeight="1">
      <c r="K2494" s="26" t="n"/>
      <c r="L2494" s="26" t="n"/>
      <c r="M2494" s="26" t="n"/>
      <c r="N2494" s="27" t="n"/>
    </row>
    <row r="2495" ht="15" customHeight="1">
      <c r="K2495" s="26" t="n"/>
      <c r="L2495" s="26" t="n"/>
      <c r="M2495" s="26" t="n"/>
      <c r="N2495" s="27" t="n"/>
    </row>
    <row r="2496" ht="15" customHeight="1">
      <c r="K2496" s="26" t="n"/>
      <c r="L2496" s="26" t="n"/>
      <c r="M2496" s="26" t="n"/>
      <c r="N2496" s="27" t="n"/>
    </row>
    <row r="2497" ht="15" customHeight="1">
      <c r="K2497" s="26" t="n"/>
      <c r="L2497" s="26" t="n"/>
      <c r="M2497" s="26" t="n"/>
      <c r="N2497" s="27" t="n"/>
    </row>
    <row r="2498" ht="15" customHeight="1">
      <c r="K2498" s="26" t="n"/>
      <c r="L2498" s="26" t="n"/>
      <c r="M2498" s="26" t="n"/>
      <c r="N2498" s="27" t="n"/>
    </row>
    <row r="2499" ht="15" customHeight="1">
      <c r="K2499" s="26" t="n"/>
      <c r="L2499" s="26" t="n"/>
      <c r="M2499" s="26" t="n"/>
      <c r="N2499" s="27" t="n"/>
    </row>
    <row r="2500" ht="15" customHeight="1">
      <c r="K2500" s="26" t="n"/>
      <c r="L2500" s="26" t="n"/>
      <c r="M2500" s="26" t="n"/>
      <c r="N2500" s="27" t="n"/>
    </row>
    <row r="2501" ht="15" customHeight="1">
      <c r="K2501" s="26" t="n"/>
      <c r="L2501" s="26" t="n"/>
      <c r="M2501" s="26" t="n"/>
      <c r="N2501" s="27" t="n"/>
    </row>
    <row r="2502" ht="15" customHeight="1">
      <c r="K2502" s="26" t="n"/>
      <c r="L2502" s="26" t="n"/>
      <c r="M2502" s="26" t="n"/>
      <c r="N2502" s="27" t="n"/>
    </row>
    <row r="2503" ht="15" customHeight="1">
      <c r="K2503" s="26" t="n"/>
      <c r="L2503" s="26" t="n"/>
      <c r="M2503" s="26" t="n"/>
      <c r="N2503" s="27" t="n"/>
    </row>
    <row r="2504" ht="15" customHeight="1">
      <c r="K2504" s="26" t="n"/>
      <c r="L2504" s="26" t="n"/>
      <c r="M2504" s="26" t="n"/>
      <c r="N2504" s="27" t="n"/>
    </row>
    <row r="2505" ht="15" customHeight="1">
      <c r="K2505" s="26" t="n"/>
      <c r="L2505" s="26" t="n"/>
      <c r="M2505" s="26" t="n"/>
      <c r="N2505" s="27" t="n"/>
    </row>
    <row r="2506" ht="15" customHeight="1">
      <c r="K2506" s="26" t="n"/>
      <c r="L2506" s="26" t="n"/>
      <c r="M2506" s="26" t="n"/>
      <c r="N2506" s="27" t="n"/>
    </row>
    <row r="2507" ht="15" customHeight="1">
      <c r="K2507" s="26" t="n"/>
      <c r="L2507" s="26" t="n"/>
      <c r="M2507" s="26" t="n"/>
      <c r="N2507" s="27" t="n"/>
    </row>
    <row r="2508" ht="15" customHeight="1">
      <c r="K2508" s="26" t="n"/>
      <c r="L2508" s="26" t="n"/>
      <c r="M2508" s="26" t="n"/>
      <c r="N2508" s="27" t="n"/>
    </row>
    <row r="2509" ht="15" customHeight="1">
      <c r="K2509" s="26" t="n"/>
      <c r="L2509" s="26" t="n"/>
      <c r="M2509" s="26" t="n"/>
      <c r="N2509" s="27" t="n"/>
    </row>
    <row r="2510" ht="15" customHeight="1">
      <c r="K2510" s="26" t="n"/>
      <c r="L2510" s="26" t="n"/>
      <c r="M2510" s="26" t="n"/>
      <c r="N2510" s="27" t="n"/>
    </row>
    <row r="2511" ht="15" customHeight="1">
      <c r="K2511" s="26" t="n"/>
      <c r="L2511" s="26" t="n"/>
      <c r="M2511" s="26" t="n"/>
      <c r="N2511" s="27" t="n"/>
    </row>
    <row r="2512" ht="15" customHeight="1">
      <c r="K2512" s="26" t="n"/>
      <c r="L2512" s="26" t="n"/>
      <c r="M2512" s="26" t="n"/>
      <c r="N2512" s="27" t="n"/>
    </row>
    <row r="2513" ht="15" customHeight="1">
      <c r="K2513" s="26" t="n"/>
      <c r="L2513" s="26" t="n"/>
      <c r="M2513" s="26" t="n"/>
      <c r="N2513" s="27" t="n"/>
    </row>
    <row r="2514" ht="15" customHeight="1">
      <c r="K2514" s="26" t="n"/>
      <c r="L2514" s="26" t="n"/>
      <c r="M2514" s="26" t="n"/>
      <c r="N2514" s="27" t="n"/>
    </row>
    <row r="2515" ht="15" customHeight="1">
      <c r="K2515" s="26" t="n"/>
      <c r="L2515" s="26" t="n"/>
      <c r="M2515" s="26" t="n"/>
      <c r="N2515" s="27" t="n"/>
    </row>
    <row r="2516" ht="15" customHeight="1">
      <c r="K2516" s="26" t="n"/>
      <c r="L2516" s="26" t="n"/>
      <c r="M2516" s="26" t="n"/>
      <c r="N2516" s="27" t="n"/>
    </row>
    <row r="2517" ht="15" customHeight="1">
      <c r="K2517" s="26" t="n"/>
      <c r="L2517" s="26" t="n"/>
      <c r="M2517" s="26" t="n"/>
      <c r="N2517" s="27" t="n"/>
    </row>
    <row r="2518" ht="15" customHeight="1">
      <c r="K2518" s="26" t="n"/>
      <c r="L2518" s="26" t="n"/>
      <c r="M2518" s="26" t="n"/>
      <c r="N2518" s="27" t="n"/>
    </row>
    <row r="2519" ht="15" customHeight="1">
      <c r="K2519" s="26" t="n"/>
      <c r="L2519" s="26" t="n"/>
      <c r="M2519" s="26" t="n"/>
      <c r="N2519" s="27" t="n"/>
    </row>
    <row r="2520" ht="15" customHeight="1">
      <c r="K2520" s="26" t="n"/>
      <c r="L2520" s="26" t="n"/>
      <c r="M2520" s="26" t="n"/>
      <c r="N2520" s="27" t="n"/>
    </row>
    <row r="2521" ht="15" customHeight="1">
      <c r="K2521" s="26" t="n"/>
      <c r="L2521" s="26" t="n"/>
      <c r="M2521" s="26" t="n"/>
      <c r="N2521" s="27" t="n"/>
    </row>
    <row r="2522" ht="15" customHeight="1">
      <c r="K2522" s="26" t="n"/>
      <c r="L2522" s="26" t="n"/>
      <c r="M2522" s="26" t="n"/>
      <c r="N2522" s="27" t="n"/>
    </row>
    <row r="2523" ht="15" customHeight="1">
      <c r="K2523" s="26" t="n"/>
      <c r="L2523" s="26" t="n"/>
      <c r="M2523" s="26" t="n"/>
      <c r="N2523" s="27" t="n"/>
    </row>
    <row r="2524" ht="15" customHeight="1">
      <c r="K2524" s="26" t="n"/>
      <c r="L2524" s="26" t="n"/>
      <c r="M2524" s="26" t="n"/>
      <c r="N2524" s="27" t="n"/>
    </row>
    <row r="2525" ht="15" customHeight="1">
      <c r="K2525" s="26" t="n"/>
      <c r="L2525" s="26" t="n"/>
      <c r="M2525" s="26" t="n"/>
      <c r="N2525" s="27" t="n"/>
    </row>
    <row r="2526" ht="15" customHeight="1">
      <c r="K2526" s="26" t="n"/>
      <c r="L2526" s="26" t="n"/>
      <c r="M2526" s="26" t="n"/>
      <c r="N2526" s="27" t="n"/>
    </row>
    <row r="2527" ht="15" customHeight="1">
      <c r="K2527" s="26" t="n"/>
      <c r="L2527" s="26" t="n"/>
      <c r="M2527" s="26" t="n"/>
      <c r="N2527" s="27" t="n"/>
    </row>
    <row r="2528" ht="15" customHeight="1">
      <c r="K2528" s="26" t="n"/>
      <c r="L2528" s="26" t="n"/>
      <c r="M2528" s="26" t="n"/>
      <c r="N2528" s="27" t="n"/>
    </row>
    <row r="2529" ht="15" customHeight="1">
      <c r="K2529" s="26" t="n"/>
      <c r="L2529" s="26" t="n"/>
      <c r="M2529" s="26" t="n"/>
      <c r="N2529" s="27" t="n"/>
    </row>
    <row r="2530" ht="15" customHeight="1">
      <c r="K2530" s="26" t="n"/>
      <c r="L2530" s="26" t="n"/>
      <c r="M2530" s="26" t="n"/>
      <c r="N2530" s="27" t="n"/>
    </row>
    <row r="2531" ht="15" customHeight="1">
      <c r="K2531" s="26" t="n"/>
      <c r="L2531" s="26" t="n"/>
      <c r="M2531" s="26" t="n"/>
      <c r="N2531" s="27" t="n"/>
    </row>
    <row r="2532" ht="15" customHeight="1">
      <c r="K2532" s="26" t="n"/>
      <c r="L2532" s="26" t="n"/>
      <c r="M2532" s="26" t="n"/>
      <c r="N2532" s="27" t="n"/>
    </row>
    <row r="2533" ht="15" customHeight="1">
      <c r="K2533" s="26" t="n"/>
      <c r="L2533" s="26" t="n"/>
      <c r="M2533" s="26" t="n"/>
      <c r="N2533" s="27" t="n"/>
    </row>
    <row r="2534" ht="15" customHeight="1">
      <c r="K2534" s="26" t="n"/>
      <c r="L2534" s="26" t="n"/>
      <c r="M2534" s="26" t="n"/>
      <c r="N2534" s="27" t="n"/>
    </row>
    <row r="2535" ht="15" customHeight="1">
      <c r="K2535" s="26" t="n"/>
      <c r="L2535" s="26" t="n"/>
      <c r="M2535" s="26" t="n"/>
      <c r="N2535" s="27" t="n"/>
    </row>
    <row r="2536" ht="15" customHeight="1">
      <c r="K2536" s="26" t="n"/>
      <c r="L2536" s="26" t="n"/>
      <c r="M2536" s="26" t="n"/>
      <c r="N2536" s="27" t="n"/>
    </row>
    <row r="2537" ht="15" customHeight="1">
      <c r="K2537" s="26" t="n"/>
      <c r="L2537" s="26" t="n"/>
      <c r="M2537" s="26" t="n"/>
      <c r="N2537" s="27" t="n"/>
    </row>
    <row r="2538" ht="15" customHeight="1">
      <c r="K2538" s="26" t="n"/>
      <c r="L2538" s="26" t="n"/>
      <c r="M2538" s="26" t="n"/>
      <c r="N2538" s="27" t="n"/>
    </row>
    <row r="2539" ht="15" customHeight="1">
      <c r="K2539" s="26" t="n"/>
      <c r="L2539" s="26" t="n"/>
      <c r="M2539" s="26" t="n"/>
      <c r="N2539" s="27" t="n"/>
    </row>
    <row r="2540" ht="15" customHeight="1">
      <c r="K2540" s="26" t="n"/>
      <c r="L2540" s="26" t="n"/>
      <c r="M2540" s="26" t="n"/>
      <c r="N2540" s="27" t="n"/>
    </row>
    <row r="2541" ht="15" customHeight="1">
      <c r="K2541" s="26" t="n"/>
      <c r="L2541" s="26" t="n"/>
      <c r="M2541" s="26" t="n"/>
      <c r="N2541" s="27" t="n"/>
    </row>
    <row r="2542" ht="15" customHeight="1">
      <c r="K2542" s="26" t="n"/>
      <c r="L2542" s="26" t="n"/>
      <c r="M2542" s="26" t="n"/>
      <c r="N2542" s="27" t="n"/>
    </row>
    <row r="2543" ht="15" customHeight="1">
      <c r="K2543" s="26" t="n"/>
      <c r="L2543" s="26" t="n"/>
      <c r="M2543" s="26" t="n"/>
      <c r="N2543" s="27" t="n"/>
    </row>
    <row r="2544" ht="15" customHeight="1">
      <c r="K2544" s="26" t="n"/>
      <c r="L2544" s="26" t="n"/>
      <c r="M2544" s="26" t="n"/>
      <c r="N2544" s="27" t="n"/>
    </row>
    <row r="2545" ht="15" customHeight="1">
      <c r="K2545" s="26" t="n"/>
      <c r="L2545" s="26" t="n"/>
      <c r="M2545" s="26" t="n"/>
      <c r="N2545" s="27" t="n"/>
    </row>
    <row r="2546" ht="15" customHeight="1">
      <c r="K2546" s="26" t="n"/>
      <c r="L2546" s="26" t="n"/>
      <c r="M2546" s="26" t="n"/>
      <c r="N2546" s="27" t="n"/>
    </row>
    <row r="2547" ht="15" customHeight="1">
      <c r="K2547" s="26" t="n"/>
      <c r="L2547" s="26" t="n"/>
      <c r="M2547" s="26" t="n"/>
      <c r="N2547" s="27" t="n"/>
    </row>
    <row r="2548" ht="15" customHeight="1">
      <c r="K2548" s="26" t="n"/>
      <c r="L2548" s="26" t="n"/>
      <c r="M2548" s="26" t="n"/>
      <c r="N2548" s="27" t="n"/>
    </row>
    <row r="2549" ht="15" customHeight="1">
      <c r="K2549" s="26" t="n"/>
      <c r="L2549" s="26" t="n"/>
      <c r="M2549" s="26" t="n"/>
      <c r="N2549" s="27" t="n"/>
    </row>
    <row r="2550" ht="15" customHeight="1">
      <c r="K2550" s="26" t="n"/>
      <c r="L2550" s="26" t="n"/>
      <c r="M2550" s="26" t="n"/>
      <c r="N2550" s="27" t="n"/>
    </row>
    <row r="2551" ht="15" customHeight="1">
      <c r="K2551" s="26" t="n"/>
      <c r="L2551" s="26" t="n"/>
      <c r="M2551" s="26" t="n"/>
      <c r="N2551" s="27" t="n"/>
    </row>
    <row r="2552" ht="15" customHeight="1">
      <c r="K2552" s="26" t="n"/>
      <c r="L2552" s="26" t="n"/>
      <c r="M2552" s="26" t="n"/>
      <c r="N2552" s="27" t="n"/>
    </row>
    <row r="2553" ht="15" customHeight="1">
      <c r="K2553" s="26" t="n"/>
      <c r="L2553" s="26" t="n"/>
      <c r="M2553" s="26" t="n"/>
      <c r="N2553" s="27" t="n"/>
    </row>
    <row r="2554" ht="15" customHeight="1">
      <c r="K2554" s="26" t="n"/>
      <c r="L2554" s="26" t="n"/>
      <c r="M2554" s="26" t="n"/>
      <c r="N2554" s="27" t="n"/>
    </row>
    <row r="2555" ht="15" customHeight="1">
      <c r="K2555" s="26" t="n"/>
      <c r="L2555" s="26" t="n"/>
      <c r="M2555" s="26" t="n"/>
      <c r="N2555" s="27" t="n"/>
    </row>
    <row r="2556" ht="15" customHeight="1">
      <c r="K2556" s="26" t="n"/>
      <c r="L2556" s="26" t="n"/>
      <c r="M2556" s="26" t="n"/>
      <c r="N2556" s="27" t="n"/>
    </row>
    <row r="2557" ht="15" customHeight="1">
      <c r="K2557" s="26" t="n"/>
      <c r="L2557" s="26" t="n"/>
      <c r="M2557" s="26" t="n"/>
      <c r="N2557" s="27" t="n"/>
    </row>
    <row r="2558" ht="15" customHeight="1">
      <c r="K2558" s="26" t="n"/>
      <c r="L2558" s="26" t="n"/>
      <c r="M2558" s="26" t="n"/>
      <c r="N2558" s="27" t="n"/>
    </row>
    <row r="2559" ht="15" customHeight="1">
      <c r="K2559" s="26" t="n"/>
      <c r="L2559" s="26" t="n"/>
      <c r="M2559" s="26" t="n"/>
      <c r="N2559" s="27" t="n"/>
    </row>
    <row r="2560" ht="15" customHeight="1">
      <c r="K2560" s="26" t="n"/>
      <c r="L2560" s="26" t="n"/>
      <c r="M2560" s="26" t="n"/>
      <c r="N2560" s="27" t="n"/>
    </row>
    <row r="2561" ht="15" customHeight="1">
      <c r="K2561" s="26" t="n"/>
      <c r="L2561" s="26" t="n"/>
      <c r="M2561" s="26" t="n"/>
      <c r="N2561" s="27" t="n"/>
    </row>
    <row r="2562" ht="15" customHeight="1">
      <c r="K2562" s="26" t="n"/>
      <c r="L2562" s="26" t="n"/>
      <c r="M2562" s="26" t="n"/>
      <c r="N2562" s="27" t="n"/>
    </row>
    <row r="2563" ht="15" customHeight="1">
      <c r="K2563" s="26" t="n"/>
      <c r="L2563" s="26" t="n"/>
      <c r="M2563" s="26" t="n"/>
      <c r="N2563" s="27" t="n"/>
    </row>
    <row r="2564" ht="15" customHeight="1">
      <c r="K2564" s="26" t="n"/>
      <c r="L2564" s="26" t="n"/>
      <c r="M2564" s="26" t="n"/>
      <c r="N2564" s="27" t="n"/>
    </row>
    <row r="2565" ht="15" customHeight="1">
      <c r="K2565" s="26" t="n"/>
      <c r="L2565" s="26" t="n"/>
      <c r="M2565" s="26" t="n"/>
      <c r="N2565" s="27" t="n"/>
    </row>
    <row r="2566" ht="15" customHeight="1">
      <c r="K2566" s="26" t="n"/>
      <c r="L2566" s="26" t="n"/>
      <c r="M2566" s="26" t="n"/>
      <c r="N2566" s="27" t="n"/>
    </row>
    <row r="2567" ht="15" customHeight="1">
      <c r="K2567" s="26" t="n"/>
      <c r="L2567" s="26" t="n"/>
      <c r="M2567" s="26" t="n"/>
      <c r="N2567" s="27" t="n"/>
    </row>
    <row r="2568" ht="15" customHeight="1">
      <c r="K2568" s="26" t="n"/>
      <c r="L2568" s="26" t="n"/>
      <c r="M2568" s="26" t="n"/>
      <c r="N2568" s="27" t="n"/>
    </row>
    <row r="2569" ht="15" customHeight="1">
      <c r="K2569" s="26" t="n"/>
      <c r="L2569" s="26" t="n"/>
      <c r="M2569" s="26" t="n"/>
      <c r="N2569" s="27" t="n"/>
    </row>
    <row r="2570" ht="15" customHeight="1">
      <c r="K2570" s="26" t="n"/>
      <c r="L2570" s="26" t="n"/>
      <c r="M2570" s="26" t="n"/>
      <c r="N2570" s="27" t="n"/>
    </row>
    <row r="2571" ht="15" customHeight="1">
      <c r="K2571" s="26" t="n"/>
      <c r="L2571" s="26" t="n"/>
      <c r="M2571" s="26" t="n"/>
      <c r="N2571" s="27" t="n"/>
    </row>
    <row r="2572" ht="15" customHeight="1">
      <c r="K2572" s="26" t="n"/>
      <c r="L2572" s="26" t="n"/>
      <c r="M2572" s="26" t="n"/>
      <c r="N2572" s="27" t="n"/>
    </row>
    <row r="2573" ht="15" customHeight="1">
      <c r="K2573" s="26" t="n"/>
      <c r="L2573" s="26" t="n"/>
      <c r="M2573" s="26" t="n"/>
      <c r="N2573" s="27" t="n"/>
    </row>
    <row r="2574" ht="15" customHeight="1">
      <c r="K2574" s="26" t="n"/>
      <c r="L2574" s="26" t="n"/>
      <c r="M2574" s="26" t="n"/>
      <c r="N2574" s="27" t="n"/>
    </row>
    <row r="2575" ht="15" customHeight="1">
      <c r="K2575" s="26" t="n"/>
      <c r="L2575" s="26" t="n"/>
      <c r="M2575" s="26" t="n"/>
      <c r="N2575" s="27" t="n"/>
    </row>
    <row r="2576" ht="15" customHeight="1">
      <c r="K2576" s="26" t="n"/>
      <c r="L2576" s="26" t="n"/>
      <c r="M2576" s="26" t="n"/>
      <c r="N2576" s="27" t="n"/>
    </row>
    <row r="2577" ht="15" customHeight="1">
      <c r="K2577" s="26" t="n"/>
      <c r="L2577" s="26" t="n"/>
      <c r="M2577" s="26" t="n"/>
      <c r="N2577" s="27" t="n"/>
    </row>
    <row r="2578" ht="15" customHeight="1">
      <c r="K2578" s="26" t="n"/>
      <c r="L2578" s="26" t="n"/>
      <c r="M2578" s="26" t="n"/>
      <c r="N2578" s="27" t="n"/>
    </row>
    <row r="2579" ht="15" customHeight="1">
      <c r="K2579" s="26" t="n"/>
      <c r="L2579" s="26" t="n"/>
      <c r="M2579" s="26" t="n"/>
      <c r="N2579" s="27" t="n"/>
    </row>
    <row r="2580" ht="15" customHeight="1">
      <c r="K2580" s="26" t="n"/>
      <c r="L2580" s="26" t="n"/>
      <c r="M2580" s="26" t="n"/>
      <c r="N2580" s="27" t="n"/>
    </row>
    <row r="2581" ht="15" customHeight="1">
      <c r="K2581" s="26" t="n"/>
      <c r="L2581" s="26" t="n"/>
      <c r="M2581" s="26" t="n"/>
      <c r="N2581" s="27" t="n"/>
    </row>
    <row r="2582" ht="15" customHeight="1">
      <c r="K2582" s="26" t="n"/>
      <c r="L2582" s="26" t="n"/>
      <c r="M2582" s="26" t="n"/>
      <c r="N2582" s="27" t="n"/>
    </row>
    <row r="2583" ht="15" customHeight="1">
      <c r="K2583" s="26" t="n"/>
      <c r="L2583" s="26" t="n"/>
      <c r="M2583" s="26" t="n"/>
      <c r="N2583" s="27" t="n"/>
    </row>
    <row r="2584" ht="15" customHeight="1">
      <c r="K2584" s="26" t="n"/>
      <c r="L2584" s="26" t="n"/>
      <c r="M2584" s="26" t="n"/>
      <c r="N2584" s="27" t="n"/>
    </row>
    <row r="2585" ht="15" customHeight="1">
      <c r="K2585" s="26" t="n"/>
      <c r="L2585" s="26" t="n"/>
      <c r="M2585" s="26" t="n"/>
      <c r="N2585" s="27" t="n"/>
    </row>
    <row r="2586" ht="15" customHeight="1">
      <c r="K2586" s="26" t="n"/>
      <c r="L2586" s="26" t="n"/>
      <c r="M2586" s="26" t="n"/>
      <c r="N2586" s="27" t="n"/>
    </row>
    <row r="2587" ht="15" customHeight="1">
      <c r="K2587" s="26" t="n"/>
      <c r="L2587" s="26" t="n"/>
      <c r="M2587" s="26" t="n"/>
      <c r="N2587" s="27" t="n"/>
    </row>
    <row r="2588" ht="15" customHeight="1">
      <c r="K2588" s="26" t="n"/>
      <c r="L2588" s="26" t="n"/>
      <c r="M2588" s="26" t="n"/>
      <c r="N2588" s="27" t="n"/>
    </row>
    <row r="2589" ht="15" customHeight="1">
      <c r="K2589" s="26" t="n"/>
      <c r="L2589" s="26" t="n"/>
      <c r="M2589" s="26" t="n"/>
      <c r="N2589" s="27" t="n"/>
    </row>
    <row r="2590" ht="15" customHeight="1">
      <c r="K2590" s="26" t="n"/>
      <c r="L2590" s="26" t="n"/>
      <c r="M2590" s="26" t="n"/>
      <c r="N2590" s="27" t="n"/>
    </row>
    <row r="2591" ht="15" customHeight="1">
      <c r="K2591" s="26" t="n"/>
      <c r="L2591" s="26" t="n"/>
      <c r="M2591" s="26" t="n"/>
      <c r="N2591" s="27" t="n"/>
    </row>
    <row r="2592" ht="15" customHeight="1">
      <c r="K2592" s="26" t="n"/>
      <c r="L2592" s="26" t="n"/>
      <c r="M2592" s="26" t="n"/>
      <c r="N2592" s="27" t="n"/>
    </row>
    <row r="2593" ht="15" customHeight="1">
      <c r="K2593" s="26" t="n"/>
      <c r="L2593" s="26" t="n"/>
      <c r="M2593" s="26" t="n"/>
      <c r="N2593" s="27" t="n"/>
    </row>
    <row r="2594" ht="15" customHeight="1">
      <c r="K2594" s="26" t="n"/>
      <c r="L2594" s="26" t="n"/>
      <c r="M2594" s="26" t="n"/>
      <c r="N2594" s="27" t="n"/>
    </row>
    <row r="2595" ht="15" customHeight="1">
      <c r="K2595" s="26" t="n"/>
      <c r="L2595" s="26" t="n"/>
      <c r="M2595" s="26" t="n"/>
      <c r="N2595" s="27" t="n"/>
    </row>
    <row r="2596" ht="15" customHeight="1">
      <c r="K2596" s="26" t="n"/>
      <c r="L2596" s="26" t="n"/>
      <c r="M2596" s="26" t="n"/>
      <c r="N2596" s="27" t="n"/>
    </row>
    <row r="2597" ht="15" customHeight="1">
      <c r="K2597" s="26" t="n"/>
      <c r="L2597" s="26" t="n"/>
      <c r="M2597" s="26" t="n"/>
      <c r="N2597" s="27" t="n"/>
    </row>
    <row r="2598" ht="15" customHeight="1">
      <c r="K2598" s="26" t="n"/>
      <c r="L2598" s="26" t="n"/>
      <c r="M2598" s="26" t="n"/>
      <c r="N2598" s="27" t="n"/>
    </row>
    <row r="2599" ht="15" customHeight="1">
      <c r="K2599" s="26" t="n"/>
      <c r="L2599" s="26" t="n"/>
      <c r="M2599" s="26" t="n"/>
      <c r="N2599" s="27" t="n"/>
    </row>
    <row r="2600" ht="15" customHeight="1">
      <c r="K2600" s="26" t="n"/>
      <c r="L2600" s="26" t="n"/>
      <c r="M2600" s="26" t="n"/>
      <c r="N2600" s="27" t="n"/>
    </row>
    <row r="2601" ht="15" customHeight="1">
      <c r="K2601" s="26" t="n"/>
      <c r="L2601" s="26" t="n"/>
      <c r="M2601" s="26" t="n"/>
      <c r="N2601" s="27" t="n"/>
    </row>
    <row r="2602" ht="15" customHeight="1">
      <c r="K2602" s="26" t="n"/>
      <c r="L2602" s="26" t="n"/>
      <c r="M2602" s="26" t="n"/>
      <c r="N2602" s="27" t="n"/>
    </row>
    <row r="2603" ht="15" customHeight="1">
      <c r="K2603" s="26" t="n"/>
      <c r="L2603" s="26" t="n"/>
      <c r="M2603" s="26" t="n"/>
      <c r="N2603" s="27" t="n"/>
    </row>
    <row r="2604" ht="15" customHeight="1">
      <c r="K2604" s="26" t="n"/>
      <c r="L2604" s="26" t="n"/>
      <c r="M2604" s="26" t="n"/>
      <c r="N2604" s="27" t="n"/>
    </row>
    <row r="2605" ht="15" customHeight="1">
      <c r="K2605" s="26" t="n"/>
      <c r="L2605" s="26" t="n"/>
      <c r="M2605" s="26" t="n"/>
      <c r="N2605" s="27" t="n"/>
    </row>
    <row r="2606" ht="15" customHeight="1">
      <c r="K2606" s="26" t="n"/>
      <c r="L2606" s="26" t="n"/>
      <c r="M2606" s="26" t="n"/>
      <c r="N2606" s="27" t="n"/>
    </row>
    <row r="2607" ht="15" customHeight="1">
      <c r="K2607" s="26" t="n"/>
      <c r="L2607" s="26" t="n"/>
      <c r="M2607" s="26" t="n"/>
      <c r="N2607" s="27" t="n"/>
    </row>
    <row r="2608" ht="15" customHeight="1">
      <c r="K2608" s="26" t="n"/>
      <c r="L2608" s="26" t="n"/>
      <c r="M2608" s="26" t="n"/>
      <c r="N2608" s="27" t="n"/>
    </row>
    <row r="2609" ht="15" customHeight="1">
      <c r="K2609" s="26" t="n"/>
      <c r="L2609" s="26" t="n"/>
      <c r="M2609" s="26" t="n"/>
      <c r="N2609" s="27" t="n"/>
    </row>
    <row r="2610" ht="15" customHeight="1">
      <c r="K2610" s="26" t="n"/>
      <c r="L2610" s="26" t="n"/>
      <c r="M2610" s="26" t="n"/>
      <c r="N2610" s="27" t="n"/>
    </row>
    <row r="2611" ht="15" customHeight="1">
      <c r="K2611" s="26" t="n"/>
      <c r="L2611" s="26" t="n"/>
      <c r="M2611" s="26" t="n"/>
      <c r="N2611" s="27" t="n"/>
    </row>
    <row r="2612" ht="15" customHeight="1">
      <c r="K2612" s="26" t="n"/>
      <c r="L2612" s="26" t="n"/>
      <c r="M2612" s="26" t="n"/>
      <c r="N2612" s="27" t="n"/>
    </row>
    <row r="2613" ht="15" customHeight="1">
      <c r="K2613" s="26" t="n"/>
      <c r="L2613" s="26" t="n"/>
      <c r="M2613" s="26" t="n"/>
      <c r="N2613" s="27" t="n"/>
    </row>
    <row r="2614" ht="15" customHeight="1">
      <c r="K2614" s="26" t="n"/>
      <c r="L2614" s="26" t="n"/>
      <c r="M2614" s="26" t="n"/>
      <c r="N2614" s="27" t="n"/>
    </row>
    <row r="2615" ht="15" customHeight="1">
      <c r="K2615" s="26" t="n"/>
      <c r="L2615" s="26" t="n"/>
      <c r="M2615" s="26" t="n"/>
      <c r="N2615" s="27" t="n"/>
    </row>
    <row r="2616" ht="15" customHeight="1">
      <c r="K2616" s="26" t="n"/>
      <c r="L2616" s="26" t="n"/>
      <c r="M2616" s="26" t="n"/>
      <c r="N2616" s="27" t="n"/>
    </row>
    <row r="2617" ht="15" customHeight="1">
      <c r="K2617" s="26" t="n"/>
      <c r="L2617" s="26" t="n"/>
      <c r="M2617" s="26" t="n"/>
      <c r="N2617" s="27" t="n"/>
    </row>
    <row r="2618" ht="15" customHeight="1">
      <c r="K2618" s="26" t="n"/>
      <c r="L2618" s="26" t="n"/>
      <c r="M2618" s="26" t="n"/>
      <c r="N2618" s="27" t="n"/>
    </row>
    <row r="2619" ht="15" customHeight="1">
      <c r="K2619" s="26" t="n"/>
      <c r="L2619" s="26" t="n"/>
      <c r="M2619" s="26" t="n"/>
      <c r="N2619" s="27" t="n"/>
    </row>
    <row r="2620" ht="15" customHeight="1">
      <c r="K2620" s="26" t="n"/>
      <c r="L2620" s="26" t="n"/>
      <c r="M2620" s="26" t="n"/>
      <c r="N2620" s="27" t="n"/>
    </row>
    <row r="2621" ht="15" customHeight="1">
      <c r="K2621" s="26" t="n"/>
      <c r="L2621" s="26" t="n"/>
      <c r="M2621" s="26" t="n"/>
      <c r="N2621" s="27" t="n"/>
    </row>
    <row r="2622" ht="15" customHeight="1">
      <c r="K2622" s="26" t="n"/>
      <c r="L2622" s="26" t="n"/>
      <c r="M2622" s="26" t="n"/>
      <c r="N2622" s="27" t="n"/>
    </row>
    <row r="2623" ht="15" customHeight="1">
      <c r="K2623" s="26" t="n"/>
      <c r="L2623" s="26" t="n"/>
      <c r="M2623" s="26" t="n"/>
      <c r="N2623" s="27" t="n"/>
    </row>
    <row r="2624" ht="15" customHeight="1">
      <c r="K2624" s="26" t="n"/>
      <c r="L2624" s="26" t="n"/>
      <c r="M2624" s="26" t="n"/>
      <c r="N2624" s="27" t="n"/>
    </row>
    <row r="2625" ht="15" customHeight="1">
      <c r="K2625" s="26" t="n"/>
      <c r="L2625" s="26" t="n"/>
      <c r="M2625" s="26" t="n"/>
      <c r="N2625" s="27" t="n"/>
    </row>
    <row r="2626" ht="15" customHeight="1">
      <c r="K2626" s="26" t="n"/>
      <c r="L2626" s="26" t="n"/>
      <c r="M2626" s="26" t="n"/>
      <c r="N2626" s="27" t="n"/>
    </row>
    <row r="2627" ht="15" customHeight="1">
      <c r="K2627" s="26" t="n"/>
      <c r="L2627" s="26" t="n"/>
      <c r="M2627" s="26" t="n"/>
      <c r="N2627" s="27" t="n"/>
    </row>
    <row r="2628" ht="15" customHeight="1">
      <c r="K2628" s="26" t="n"/>
      <c r="L2628" s="26" t="n"/>
      <c r="M2628" s="26" t="n"/>
      <c r="N2628" s="27" t="n"/>
    </row>
    <row r="2629" ht="15" customHeight="1">
      <c r="K2629" s="26" t="n"/>
      <c r="L2629" s="26" t="n"/>
      <c r="M2629" s="26" t="n"/>
      <c r="N2629" s="27" t="n"/>
    </row>
    <row r="2630" ht="15" customHeight="1">
      <c r="K2630" s="26" t="n"/>
      <c r="L2630" s="26" t="n"/>
      <c r="M2630" s="26" t="n"/>
      <c r="N2630" s="27" t="n"/>
    </row>
    <row r="2631" ht="15" customHeight="1">
      <c r="K2631" s="26" t="n"/>
      <c r="L2631" s="26" t="n"/>
      <c r="M2631" s="26" t="n"/>
      <c r="N2631" s="27" t="n"/>
    </row>
    <row r="2632" ht="15" customHeight="1">
      <c r="K2632" s="26" t="n"/>
      <c r="L2632" s="26" t="n"/>
      <c r="M2632" s="26" t="n"/>
      <c r="N2632" s="27" t="n"/>
    </row>
    <row r="2633" ht="15" customHeight="1">
      <c r="K2633" s="26" t="n"/>
      <c r="L2633" s="26" t="n"/>
      <c r="M2633" s="26" t="n"/>
      <c r="N2633" s="27" t="n"/>
    </row>
    <row r="2634" ht="15" customHeight="1">
      <c r="K2634" s="26" t="n"/>
      <c r="L2634" s="26" t="n"/>
      <c r="M2634" s="26" t="n"/>
      <c r="N2634" s="27" t="n"/>
    </row>
    <row r="2635" ht="15" customHeight="1">
      <c r="K2635" s="26" t="n"/>
      <c r="L2635" s="26" t="n"/>
      <c r="M2635" s="26" t="n"/>
      <c r="N2635" s="27" t="n"/>
    </row>
    <row r="2636" ht="15" customHeight="1">
      <c r="K2636" s="26" t="n"/>
      <c r="L2636" s="26" t="n"/>
      <c r="M2636" s="26" t="n"/>
      <c r="N2636" s="27" t="n"/>
    </row>
    <row r="2637" ht="15" customHeight="1">
      <c r="K2637" s="26" t="n"/>
      <c r="L2637" s="26" t="n"/>
      <c r="M2637" s="26" t="n"/>
      <c r="N2637" s="27" t="n"/>
    </row>
    <row r="2638" ht="15" customHeight="1">
      <c r="K2638" s="26" t="n"/>
      <c r="L2638" s="26" t="n"/>
      <c r="M2638" s="26" t="n"/>
      <c r="N2638" s="27" t="n"/>
    </row>
    <row r="2639" ht="15" customHeight="1">
      <c r="K2639" s="26" t="n"/>
      <c r="L2639" s="26" t="n"/>
      <c r="M2639" s="26" t="n"/>
      <c r="N2639" s="27" t="n"/>
    </row>
    <row r="2640" ht="15" customHeight="1">
      <c r="K2640" s="26" t="n"/>
      <c r="L2640" s="26" t="n"/>
      <c r="M2640" s="26" t="n"/>
      <c r="N2640" s="27" t="n"/>
    </row>
    <row r="2641" ht="15" customHeight="1">
      <c r="K2641" s="26" t="n"/>
      <c r="L2641" s="26" t="n"/>
      <c r="M2641" s="26" t="n"/>
      <c r="N2641" s="27" t="n"/>
    </row>
    <row r="2642" ht="15" customHeight="1">
      <c r="K2642" s="26" t="n"/>
      <c r="L2642" s="26" t="n"/>
      <c r="M2642" s="26" t="n"/>
      <c r="N2642" s="27" t="n"/>
    </row>
    <row r="2643" ht="15" customHeight="1">
      <c r="K2643" s="26" t="n"/>
      <c r="L2643" s="26" t="n"/>
      <c r="M2643" s="26" t="n"/>
      <c r="N2643" s="27" t="n"/>
    </row>
    <row r="2644" ht="15" customHeight="1">
      <c r="K2644" s="26" t="n"/>
      <c r="L2644" s="26" t="n"/>
      <c r="M2644" s="26" t="n"/>
      <c r="N2644" s="27" t="n"/>
    </row>
    <row r="2645" ht="15" customHeight="1">
      <c r="K2645" s="26" t="n"/>
      <c r="L2645" s="26" t="n"/>
      <c r="M2645" s="26" t="n"/>
      <c r="N2645" s="27" t="n"/>
    </row>
    <row r="2646" ht="15" customHeight="1">
      <c r="K2646" s="26" t="n"/>
      <c r="L2646" s="26" t="n"/>
      <c r="M2646" s="26" t="n"/>
      <c r="N2646" s="27" t="n"/>
    </row>
    <row r="2647" ht="15" customHeight="1">
      <c r="K2647" s="26" t="n"/>
      <c r="L2647" s="26" t="n"/>
      <c r="M2647" s="26" t="n"/>
      <c r="N2647" s="27" t="n"/>
    </row>
    <row r="2648" ht="15" customHeight="1">
      <c r="K2648" s="26" t="n"/>
      <c r="L2648" s="26" t="n"/>
      <c r="M2648" s="26" t="n"/>
      <c r="N2648" s="27" t="n"/>
    </row>
    <row r="2649" ht="15" customHeight="1">
      <c r="K2649" s="26" t="n"/>
      <c r="L2649" s="26" t="n"/>
      <c r="M2649" s="26" t="n"/>
      <c r="N2649" s="27" t="n"/>
    </row>
    <row r="2650" ht="15" customHeight="1">
      <c r="K2650" s="26" t="n"/>
      <c r="L2650" s="26" t="n"/>
      <c r="M2650" s="26" t="n"/>
      <c r="N2650" s="27" t="n"/>
    </row>
    <row r="2651" ht="15" customHeight="1">
      <c r="K2651" s="26" t="n"/>
      <c r="L2651" s="26" t="n"/>
      <c r="M2651" s="26" t="n"/>
      <c r="N2651" s="27" t="n"/>
    </row>
    <row r="2652" ht="15" customHeight="1">
      <c r="K2652" s="26" t="n"/>
      <c r="L2652" s="26" t="n"/>
      <c r="M2652" s="26" t="n"/>
      <c r="N2652" s="27" t="n"/>
    </row>
    <row r="2653" ht="15" customHeight="1">
      <c r="K2653" s="26" t="n"/>
      <c r="L2653" s="26" t="n"/>
      <c r="M2653" s="26" t="n"/>
      <c r="N2653" s="27" t="n"/>
    </row>
    <row r="2654" ht="15" customHeight="1">
      <c r="K2654" s="26" t="n"/>
      <c r="L2654" s="26" t="n"/>
      <c r="M2654" s="26" t="n"/>
      <c r="N2654" s="27" t="n"/>
    </row>
    <row r="2655" ht="15" customHeight="1">
      <c r="K2655" s="26" t="n"/>
      <c r="L2655" s="26" t="n"/>
      <c r="M2655" s="26" t="n"/>
      <c r="N2655" s="27" t="n"/>
    </row>
    <row r="2656" ht="15" customHeight="1">
      <c r="K2656" s="26" t="n"/>
      <c r="L2656" s="26" t="n"/>
      <c r="M2656" s="26" t="n"/>
      <c r="N2656" s="27" t="n"/>
    </row>
    <row r="2657" ht="15" customHeight="1">
      <c r="K2657" s="26" t="n"/>
      <c r="L2657" s="26" t="n"/>
      <c r="M2657" s="26" t="n"/>
      <c r="N2657" s="27" t="n"/>
    </row>
    <row r="2658" ht="15" customHeight="1">
      <c r="K2658" s="26" t="n"/>
      <c r="L2658" s="26" t="n"/>
      <c r="M2658" s="26" t="n"/>
      <c r="N2658" s="27" t="n"/>
    </row>
    <row r="2659" ht="15" customHeight="1">
      <c r="K2659" s="26" t="n"/>
      <c r="L2659" s="26" t="n"/>
      <c r="M2659" s="26" t="n"/>
      <c r="N2659" s="27" t="n"/>
    </row>
    <row r="2660" ht="15" customHeight="1">
      <c r="K2660" s="26" t="n"/>
      <c r="L2660" s="26" t="n"/>
      <c r="M2660" s="26" t="n"/>
      <c r="N2660" s="27" t="n"/>
    </row>
    <row r="2661" ht="15" customHeight="1">
      <c r="K2661" s="26" t="n"/>
      <c r="L2661" s="26" t="n"/>
      <c r="M2661" s="26" t="n"/>
      <c r="N2661" s="27" t="n"/>
    </row>
    <row r="2662" ht="15" customHeight="1">
      <c r="K2662" s="26" t="n"/>
      <c r="L2662" s="26" t="n"/>
      <c r="M2662" s="26" t="n"/>
      <c r="N2662" s="27" t="n"/>
    </row>
    <row r="2663" ht="15" customHeight="1">
      <c r="K2663" s="26" t="n"/>
      <c r="L2663" s="26" t="n"/>
      <c r="M2663" s="26" t="n"/>
      <c r="N2663" s="27" t="n"/>
    </row>
    <row r="2664" ht="15" customHeight="1">
      <c r="K2664" s="26" t="n"/>
      <c r="L2664" s="26" t="n"/>
      <c r="M2664" s="26" t="n"/>
      <c r="N2664" s="27" t="n"/>
    </row>
    <row r="2665" ht="15" customHeight="1">
      <c r="K2665" s="26" t="n"/>
      <c r="L2665" s="26" t="n"/>
      <c r="M2665" s="26" t="n"/>
      <c r="N2665" s="27" t="n"/>
    </row>
    <row r="2666" ht="15" customHeight="1">
      <c r="K2666" s="26" t="n"/>
      <c r="L2666" s="26" t="n"/>
      <c r="M2666" s="26" t="n"/>
      <c r="N2666" s="27" t="n"/>
    </row>
    <row r="2667" ht="15" customHeight="1">
      <c r="K2667" s="26" t="n"/>
      <c r="L2667" s="26" t="n"/>
      <c r="M2667" s="26" t="n"/>
      <c r="N2667" s="27" t="n"/>
    </row>
    <row r="2668" ht="15" customHeight="1">
      <c r="K2668" s="26" t="n"/>
      <c r="L2668" s="26" t="n"/>
      <c r="M2668" s="26" t="n"/>
      <c r="N2668" s="27" t="n"/>
    </row>
    <row r="2669" ht="15" customHeight="1">
      <c r="K2669" s="26" t="n"/>
      <c r="L2669" s="26" t="n"/>
      <c r="M2669" s="26" t="n"/>
      <c r="N2669" s="27" t="n"/>
    </row>
    <row r="2670" ht="15" customHeight="1">
      <c r="K2670" s="26" t="n"/>
      <c r="L2670" s="26" t="n"/>
      <c r="M2670" s="26" t="n"/>
      <c r="N2670" s="27" t="n"/>
    </row>
    <row r="2671" ht="15" customHeight="1">
      <c r="K2671" s="26" t="n"/>
      <c r="L2671" s="26" t="n"/>
      <c r="M2671" s="26" t="n"/>
      <c r="N2671" s="27" t="n"/>
    </row>
    <row r="2672" ht="15" customHeight="1">
      <c r="K2672" s="26" t="n"/>
      <c r="L2672" s="26" t="n"/>
      <c r="M2672" s="26" t="n"/>
      <c r="N2672" s="27" t="n"/>
    </row>
    <row r="2673" ht="15" customHeight="1">
      <c r="K2673" s="26" t="n"/>
      <c r="L2673" s="26" t="n"/>
      <c r="M2673" s="26" t="n"/>
      <c r="N2673" s="27" t="n"/>
    </row>
    <row r="2674" ht="15" customHeight="1">
      <c r="K2674" s="26" t="n"/>
      <c r="L2674" s="26" t="n"/>
      <c r="M2674" s="26" t="n"/>
      <c r="N2674" s="27" t="n"/>
    </row>
    <row r="2675" ht="15" customHeight="1">
      <c r="K2675" s="26" t="n"/>
      <c r="L2675" s="26" t="n"/>
      <c r="M2675" s="26" t="n"/>
      <c r="N2675" s="27" t="n"/>
    </row>
    <row r="2676" ht="15" customHeight="1">
      <c r="K2676" s="26" t="n"/>
      <c r="L2676" s="26" t="n"/>
      <c r="M2676" s="26" t="n"/>
      <c r="N2676" s="27" t="n"/>
    </row>
    <row r="2677" ht="15" customHeight="1">
      <c r="K2677" s="26" t="n"/>
      <c r="L2677" s="26" t="n"/>
      <c r="M2677" s="26" t="n"/>
      <c r="N2677" s="27" t="n"/>
    </row>
    <row r="2678" ht="15" customHeight="1">
      <c r="K2678" s="26" t="n"/>
      <c r="L2678" s="26" t="n"/>
      <c r="M2678" s="26" t="n"/>
      <c r="N2678" s="27" t="n"/>
    </row>
    <row r="2679" ht="15" customHeight="1">
      <c r="K2679" s="26" t="n"/>
      <c r="L2679" s="26" t="n"/>
      <c r="M2679" s="26" t="n"/>
      <c r="N2679" s="27" t="n"/>
    </row>
    <row r="2680" ht="15" customHeight="1">
      <c r="K2680" s="26" t="n"/>
      <c r="L2680" s="26" t="n"/>
      <c r="M2680" s="26" t="n"/>
      <c r="N2680" s="27" t="n"/>
    </row>
    <row r="2681" ht="15" customHeight="1">
      <c r="K2681" s="26" t="n"/>
      <c r="L2681" s="26" t="n"/>
      <c r="M2681" s="26" t="n"/>
      <c r="N2681" s="27" t="n"/>
    </row>
    <row r="2682" ht="15" customHeight="1">
      <c r="K2682" s="26" t="n"/>
      <c r="L2682" s="26" t="n"/>
      <c r="M2682" s="26" t="n"/>
      <c r="N2682" s="27" t="n"/>
    </row>
    <row r="2683" ht="15" customHeight="1">
      <c r="K2683" s="26" t="n"/>
      <c r="L2683" s="26" t="n"/>
      <c r="M2683" s="26" t="n"/>
      <c r="N2683" s="27" t="n"/>
    </row>
    <row r="2684" ht="15" customHeight="1">
      <c r="K2684" s="26" t="n"/>
      <c r="L2684" s="26" t="n"/>
      <c r="M2684" s="26" t="n"/>
      <c r="N2684" s="27" t="n"/>
    </row>
    <row r="2685" ht="15" customHeight="1">
      <c r="K2685" s="26" t="n"/>
      <c r="L2685" s="26" t="n"/>
      <c r="M2685" s="26" t="n"/>
      <c r="N2685" s="27" t="n"/>
    </row>
    <row r="2686" ht="15" customHeight="1">
      <c r="K2686" s="26" t="n"/>
      <c r="L2686" s="26" t="n"/>
      <c r="M2686" s="26" t="n"/>
      <c r="N2686" s="27" t="n"/>
    </row>
    <row r="2687" ht="15" customHeight="1">
      <c r="K2687" s="26" t="n"/>
      <c r="L2687" s="26" t="n"/>
      <c r="M2687" s="26" t="n"/>
      <c r="N2687" s="27" t="n"/>
    </row>
    <row r="2688" ht="15" customHeight="1">
      <c r="K2688" s="26" t="n"/>
      <c r="L2688" s="26" t="n"/>
      <c r="M2688" s="26" t="n"/>
      <c r="N2688" s="27" t="n"/>
    </row>
    <row r="2689" ht="15" customHeight="1">
      <c r="K2689" s="26" t="n"/>
      <c r="L2689" s="26" t="n"/>
      <c r="M2689" s="26" t="n"/>
      <c r="N2689" s="27" t="n"/>
    </row>
    <row r="2690" ht="15" customHeight="1">
      <c r="K2690" s="26" t="n"/>
      <c r="L2690" s="26" t="n"/>
      <c r="M2690" s="26" t="n"/>
      <c r="N2690" s="27" t="n"/>
    </row>
    <row r="2691" ht="15" customHeight="1">
      <c r="K2691" s="26" t="n"/>
      <c r="L2691" s="26" t="n"/>
      <c r="M2691" s="26" t="n"/>
      <c r="N2691" s="27" t="n"/>
    </row>
    <row r="2692" ht="15" customHeight="1">
      <c r="K2692" s="26" t="n"/>
      <c r="L2692" s="26" t="n"/>
      <c r="M2692" s="26" t="n"/>
      <c r="N2692" s="27" t="n"/>
    </row>
    <row r="2693" ht="15" customHeight="1">
      <c r="K2693" s="26" t="n"/>
      <c r="L2693" s="26" t="n"/>
      <c r="M2693" s="26" t="n"/>
      <c r="N2693" s="27" t="n"/>
    </row>
    <row r="2694" ht="15" customHeight="1">
      <c r="K2694" s="26" t="n"/>
      <c r="L2694" s="26" t="n"/>
      <c r="M2694" s="26" t="n"/>
      <c r="N2694" s="27" t="n"/>
    </row>
    <row r="2695" ht="15" customHeight="1">
      <c r="K2695" s="26" t="n"/>
      <c r="L2695" s="26" t="n"/>
      <c r="M2695" s="26" t="n"/>
      <c r="N2695" s="27" t="n"/>
    </row>
    <row r="2696" ht="15" customHeight="1">
      <c r="K2696" s="26" t="n"/>
      <c r="L2696" s="26" t="n"/>
      <c r="M2696" s="26" t="n"/>
      <c r="N2696" s="27" t="n"/>
    </row>
    <row r="2697" ht="15" customHeight="1">
      <c r="K2697" s="26" t="n"/>
      <c r="L2697" s="26" t="n"/>
      <c r="M2697" s="26" t="n"/>
      <c r="N2697" s="27" t="n"/>
    </row>
    <row r="2698" ht="15" customHeight="1">
      <c r="K2698" s="26" t="n"/>
      <c r="L2698" s="26" t="n"/>
      <c r="M2698" s="26" t="n"/>
      <c r="N2698" s="27" t="n"/>
    </row>
    <row r="2699" ht="15" customHeight="1">
      <c r="K2699" s="26" t="n"/>
      <c r="L2699" s="26" t="n"/>
      <c r="M2699" s="26" t="n"/>
      <c r="N2699" s="27" t="n"/>
    </row>
    <row r="2700" ht="15" customHeight="1">
      <c r="K2700" s="26" t="n"/>
      <c r="L2700" s="26" t="n"/>
      <c r="M2700" s="26" t="n"/>
      <c r="N2700" s="27" t="n"/>
    </row>
    <row r="2701" ht="15" customHeight="1">
      <c r="K2701" s="26" t="n"/>
      <c r="L2701" s="26" t="n"/>
      <c r="M2701" s="26" t="n"/>
      <c r="N2701" s="27" t="n"/>
    </row>
    <row r="2702" ht="15" customHeight="1">
      <c r="K2702" s="26" t="n"/>
      <c r="L2702" s="26" t="n"/>
      <c r="M2702" s="26" t="n"/>
      <c r="N2702" s="27" t="n"/>
    </row>
    <row r="2703" ht="15" customHeight="1">
      <c r="K2703" s="26" t="n"/>
      <c r="L2703" s="26" t="n"/>
      <c r="M2703" s="26" t="n"/>
      <c r="N2703" s="27" t="n"/>
    </row>
    <row r="2704" ht="15" customHeight="1">
      <c r="K2704" s="26" t="n"/>
      <c r="L2704" s="26" t="n"/>
      <c r="M2704" s="26" t="n"/>
      <c r="N2704" s="27" t="n"/>
    </row>
    <row r="2705" ht="15" customHeight="1">
      <c r="K2705" s="26" t="n"/>
      <c r="L2705" s="26" t="n"/>
      <c r="M2705" s="26" t="n"/>
      <c r="N2705" s="27" t="n"/>
    </row>
    <row r="2706" ht="15" customHeight="1">
      <c r="K2706" s="26" t="n"/>
      <c r="L2706" s="26" t="n"/>
      <c r="M2706" s="26" t="n"/>
      <c r="N2706" s="27" t="n"/>
    </row>
    <row r="2707" ht="15" customHeight="1">
      <c r="K2707" s="26" t="n"/>
      <c r="L2707" s="26" t="n"/>
      <c r="M2707" s="26" t="n"/>
      <c r="N2707" s="27" t="n"/>
    </row>
    <row r="2708" ht="15" customHeight="1">
      <c r="K2708" s="26" t="n"/>
      <c r="L2708" s="26" t="n"/>
      <c r="M2708" s="26" t="n"/>
      <c r="N2708" s="27" t="n"/>
    </row>
    <row r="2709" ht="15" customHeight="1">
      <c r="K2709" s="26" t="n"/>
      <c r="L2709" s="26" t="n"/>
      <c r="M2709" s="26" t="n"/>
      <c r="N2709" s="27" t="n"/>
    </row>
    <row r="2710" ht="15" customHeight="1">
      <c r="K2710" s="26" t="n"/>
      <c r="L2710" s="26" t="n"/>
      <c r="M2710" s="26" t="n"/>
      <c r="N2710" s="27" t="n"/>
    </row>
    <row r="2711" ht="15" customHeight="1">
      <c r="K2711" s="26" t="n"/>
      <c r="L2711" s="26" t="n"/>
      <c r="M2711" s="26" t="n"/>
      <c r="N2711" s="27" t="n"/>
    </row>
    <row r="2712" ht="15" customHeight="1">
      <c r="K2712" s="26" t="n"/>
      <c r="L2712" s="26" t="n"/>
      <c r="M2712" s="26" t="n"/>
      <c r="N2712" s="27" t="n"/>
    </row>
    <row r="2713" ht="15" customHeight="1">
      <c r="K2713" s="26" t="n"/>
      <c r="L2713" s="26" t="n"/>
      <c r="M2713" s="26" t="n"/>
      <c r="N2713" s="27" t="n"/>
    </row>
    <row r="2714" ht="15" customHeight="1">
      <c r="K2714" s="26" t="n"/>
      <c r="L2714" s="26" t="n"/>
      <c r="M2714" s="26" t="n"/>
      <c r="N2714" s="27" t="n"/>
    </row>
    <row r="2715" ht="15" customHeight="1">
      <c r="K2715" s="26" t="n"/>
      <c r="L2715" s="26" t="n"/>
      <c r="M2715" s="26" t="n"/>
      <c r="N2715" s="27" t="n"/>
    </row>
    <row r="2716" ht="15" customHeight="1">
      <c r="K2716" s="26" t="n"/>
      <c r="L2716" s="26" t="n"/>
      <c r="M2716" s="26" t="n"/>
      <c r="N2716" s="27" t="n"/>
    </row>
    <row r="2717" ht="15" customHeight="1">
      <c r="K2717" s="26" t="n"/>
      <c r="L2717" s="26" t="n"/>
      <c r="M2717" s="26" t="n"/>
      <c r="N2717" s="27" t="n"/>
    </row>
    <row r="2718" ht="15" customHeight="1">
      <c r="K2718" s="26" t="n"/>
      <c r="L2718" s="26" t="n"/>
      <c r="M2718" s="26" t="n"/>
      <c r="N2718" s="27" t="n"/>
    </row>
    <row r="2719" ht="15" customHeight="1">
      <c r="K2719" s="26" t="n"/>
      <c r="L2719" s="26" t="n"/>
      <c r="M2719" s="26" t="n"/>
      <c r="N2719" s="27" t="n"/>
    </row>
    <row r="2720" ht="15" customHeight="1">
      <c r="K2720" s="26" t="n"/>
      <c r="L2720" s="26" t="n"/>
      <c r="M2720" s="26" t="n"/>
      <c r="N2720" s="27" t="n"/>
    </row>
    <row r="2721" ht="15" customHeight="1">
      <c r="K2721" s="26" t="n"/>
      <c r="L2721" s="26" t="n"/>
      <c r="M2721" s="26" t="n"/>
      <c r="N2721" s="27" t="n"/>
    </row>
    <row r="2722" ht="15" customHeight="1">
      <c r="K2722" s="26" t="n"/>
      <c r="L2722" s="26" t="n"/>
      <c r="M2722" s="26" t="n"/>
      <c r="N2722" s="27" t="n"/>
    </row>
    <row r="2723" ht="15" customHeight="1">
      <c r="K2723" s="26" t="n"/>
      <c r="L2723" s="26" t="n"/>
      <c r="M2723" s="26" t="n"/>
      <c r="N2723" s="27" t="n"/>
    </row>
    <row r="2724" ht="15" customHeight="1">
      <c r="K2724" s="26" t="n"/>
      <c r="L2724" s="26" t="n"/>
      <c r="M2724" s="26" t="n"/>
      <c r="N2724" s="27" t="n"/>
    </row>
    <row r="2725" ht="15" customHeight="1">
      <c r="K2725" s="26" t="n"/>
      <c r="L2725" s="26" t="n"/>
      <c r="M2725" s="26" t="n"/>
      <c r="N2725" s="27" t="n"/>
    </row>
    <row r="2726" ht="15" customHeight="1">
      <c r="K2726" s="26" t="n"/>
      <c r="L2726" s="26" t="n"/>
      <c r="M2726" s="26" t="n"/>
      <c r="N2726" s="27" t="n"/>
    </row>
    <row r="2727" ht="15" customHeight="1">
      <c r="K2727" s="26" t="n"/>
      <c r="L2727" s="26" t="n"/>
      <c r="M2727" s="26" t="n"/>
      <c r="N2727" s="27" t="n"/>
    </row>
    <row r="2728" ht="15" customHeight="1">
      <c r="K2728" s="26" t="n"/>
      <c r="L2728" s="26" t="n"/>
      <c r="M2728" s="26" t="n"/>
      <c r="N2728" s="27" t="n"/>
    </row>
    <row r="2729" ht="15" customHeight="1">
      <c r="K2729" s="26" t="n"/>
      <c r="L2729" s="26" t="n"/>
      <c r="M2729" s="26" t="n"/>
      <c r="N2729" s="27" t="n"/>
    </row>
    <row r="2730" ht="15" customHeight="1">
      <c r="K2730" s="26" t="n"/>
      <c r="L2730" s="26" t="n"/>
      <c r="M2730" s="26" t="n"/>
      <c r="N2730" s="27" t="n"/>
    </row>
    <row r="2731" ht="15" customHeight="1">
      <c r="K2731" s="26" t="n"/>
      <c r="L2731" s="26" t="n"/>
      <c r="M2731" s="26" t="n"/>
      <c r="N2731" s="27" t="n"/>
    </row>
    <row r="2732" ht="15" customHeight="1">
      <c r="K2732" s="26" t="n"/>
      <c r="L2732" s="26" t="n"/>
      <c r="M2732" s="26" t="n"/>
      <c r="N2732" s="27" t="n"/>
    </row>
    <row r="2733" ht="15" customHeight="1">
      <c r="K2733" s="26" t="n"/>
      <c r="L2733" s="26" t="n"/>
      <c r="M2733" s="26" t="n"/>
      <c r="N2733" s="27" t="n"/>
    </row>
    <row r="2734" ht="15" customHeight="1">
      <c r="K2734" s="26" t="n"/>
      <c r="L2734" s="26" t="n"/>
      <c r="M2734" s="26" t="n"/>
      <c r="N2734" s="27" t="n"/>
    </row>
    <row r="2735" ht="15" customHeight="1">
      <c r="K2735" s="26" t="n"/>
      <c r="L2735" s="26" t="n"/>
      <c r="M2735" s="26" t="n"/>
      <c r="N2735" s="27" t="n"/>
    </row>
    <row r="2736" ht="15" customHeight="1">
      <c r="K2736" s="26" t="n"/>
      <c r="L2736" s="26" t="n"/>
      <c r="M2736" s="26" t="n"/>
      <c r="N2736" s="27" t="n"/>
    </row>
    <row r="2737" ht="15" customHeight="1">
      <c r="K2737" s="26" t="n"/>
      <c r="L2737" s="26" t="n"/>
      <c r="M2737" s="26" t="n"/>
      <c r="N2737" s="27" t="n"/>
    </row>
    <row r="2738" ht="15" customHeight="1">
      <c r="K2738" s="26" t="n"/>
      <c r="L2738" s="26" t="n"/>
      <c r="M2738" s="26" t="n"/>
      <c r="N2738" s="27" t="n"/>
    </row>
    <row r="2739" ht="15" customHeight="1">
      <c r="K2739" s="26" t="n"/>
      <c r="L2739" s="26" t="n"/>
      <c r="M2739" s="26" t="n"/>
      <c r="N2739" s="27" t="n"/>
    </row>
    <row r="2740" ht="15" customHeight="1">
      <c r="K2740" s="26" t="n"/>
      <c r="L2740" s="26" t="n"/>
      <c r="M2740" s="26" t="n"/>
      <c r="N2740" s="27" t="n"/>
    </row>
    <row r="2741" ht="15" customHeight="1">
      <c r="K2741" s="26" t="n"/>
      <c r="L2741" s="26" t="n"/>
      <c r="M2741" s="26" t="n"/>
      <c r="N2741" s="27" t="n"/>
    </row>
    <row r="2742" ht="15" customHeight="1">
      <c r="K2742" s="26" t="n"/>
      <c r="L2742" s="26" t="n"/>
      <c r="M2742" s="26" t="n"/>
      <c r="N2742" s="27" t="n"/>
    </row>
    <row r="2743" ht="15" customHeight="1">
      <c r="K2743" s="26" t="n"/>
      <c r="L2743" s="26" t="n"/>
      <c r="M2743" s="26" t="n"/>
      <c r="N2743" s="27" t="n"/>
    </row>
    <row r="2744" ht="15" customHeight="1">
      <c r="K2744" s="26" t="n"/>
      <c r="L2744" s="26" t="n"/>
      <c r="M2744" s="26" t="n"/>
      <c r="N2744" s="27" t="n"/>
    </row>
    <row r="2745" ht="15" customHeight="1">
      <c r="K2745" s="26" t="n"/>
      <c r="L2745" s="26" t="n"/>
      <c r="M2745" s="26" t="n"/>
      <c r="N2745" s="27" t="n"/>
    </row>
    <row r="2746" ht="15" customHeight="1">
      <c r="K2746" s="26" t="n"/>
      <c r="L2746" s="26" t="n"/>
      <c r="M2746" s="26" t="n"/>
      <c r="N2746" s="27" t="n"/>
    </row>
    <row r="2747" ht="15" customHeight="1">
      <c r="K2747" s="26" t="n"/>
      <c r="L2747" s="26" t="n"/>
      <c r="M2747" s="26" t="n"/>
      <c r="N2747" s="27" t="n"/>
    </row>
    <row r="2748" ht="15" customHeight="1">
      <c r="K2748" s="26" t="n"/>
      <c r="L2748" s="26" t="n"/>
      <c r="M2748" s="26" t="n"/>
      <c r="N2748" s="27" t="n"/>
    </row>
    <row r="2749" ht="15" customHeight="1">
      <c r="K2749" s="26" t="n"/>
      <c r="L2749" s="26" t="n"/>
      <c r="M2749" s="26" t="n"/>
      <c r="N2749" s="27" t="n"/>
    </row>
    <row r="2750" ht="15" customHeight="1">
      <c r="K2750" s="26" t="n"/>
      <c r="L2750" s="26" t="n"/>
      <c r="M2750" s="26" t="n"/>
      <c r="N2750" s="27" t="n"/>
    </row>
    <row r="2751" ht="15" customHeight="1">
      <c r="K2751" s="26" t="n"/>
      <c r="L2751" s="26" t="n"/>
      <c r="M2751" s="26" t="n"/>
      <c r="N2751" s="27" t="n"/>
    </row>
    <row r="2752" ht="15" customHeight="1">
      <c r="K2752" s="26" t="n"/>
      <c r="L2752" s="26" t="n"/>
      <c r="M2752" s="26" t="n"/>
      <c r="N2752" s="27" t="n"/>
    </row>
    <row r="2753" ht="15" customHeight="1">
      <c r="K2753" s="26" t="n"/>
      <c r="L2753" s="26" t="n"/>
      <c r="M2753" s="26" t="n"/>
      <c r="N2753" s="27" t="n"/>
    </row>
    <row r="2754" ht="15" customHeight="1">
      <c r="K2754" s="26" t="n"/>
      <c r="L2754" s="26" t="n"/>
      <c r="M2754" s="26" t="n"/>
      <c r="N2754" s="27" t="n"/>
    </row>
    <row r="2755" ht="15" customHeight="1">
      <c r="K2755" s="26" t="n"/>
      <c r="L2755" s="26" t="n"/>
      <c r="M2755" s="26" t="n"/>
      <c r="N2755" s="27" t="n"/>
    </row>
    <row r="2756" ht="15" customHeight="1">
      <c r="K2756" s="26" t="n"/>
      <c r="L2756" s="26" t="n"/>
      <c r="M2756" s="26" t="n"/>
      <c r="N2756" s="27" t="n"/>
    </row>
    <row r="2757" ht="15" customHeight="1">
      <c r="K2757" s="26" t="n"/>
      <c r="L2757" s="26" t="n"/>
      <c r="M2757" s="26" t="n"/>
      <c r="N2757" s="27" t="n"/>
    </row>
    <row r="2758" ht="15" customHeight="1">
      <c r="K2758" s="26" t="n"/>
      <c r="L2758" s="26" t="n"/>
      <c r="M2758" s="26" t="n"/>
      <c r="N2758" s="27" t="n"/>
    </row>
    <row r="2759" ht="15" customHeight="1">
      <c r="K2759" s="26" t="n"/>
      <c r="L2759" s="26" t="n"/>
      <c r="M2759" s="26" t="n"/>
      <c r="N2759" s="27" t="n"/>
    </row>
    <row r="2760" ht="15" customHeight="1">
      <c r="K2760" s="26" t="n"/>
      <c r="L2760" s="26" t="n"/>
      <c r="M2760" s="26" t="n"/>
      <c r="N2760" s="27" t="n"/>
    </row>
    <row r="2761" ht="15" customHeight="1">
      <c r="K2761" s="26" t="n"/>
      <c r="L2761" s="26" t="n"/>
      <c r="M2761" s="26" t="n"/>
      <c r="N2761" s="27" t="n"/>
    </row>
    <row r="2762" ht="15" customHeight="1">
      <c r="K2762" s="26" t="n"/>
      <c r="L2762" s="26" t="n"/>
      <c r="M2762" s="26" t="n"/>
      <c r="N2762" s="27" t="n"/>
    </row>
    <row r="2763" ht="15" customHeight="1">
      <c r="K2763" s="26" t="n"/>
      <c r="L2763" s="26" t="n"/>
      <c r="M2763" s="26" t="n"/>
      <c r="N2763" s="27" t="n"/>
    </row>
    <row r="2764" ht="15" customHeight="1">
      <c r="K2764" s="26" t="n"/>
      <c r="L2764" s="26" t="n"/>
      <c r="M2764" s="26" t="n"/>
      <c r="N2764" s="27" t="n"/>
    </row>
    <row r="2765" ht="15" customHeight="1">
      <c r="K2765" s="26" t="n"/>
      <c r="L2765" s="26" t="n"/>
      <c r="M2765" s="26" t="n"/>
      <c r="N2765" s="27" t="n"/>
    </row>
    <row r="2766" ht="15" customHeight="1">
      <c r="K2766" s="26" t="n"/>
      <c r="L2766" s="26" t="n"/>
      <c r="M2766" s="26" t="n"/>
      <c r="N2766" s="27" t="n"/>
    </row>
    <row r="2767" ht="15" customHeight="1">
      <c r="K2767" s="26" t="n"/>
      <c r="L2767" s="26" t="n"/>
      <c r="M2767" s="26" t="n"/>
      <c r="N2767" s="27" t="n"/>
    </row>
    <row r="2768" ht="15" customHeight="1">
      <c r="K2768" s="26" t="n"/>
      <c r="L2768" s="26" t="n"/>
      <c r="M2768" s="26" t="n"/>
      <c r="N2768" s="27" t="n"/>
    </row>
    <row r="2769" ht="15" customHeight="1">
      <c r="K2769" s="26" t="n"/>
      <c r="L2769" s="26" t="n"/>
      <c r="M2769" s="26" t="n"/>
      <c r="N2769" s="27" t="n"/>
    </row>
    <row r="2770" ht="15" customHeight="1">
      <c r="K2770" s="26" t="n"/>
      <c r="L2770" s="26" t="n"/>
      <c r="M2770" s="26" t="n"/>
      <c r="N2770" s="27" t="n"/>
    </row>
    <row r="2771" ht="15" customHeight="1">
      <c r="K2771" s="26" t="n"/>
      <c r="L2771" s="26" t="n"/>
      <c r="M2771" s="26" t="n"/>
      <c r="N2771" s="27" t="n"/>
    </row>
    <row r="2772" ht="15" customHeight="1">
      <c r="K2772" s="26" t="n"/>
      <c r="L2772" s="26" t="n"/>
      <c r="M2772" s="26" t="n"/>
      <c r="N2772" s="27" t="n"/>
    </row>
    <row r="2773" ht="15" customHeight="1">
      <c r="K2773" s="26" t="n"/>
      <c r="L2773" s="26" t="n"/>
      <c r="M2773" s="26" t="n"/>
      <c r="N2773" s="27" t="n"/>
    </row>
    <row r="2774" ht="15" customHeight="1">
      <c r="K2774" s="26" t="n"/>
      <c r="L2774" s="26" t="n"/>
      <c r="M2774" s="26" t="n"/>
      <c r="N2774" s="27" t="n"/>
    </row>
    <row r="2775" ht="15" customHeight="1">
      <c r="K2775" s="26" t="n"/>
      <c r="L2775" s="26" t="n"/>
      <c r="M2775" s="26" t="n"/>
      <c r="N2775" s="27" t="n"/>
    </row>
    <row r="2776" ht="15" customHeight="1">
      <c r="K2776" s="26" t="n"/>
      <c r="L2776" s="26" t="n"/>
      <c r="M2776" s="26" t="n"/>
      <c r="N2776" s="27" t="n"/>
    </row>
    <row r="2777" ht="15" customHeight="1">
      <c r="K2777" s="26" t="n"/>
      <c r="L2777" s="26" t="n"/>
      <c r="M2777" s="26" t="n"/>
      <c r="N2777" s="27" t="n"/>
    </row>
    <row r="2778" ht="15" customHeight="1">
      <c r="K2778" s="26" t="n"/>
      <c r="L2778" s="26" t="n"/>
      <c r="M2778" s="26" t="n"/>
      <c r="N2778" s="27" t="n"/>
    </row>
    <row r="2779" ht="15" customHeight="1">
      <c r="K2779" s="26" t="n"/>
      <c r="L2779" s="26" t="n"/>
      <c r="M2779" s="26" t="n"/>
      <c r="N2779" s="27" t="n"/>
    </row>
    <row r="2780" ht="15" customHeight="1">
      <c r="K2780" s="26" t="n"/>
      <c r="L2780" s="26" t="n"/>
      <c r="M2780" s="26" t="n"/>
      <c r="N2780" s="27" t="n"/>
    </row>
    <row r="2781" ht="15" customHeight="1">
      <c r="K2781" s="26" t="n"/>
      <c r="L2781" s="26" t="n"/>
      <c r="M2781" s="26" t="n"/>
      <c r="N2781" s="27" t="n"/>
    </row>
    <row r="2782" ht="15" customHeight="1">
      <c r="K2782" s="26" t="n"/>
      <c r="L2782" s="26" t="n"/>
      <c r="M2782" s="26" t="n"/>
      <c r="N2782" s="27" t="n"/>
    </row>
    <row r="2783" ht="15" customHeight="1">
      <c r="K2783" s="26" t="n"/>
      <c r="L2783" s="26" t="n"/>
      <c r="M2783" s="26" t="n"/>
      <c r="N2783" s="27" t="n"/>
    </row>
    <row r="2784" ht="15" customHeight="1">
      <c r="K2784" s="26" t="n"/>
      <c r="L2784" s="26" t="n"/>
      <c r="M2784" s="26" t="n"/>
      <c r="N2784" s="27" t="n"/>
    </row>
    <row r="2785" ht="15" customHeight="1">
      <c r="K2785" s="26" t="n"/>
      <c r="L2785" s="26" t="n"/>
      <c r="M2785" s="26" t="n"/>
      <c r="N2785" s="27" t="n"/>
    </row>
    <row r="2786" ht="15" customHeight="1">
      <c r="K2786" s="26" t="n"/>
      <c r="L2786" s="26" t="n"/>
      <c r="M2786" s="26" t="n"/>
      <c r="N2786" s="27" t="n"/>
    </row>
    <row r="2787" ht="15" customHeight="1">
      <c r="K2787" s="26" t="n"/>
      <c r="L2787" s="26" t="n"/>
      <c r="M2787" s="26" t="n"/>
      <c r="N2787" s="27" t="n"/>
    </row>
    <row r="2788" ht="15" customHeight="1">
      <c r="K2788" s="26" t="n"/>
      <c r="L2788" s="26" t="n"/>
      <c r="M2788" s="26" t="n"/>
      <c r="N2788" s="27" t="n"/>
    </row>
    <row r="2789" ht="15" customHeight="1">
      <c r="K2789" s="26" t="n"/>
      <c r="L2789" s="26" t="n"/>
      <c r="M2789" s="26" t="n"/>
      <c r="N2789" s="27" t="n"/>
    </row>
    <row r="2790" ht="15" customHeight="1">
      <c r="K2790" s="26" t="n"/>
      <c r="L2790" s="26" t="n"/>
      <c r="M2790" s="26" t="n"/>
      <c r="N2790" s="27" t="n"/>
    </row>
    <row r="2791" ht="15" customHeight="1">
      <c r="K2791" s="26" t="n"/>
      <c r="L2791" s="26" t="n"/>
      <c r="M2791" s="26" t="n"/>
      <c r="N2791" s="27" t="n"/>
    </row>
    <row r="2792" ht="15" customHeight="1">
      <c r="K2792" s="26" t="n"/>
      <c r="L2792" s="26" t="n"/>
      <c r="M2792" s="26" t="n"/>
      <c r="N2792" s="27" t="n"/>
    </row>
    <row r="2793" ht="15" customHeight="1">
      <c r="K2793" s="26" t="n"/>
      <c r="L2793" s="26" t="n"/>
      <c r="M2793" s="26" t="n"/>
      <c r="N2793" s="27" t="n"/>
    </row>
    <row r="2794" ht="15" customHeight="1">
      <c r="K2794" s="26" t="n"/>
      <c r="L2794" s="26" t="n"/>
      <c r="M2794" s="26" t="n"/>
      <c r="N2794" s="27" t="n"/>
    </row>
    <row r="2795" ht="15" customHeight="1">
      <c r="K2795" s="26" t="n"/>
      <c r="L2795" s="26" t="n"/>
      <c r="M2795" s="26" t="n"/>
      <c r="N2795" s="27" t="n"/>
    </row>
    <row r="2796" ht="15" customHeight="1">
      <c r="K2796" s="26" t="n"/>
      <c r="L2796" s="26" t="n"/>
      <c r="M2796" s="26" t="n"/>
      <c r="N2796" s="27" t="n"/>
    </row>
    <row r="2797" ht="15" customHeight="1">
      <c r="K2797" s="26" t="n"/>
      <c r="L2797" s="26" t="n"/>
      <c r="M2797" s="26" t="n"/>
      <c r="N2797" s="27" t="n"/>
    </row>
    <row r="2798" ht="15" customHeight="1">
      <c r="K2798" s="26" t="n"/>
      <c r="L2798" s="26" t="n"/>
      <c r="M2798" s="26" t="n"/>
      <c r="N2798" s="27" t="n"/>
    </row>
    <row r="2799" ht="15" customHeight="1">
      <c r="K2799" s="26" t="n"/>
      <c r="L2799" s="26" t="n"/>
      <c r="M2799" s="26" t="n"/>
      <c r="N2799" s="27" t="n"/>
    </row>
    <row r="2800" ht="15" customHeight="1">
      <c r="K2800" s="26" t="n"/>
      <c r="L2800" s="26" t="n"/>
      <c r="M2800" s="26" t="n"/>
      <c r="N2800" s="27" t="n"/>
    </row>
    <row r="2801" ht="15" customHeight="1">
      <c r="K2801" s="26" t="n"/>
      <c r="L2801" s="26" t="n"/>
      <c r="M2801" s="26" t="n"/>
      <c r="N2801" s="27" t="n"/>
    </row>
    <row r="2802" ht="15" customHeight="1">
      <c r="K2802" s="26" t="n"/>
      <c r="L2802" s="26" t="n"/>
      <c r="M2802" s="26" t="n"/>
      <c r="N2802" s="27" t="n"/>
    </row>
    <row r="2803" ht="15" customHeight="1">
      <c r="K2803" s="26" t="n"/>
      <c r="L2803" s="26" t="n"/>
      <c r="M2803" s="26" t="n"/>
      <c r="N2803" s="27" t="n"/>
    </row>
    <row r="2804" ht="15" customHeight="1">
      <c r="K2804" s="26" t="n"/>
      <c r="L2804" s="26" t="n"/>
      <c r="M2804" s="26" t="n"/>
      <c r="N2804" s="27" t="n"/>
    </row>
    <row r="2805" ht="15" customHeight="1">
      <c r="K2805" s="26" t="n"/>
      <c r="L2805" s="26" t="n"/>
      <c r="M2805" s="26" t="n"/>
      <c r="N2805" s="27" t="n"/>
    </row>
    <row r="2806" ht="15" customHeight="1">
      <c r="K2806" s="26" t="n"/>
      <c r="L2806" s="26" t="n"/>
      <c r="M2806" s="26" t="n"/>
      <c r="N2806" s="27" t="n"/>
    </row>
    <row r="2807" ht="15" customHeight="1">
      <c r="K2807" s="26" t="n"/>
      <c r="L2807" s="26" t="n"/>
      <c r="M2807" s="26" t="n"/>
      <c r="N2807" s="27" t="n"/>
    </row>
    <row r="2808" ht="15" customHeight="1">
      <c r="K2808" s="26" t="n"/>
      <c r="L2808" s="26" t="n"/>
      <c r="M2808" s="26" t="n"/>
      <c r="N2808" s="27" t="n"/>
    </row>
    <row r="2809" ht="15" customHeight="1">
      <c r="K2809" s="26" t="n"/>
      <c r="L2809" s="26" t="n"/>
      <c r="M2809" s="26" t="n"/>
      <c r="N2809" s="27" t="n"/>
    </row>
    <row r="2810" ht="15" customHeight="1">
      <c r="K2810" s="26" t="n"/>
      <c r="L2810" s="26" t="n"/>
      <c r="M2810" s="26" t="n"/>
      <c r="N2810" s="27" t="n"/>
    </row>
    <row r="2811" ht="15" customHeight="1">
      <c r="K2811" s="26" t="n"/>
      <c r="L2811" s="26" t="n"/>
      <c r="M2811" s="26" t="n"/>
      <c r="N2811" s="27" t="n"/>
    </row>
    <row r="2812" ht="15" customHeight="1">
      <c r="K2812" s="26" t="n"/>
      <c r="L2812" s="26" t="n"/>
      <c r="M2812" s="26" t="n"/>
      <c r="N2812" s="27" t="n"/>
    </row>
    <row r="2813" ht="15" customHeight="1">
      <c r="K2813" s="26" t="n"/>
      <c r="L2813" s="26" t="n"/>
      <c r="M2813" s="26" t="n"/>
      <c r="N2813" s="27" t="n"/>
    </row>
    <row r="2814" ht="15" customHeight="1">
      <c r="K2814" s="26" t="n"/>
      <c r="L2814" s="26" t="n"/>
      <c r="M2814" s="26" t="n"/>
      <c r="N2814" s="27" t="n"/>
    </row>
    <row r="2815" ht="15" customHeight="1">
      <c r="K2815" s="26" t="n"/>
      <c r="L2815" s="26" t="n"/>
      <c r="M2815" s="26" t="n"/>
      <c r="N2815" s="27" t="n"/>
    </row>
    <row r="2816" ht="15" customHeight="1">
      <c r="K2816" s="26" t="n"/>
      <c r="L2816" s="26" t="n"/>
      <c r="M2816" s="26" t="n"/>
      <c r="N2816" s="27" t="n"/>
    </row>
    <row r="2817" ht="15" customHeight="1">
      <c r="K2817" s="26" t="n"/>
      <c r="L2817" s="26" t="n"/>
      <c r="M2817" s="26" t="n"/>
      <c r="N2817" s="27" t="n"/>
    </row>
    <row r="2818" ht="15" customHeight="1">
      <c r="K2818" s="26" t="n"/>
      <c r="L2818" s="26" t="n"/>
      <c r="M2818" s="26" t="n"/>
      <c r="N2818" s="27" t="n"/>
    </row>
    <row r="2819" ht="15" customHeight="1">
      <c r="K2819" s="26" t="n"/>
      <c r="L2819" s="26" t="n"/>
      <c r="M2819" s="26" t="n"/>
      <c r="N2819" s="27" t="n"/>
    </row>
    <row r="2820" ht="15" customHeight="1">
      <c r="K2820" s="26" t="n"/>
      <c r="L2820" s="26" t="n"/>
      <c r="M2820" s="26" t="n"/>
      <c r="N2820" s="27" t="n"/>
    </row>
    <row r="2821" ht="15" customHeight="1">
      <c r="K2821" s="26" t="n"/>
      <c r="L2821" s="26" t="n"/>
      <c r="M2821" s="26" t="n"/>
      <c r="N2821" s="27" t="n"/>
    </row>
    <row r="2822" ht="15" customHeight="1">
      <c r="K2822" s="26" t="n"/>
      <c r="L2822" s="26" t="n"/>
      <c r="M2822" s="26" t="n"/>
      <c r="N2822" s="27" t="n"/>
    </row>
    <row r="2823" ht="15" customHeight="1">
      <c r="K2823" s="26" t="n"/>
      <c r="L2823" s="26" t="n"/>
      <c r="M2823" s="26" t="n"/>
      <c r="N2823" s="27" t="n"/>
    </row>
    <row r="2824" ht="15" customHeight="1">
      <c r="K2824" s="26" t="n"/>
      <c r="L2824" s="26" t="n"/>
      <c r="M2824" s="26" t="n"/>
      <c r="N2824" s="27" t="n"/>
    </row>
    <row r="2825" ht="15" customHeight="1">
      <c r="K2825" s="26" t="n"/>
      <c r="L2825" s="26" t="n"/>
      <c r="M2825" s="26" t="n"/>
      <c r="N2825" s="27" t="n"/>
    </row>
    <row r="2826" ht="15" customHeight="1">
      <c r="K2826" s="26" t="n"/>
      <c r="L2826" s="26" t="n"/>
      <c r="M2826" s="26" t="n"/>
      <c r="N2826" s="27" t="n"/>
    </row>
    <row r="2827" ht="15" customHeight="1">
      <c r="K2827" s="26" t="n"/>
      <c r="L2827" s="26" t="n"/>
      <c r="M2827" s="26" t="n"/>
      <c r="N2827" s="27" t="n"/>
    </row>
    <row r="2828" ht="15" customHeight="1">
      <c r="K2828" s="26" t="n"/>
      <c r="L2828" s="26" t="n"/>
      <c r="M2828" s="26" t="n"/>
      <c r="N2828" s="27" t="n"/>
    </row>
    <row r="2829" ht="15" customHeight="1">
      <c r="K2829" s="26" t="n"/>
      <c r="L2829" s="26" t="n"/>
      <c r="M2829" s="26" t="n"/>
      <c r="N2829" s="27" t="n"/>
    </row>
    <row r="2830" ht="15" customHeight="1">
      <c r="K2830" s="26" t="n"/>
      <c r="L2830" s="26" t="n"/>
      <c r="M2830" s="26" t="n"/>
      <c r="N2830" s="27" t="n"/>
    </row>
    <row r="2831" ht="15" customHeight="1">
      <c r="K2831" s="26" t="n"/>
      <c r="L2831" s="26" t="n"/>
      <c r="M2831" s="26" t="n"/>
      <c r="N2831" s="27" t="n"/>
    </row>
    <row r="2832" ht="15" customHeight="1">
      <c r="K2832" s="26" t="n"/>
      <c r="L2832" s="26" t="n"/>
      <c r="M2832" s="26" t="n"/>
      <c r="N2832" s="27" t="n"/>
    </row>
    <row r="2833" ht="15" customHeight="1">
      <c r="K2833" s="26" t="n"/>
      <c r="L2833" s="26" t="n"/>
      <c r="M2833" s="26" t="n"/>
      <c r="N2833" s="27" t="n"/>
    </row>
    <row r="2834" ht="15" customHeight="1">
      <c r="K2834" s="26" t="n"/>
      <c r="L2834" s="26" t="n"/>
      <c r="M2834" s="26" t="n"/>
      <c r="N2834" s="27" t="n"/>
    </row>
    <row r="2835" ht="15" customHeight="1">
      <c r="K2835" s="26" t="n"/>
      <c r="L2835" s="26" t="n"/>
      <c r="M2835" s="26" t="n"/>
      <c r="N2835" s="27" t="n"/>
    </row>
    <row r="2836" ht="15" customHeight="1">
      <c r="K2836" s="26" t="n"/>
      <c r="L2836" s="26" t="n"/>
      <c r="M2836" s="26" t="n"/>
      <c r="N2836" s="27" t="n"/>
    </row>
    <row r="2837" ht="15" customHeight="1">
      <c r="K2837" s="26" t="n"/>
      <c r="L2837" s="26" t="n"/>
      <c r="M2837" s="26" t="n"/>
      <c r="N2837" s="27" t="n"/>
    </row>
    <row r="2838" ht="15" customHeight="1">
      <c r="K2838" s="26" t="n"/>
      <c r="L2838" s="26" t="n"/>
      <c r="M2838" s="26" t="n"/>
      <c r="N2838" s="27" t="n"/>
    </row>
    <row r="2839" ht="15" customHeight="1">
      <c r="K2839" s="26" t="n"/>
      <c r="L2839" s="26" t="n"/>
      <c r="M2839" s="26" t="n"/>
      <c r="N2839" s="27" t="n"/>
    </row>
    <row r="2840" ht="15" customHeight="1">
      <c r="K2840" s="26" t="n"/>
      <c r="L2840" s="26" t="n"/>
      <c r="M2840" s="26" t="n"/>
      <c r="N2840" s="27" t="n"/>
    </row>
    <row r="2841" ht="15" customHeight="1">
      <c r="K2841" s="26" t="n"/>
      <c r="L2841" s="26" t="n"/>
      <c r="M2841" s="26" t="n"/>
      <c r="N2841" s="27" t="n"/>
    </row>
    <row r="2842" ht="15" customHeight="1">
      <c r="K2842" s="26" t="n"/>
      <c r="L2842" s="26" t="n"/>
      <c r="M2842" s="26" t="n"/>
      <c r="N2842" s="27" t="n"/>
    </row>
    <row r="2843" ht="15" customHeight="1">
      <c r="K2843" s="26" t="n"/>
      <c r="L2843" s="26" t="n"/>
      <c r="M2843" s="26" t="n"/>
      <c r="N2843" s="27" t="n"/>
    </row>
    <row r="2844" ht="15" customHeight="1">
      <c r="K2844" s="26" t="n"/>
      <c r="L2844" s="26" t="n"/>
      <c r="M2844" s="26" t="n"/>
      <c r="N2844" s="27" t="n"/>
    </row>
    <row r="2845" ht="15" customHeight="1">
      <c r="K2845" s="26" t="n"/>
      <c r="L2845" s="26" t="n"/>
      <c r="M2845" s="26" t="n"/>
      <c r="N2845" s="27" t="n"/>
    </row>
    <row r="2846" ht="15" customHeight="1">
      <c r="K2846" s="26" t="n"/>
      <c r="L2846" s="26" t="n"/>
      <c r="M2846" s="26" t="n"/>
      <c r="N2846" s="27" t="n"/>
    </row>
    <row r="2847" ht="15" customHeight="1">
      <c r="K2847" s="26" t="n"/>
      <c r="L2847" s="26" t="n"/>
      <c r="M2847" s="26" t="n"/>
      <c r="N2847" s="27" t="n"/>
    </row>
    <row r="2848" ht="15" customHeight="1">
      <c r="K2848" s="26" t="n"/>
      <c r="L2848" s="26" t="n"/>
      <c r="M2848" s="26" t="n"/>
      <c r="N2848" s="27" t="n"/>
    </row>
    <row r="2849" ht="15" customHeight="1">
      <c r="K2849" s="26" t="n"/>
      <c r="L2849" s="26" t="n"/>
      <c r="M2849" s="26" t="n"/>
      <c r="N2849" s="27" t="n"/>
    </row>
    <row r="2850" ht="15" customHeight="1">
      <c r="K2850" s="26" t="n"/>
      <c r="L2850" s="26" t="n"/>
      <c r="M2850" s="26" t="n"/>
      <c r="N2850" s="27" t="n"/>
    </row>
    <row r="2851" ht="15" customHeight="1">
      <c r="K2851" s="26" t="n"/>
      <c r="L2851" s="26" t="n"/>
      <c r="M2851" s="26" t="n"/>
      <c r="N2851" s="27" t="n"/>
    </row>
    <row r="2852" ht="15" customHeight="1">
      <c r="K2852" s="26" t="n"/>
      <c r="L2852" s="26" t="n"/>
      <c r="M2852" s="26" t="n"/>
      <c r="N2852" s="27" t="n"/>
    </row>
    <row r="2853" ht="15" customHeight="1">
      <c r="K2853" s="26" t="n"/>
      <c r="L2853" s="26" t="n"/>
      <c r="M2853" s="26" t="n"/>
      <c r="N2853" s="27" t="n"/>
    </row>
    <row r="2854" ht="15" customHeight="1">
      <c r="K2854" s="26" t="n"/>
      <c r="L2854" s="26" t="n"/>
      <c r="M2854" s="26" t="n"/>
      <c r="N2854" s="27" t="n"/>
    </row>
    <row r="2855" ht="15" customHeight="1">
      <c r="K2855" s="26" t="n"/>
      <c r="L2855" s="26" t="n"/>
      <c r="M2855" s="26" t="n"/>
      <c r="N2855" s="27" t="n"/>
    </row>
    <row r="2856" ht="15" customHeight="1">
      <c r="K2856" s="26" t="n"/>
      <c r="L2856" s="26" t="n"/>
      <c r="M2856" s="26" t="n"/>
      <c r="N2856" s="27" t="n"/>
    </row>
    <row r="2857" ht="15" customHeight="1">
      <c r="K2857" s="26" t="n"/>
      <c r="L2857" s="26" t="n"/>
      <c r="M2857" s="26" t="n"/>
      <c r="N2857" s="27" t="n"/>
    </row>
    <row r="2858" ht="15" customHeight="1">
      <c r="K2858" s="26" t="n"/>
      <c r="L2858" s="26" t="n"/>
      <c r="M2858" s="26" t="n"/>
      <c r="N2858" s="27" t="n"/>
    </row>
    <row r="2859" ht="15" customHeight="1">
      <c r="K2859" s="26" t="n"/>
      <c r="L2859" s="26" t="n"/>
      <c r="M2859" s="26" t="n"/>
      <c r="N2859" s="27" t="n"/>
    </row>
    <row r="2860" ht="15" customHeight="1">
      <c r="K2860" s="26" t="n"/>
      <c r="L2860" s="26" t="n"/>
      <c r="M2860" s="26" t="n"/>
      <c r="N2860" s="27" t="n"/>
    </row>
    <row r="2861" ht="15" customHeight="1">
      <c r="K2861" s="26" t="n"/>
      <c r="L2861" s="26" t="n"/>
      <c r="M2861" s="26" t="n"/>
      <c r="N2861" s="27" t="n"/>
    </row>
    <row r="2862" ht="15" customHeight="1">
      <c r="K2862" s="26" t="n"/>
      <c r="L2862" s="26" t="n"/>
      <c r="M2862" s="26" t="n"/>
      <c r="N2862" s="27" t="n"/>
    </row>
    <row r="2863" ht="15" customHeight="1">
      <c r="K2863" s="26" t="n"/>
      <c r="L2863" s="26" t="n"/>
      <c r="M2863" s="26" t="n"/>
      <c r="N2863" s="27" t="n"/>
    </row>
    <row r="2864" ht="15" customHeight="1">
      <c r="K2864" s="26" t="n"/>
      <c r="L2864" s="26" t="n"/>
      <c r="M2864" s="26" t="n"/>
      <c r="N2864" s="27" t="n"/>
    </row>
    <row r="2865" ht="15" customHeight="1">
      <c r="K2865" s="26" t="n"/>
      <c r="L2865" s="26" t="n"/>
      <c r="M2865" s="26" t="n"/>
      <c r="N2865" s="27" t="n"/>
    </row>
    <row r="2866" ht="15" customHeight="1">
      <c r="K2866" s="26" t="n"/>
      <c r="L2866" s="26" t="n"/>
      <c r="M2866" s="26" t="n"/>
      <c r="N2866" s="27" t="n"/>
    </row>
    <row r="2867" ht="15" customHeight="1">
      <c r="K2867" s="26" t="n"/>
      <c r="L2867" s="26" t="n"/>
      <c r="M2867" s="26" t="n"/>
      <c r="N2867" s="27" t="n"/>
    </row>
    <row r="2868" ht="15" customHeight="1">
      <c r="K2868" s="26" t="n"/>
      <c r="L2868" s="26" t="n"/>
      <c r="M2868" s="26" t="n"/>
      <c r="N2868" s="27" t="n"/>
    </row>
    <row r="2869" ht="15" customHeight="1">
      <c r="K2869" s="26" t="n"/>
      <c r="L2869" s="26" t="n"/>
      <c r="M2869" s="26" t="n"/>
      <c r="N2869" s="27" t="n"/>
    </row>
    <row r="2870" ht="15" customHeight="1">
      <c r="K2870" s="26" t="n"/>
      <c r="L2870" s="26" t="n"/>
      <c r="M2870" s="26" t="n"/>
      <c r="N2870" s="27" t="n"/>
    </row>
    <row r="2871" ht="15" customHeight="1">
      <c r="K2871" s="26" t="n"/>
      <c r="L2871" s="26" t="n"/>
      <c r="M2871" s="26" t="n"/>
      <c r="N2871" s="27" t="n"/>
    </row>
    <row r="2872" ht="15" customHeight="1">
      <c r="K2872" s="26" t="n"/>
      <c r="L2872" s="26" t="n"/>
      <c r="M2872" s="26" t="n"/>
      <c r="N2872" s="27" t="n"/>
    </row>
    <row r="2873" ht="15" customHeight="1">
      <c r="K2873" s="26" t="n"/>
      <c r="L2873" s="26" t="n"/>
      <c r="M2873" s="26" t="n"/>
      <c r="N2873" s="27" t="n"/>
    </row>
    <row r="2874" ht="15" customHeight="1">
      <c r="K2874" s="26" t="n"/>
      <c r="L2874" s="26" t="n"/>
      <c r="M2874" s="26" t="n"/>
      <c r="N2874" s="27" t="n"/>
    </row>
    <row r="2875" ht="15" customHeight="1">
      <c r="K2875" s="26" t="n"/>
      <c r="L2875" s="26" t="n"/>
      <c r="M2875" s="26" t="n"/>
      <c r="N2875" s="27" t="n"/>
    </row>
    <row r="2876" ht="15" customHeight="1">
      <c r="K2876" s="26" t="n"/>
      <c r="L2876" s="26" t="n"/>
      <c r="M2876" s="26" t="n"/>
      <c r="N2876" s="27" t="n"/>
    </row>
    <row r="2877" ht="15" customHeight="1">
      <c r="K2877" s="26" t="n"/>
      <c r="L2877" s="26" t="n"/>
      <c r="M2877" s="26" t="n"/>
      <c r="N2877" s="27" t="n"/>
    </row>
    <row r="2878" ht="15" customHeight="1">
      <c r="K2878" s="26" t="n"/>
      <c r="L2878" s="26" t="n"/>
      <c r="M2878" s="26" t="n"/>
      <c r="N2878" s="27" t="n"/>
    </row>
    <row r="2879" ht="15" customHeight="1">
      <c r="K2879" s="26" t="n"/>
      <c r="L2879" s="26" t="n"/>
      <c r="M2879" s="26" t="n"/>
      <c r="N2879" s="27" t="n"/>
    </row>
    <row r="2880" ht="15" customHeight="1">
      <c r="K2880" s="26" t="n"/>
      <c r="L2880" s="26" t="n"/>
      <c r="M2880" s="26" t="n"/>
      <c r="N2880" s="27" t="n"/>
    </row>
    <row r="2881" ht="15" customHeight="1">
      <c r="K2881" s="26" t="n"/>
      <c r="L2881" s="26" t="n"/>
      <c r="M2881" s="26" t="n"/>
      <c r="N2881" s="27" t="n"/>
    </row>
    <row r="2882" ht="15" customHeight="1">
      <c r="K2882" s="26" t="n"/>
      <c r="L2882" s="26" t="n"/>
      <c r="M2882" s="26" t="n"/>
      <c r="N2882" s="27" t="n"/>
    </row>
    <row r="2883" ht="15" customHeight="1">
      <c r="K2883" s="26" t="n"/>
      <c r="L2883" s="26" t="n"/>
      <c r="M2883" s="26" t="n"/>
      <c r="N2883" s="27" t="n"/>
    </row>
    <row r="2884" ht="15" customHeight="1">
      <c r="K2884" s="26" t="n"/>
      <c r="L2884" s="26" t="n"/>
      <c r="M2884" s="26" t="n"/>
      <c r="N2884" s="27" t="n"/>
    </row>
    <row r="2885" ht="15" customHeight="1">
      <c r="K2885" s="26" t="n"/>
      <c r="L2885" s="26" t="n"/>
      <c r="M2885" s="26" t="n"/>
      <c r="N2885" s="27" t="n"/>
    </row>
    <row r="2886" ht="15" customHeight="1">
      <c r="K2886" s="26" t="n"/>
      <c r="L2886" s="26" t="n"/>
      <c r="M2886" s="26" t="n"/>
      <c r="N2886" s="27" t="n"/>
    </row>
    <row r="2887" ht="15" customHeight="1">
      <c r="K2887" s="26" t="n"/>
      <c r="L2887" s="26" t="n"/>
      <c r="M2887" s="26" t="n"/>
      <c r="N2887" s="27" t="n"/>
    </row>
    <row r="2888" ht="15" customHeight="1">
      <c r="K2888" s="26" t="n"/>
      <c r="L2888" s="26" t="n"/>
      <c r="M2888" s="26" t="n"/>
      <c r="N2888" s="27" t="n"/>
    </row>
    <row r="2889" ht="15" customHeight="1">
      <c r="K2889" s="26" t="n"/>
      <c r="L2889" s="26" t="n"/>
      <c r="M2889" s="26" t="n"/>
      <c r="N2889" s="27" t="n"/>
    </row>
    <row r="2890" ht="15" customHeight="1">
      <c r="K2890" s="26" t="n"/>
      <c r="L2890" s="26" t="n"/>
      <c r="M2890" s="26" t="n"/>
      <c r="N2890" s="27" t="n"/>
    </row>
    <row r="2891" ht="15" customHeight="1">
      <c r="K2891" s="26" t="n"/>
      <c r="L2891" s="26" t="n"/>
      <c r="M2891" s="26" t="n"/>
      <c r="N2891" s="27" t="n"/>
    </row>
    <row r="2892" ht="15" customHeight="1">
      <c r="K2892" s="26" t="n"/>
      <c r="L2892" s="26" t="n"/>
      <c r="M2892" s="26" t="n"/>
      <c r="N2892" s="27" t="n"/>
    </row>
    <row r="2893" ht="15" customHeight="1">
      <c r="K2893" s="26" t="n"/>
      <c r="L2893" s="26" t="n"/>
      <c r="M2893" s="26" t="n"/>
      <c r="N2893" s="27" t="n"/>
    </row>
    <row r="2894" ht="15" customHeight="1">
      <c r="K2894" s="26" t="n"/>
      <c r="L2894" s="26" t="n"/>
      <c r="M2894" s="26" t="n"/>
      <c r="N2894" s="27" t="n"/>
    </row>
    <row r="2895" ht="15" customHeight="1">
      <c r="K2895" s="26" t="n"/>
      <c r="L2895" s="26" t="n"/>
      <c r="M2895" s="26" t="n"/>
      <c r="N2895" s="27" t="n"/>
    </row>
    <row r="2896" ht="15" customHeight="1">
      <c r="K2896" s="26" t="n"/>
      <c r="L2896" s="26" t="n"/>
      <c r="M2896" s="26" t="n"/>
      <c r="N2896" s="27" t="n"/>
    </row>
    <row r="2897" ht="15" customHeight="1">
      <c r="K2897" s="26" t="n"/>
      <c r="L2897" s="26" t="n"/>
      <c r="M2897" s="26" t="n"/>
      <c r="N2897" s="27" t="n"/>
    </row>
    <row r="2898" ht="15" customHeight="1">
      <c r="K2898" s="26" t="n"/>
      <c r="L2898" s="26" t="n"/>
      <c r="M2898" s="26" t="n"/>
      <c r="N2898" s="27" t="n"/>
    </row>
    <row r="2899" ht="15" customHeight="1">
      <c r="K2899" s="26" t="n"/>
      <c r="L2899" s="26" t="n"/>
      <c r="M2899" s="26" t="n"/>
      <c r="N2899" s="27" t="n"/>
    </row>
    <row r="2900" ht="15" customHeight="1">
      <c r="K2900" s="26" t="n"/>
      <c r="L2900" s="26" t="n"/>
      <c r="M2900" s="26" t="n"/>
      <c r="N2900" s="27" t="n"/>
    </row>
    <row r="2901" ht="15" customHeight="1">
      <c r="K2901" s="26" t="n"/>
      <c r="L2901" s="26" t="n"/>
      <c r="M2901" s="26" t="n"/>
      <c r="N2901" s="27" t="n"/>
    </row>
    <row r="2902" ht="15" customHeight="1">
      <c r="K2902" s="26" t="n"/>
      <c r="L2902" s="26" t="n"/>
      <c r="M2902" s="26" t="n"/>
      <c r="N2902" s="27" t="n"/>
    </row>
    <row r="2903" ht="15" customHeight="1">
      <c r="K2903" s="26" t="n"/>
      <c r="L2903" s="26" t="n"/>
      <c r="M2903" s="26" t="n"/>
      <c r="N2903" s="27" t="n"/>
    </row>
    <row r="2904" ht="15" customHeight="1">
      <c r="K2904" s="26" t="n"/>
      <c r="L2904" s="26" t="n"/>
      <c r="M2904" s="26" t="n"/>
      <c r="N2904" s="27" t="n"/>
    </row>
    <row r="2905" ht="15" customHeight="1">
      <c r="K2905" s="26" t="n"/>
      <c r="L2905" s="26" t="n"/>
      <c r="M2905" s="26" t="n"/>
      <c r="N2905" s="27" t="n"/>
    </row>
    <row r="2906" ht="15" customHeight="1">
      <c r="K2906" s="26" t="n"/>
      <c r="L2906" s="26" t="n"/>
      <c r="M2906" s="26" t="n"/>
      <c r="N2906" s="27" t="n"/>
    </row>
    <row r="2907" ht="15" customHeight="1">
      <c r="K2907" s="26" t="n"/>
      <c r="L2907" s="26" t="n"/>
      <c r="M2907" s="26" t="n"/>
      <c r="N2907" s="27" t="n"/>
    </row>
    <row r="2908" ht="15" customHeight="1">
      <c r="K2908" s="26" t="n"/>
      <c r="L2908" s="26" t="n"/>
      <c r="M2908" s="26" t="n"/>
      <c r="N2908" s="27" t="n"/>
    </row>
    <row r="2909" ht="15" customHeight="1">
      <c r="K2909" s="26" t="n"/>
      <c r="L2909" s="26" t="n"/>
      <c r="M2909" s="26" t="n"/>
      <c r="N2909" s="27" t="n"/>
    </row>
    <row r="2910" ht="15" customHeight="1">
      <c r="K2910" s="26" t="n"/>
      <c r="L2910" s="26" t="n"/>
      <c r="M2910" s="26" t="n"/>
      <c r="N2910" s="27" t="n"/>
    </row>
    <row r="2911" ht="15" customHeight="1">
      <c r="K2911" s="26" t="n"/>
      <c r="L2911" s="26" t="n"/>
      <c r="M2911" s="26" t="n"/>
      <c r="N2911" s="27" t="n"/>
    </row>
    <row r="2912" ht="15" customHeight="1">
      <c r="K2912" s="26" t="n"/>
      <c r="L2912" s="26" t="n"/>
      <c r="M2912" s="26" t="n"/>
      <c r="N2912" s="27" t="n"/>
    </row>
    <row r="2913" ht="15" customHeight="1">
      <c r="K2913" s="26" t="n"/>
      <c r="L2913" s="26" t="n"/>
      <c r="M2913" s="26" t="n"/>
      <c r="N2913" s="27" t="n"/>
    </row>
    <row r="2914" ht="15" customHeight="1">
      <c r="K2914" s="26" t="n"/>
      <c r="L2914" s="26" t="n"/>
      <c r="M2914" s="26" t="n"/>
      <c r="N2914" s="27" t="n"/>
    </row>
    <row r="2915" ht="15" customHeight="1">
      <c r="K2915" s="26" t="n"/>
      <c r="L2915" s="26" t="n"/>
      <c r="M2915" s="26" t="n"/>
      <c r="N2915" s="27" t="n"/>
    </row>
    <row r="2916" ht="15" customHeight="1">
      <c r="K2916" s="26" t="n"/>
      <c r="L2916" s="26" t="n"/>
      <c r="M2916" s="26" t="n"/>
      <c r="N2916" s="27" t="n"/>
    </row>
    <row r="2917" ht="15" customHeight="1">
      <c r="K2917" s="26" t="n"/>
      <c r="L2917" s="26" t="n"/>
      <c r="M2917" s="26" t="n"/>
      <c r="N2917" s="27" t="n"/>
    </row>
    <row r="2918" ht="15" customHeight="1">
      <c r="K2918" s="26" t="n"/>
      <c r="L2918" s="26" t="n"/>
      <c r="M2918" s="26" t="n"/>
      <c r="N2918" s="27" t="n"/>
    </row>
    <row r="2919" ht="15" customHeight="1">
      <c r="K2919" s="26" t="n"/>
      <c r="L2919" s="26" t="n"/>
      <c r="M2919" s="26" t="n"/>
      <c r="N2919" s="27" t="n"/>
    </row>
    <row r="2920" ht="15" customHeight="1">
      <c r="K2920" s="26" t="n"/>
      <c r="L2920" s="26" t="n"/>
      <c r="M2920" s="26" t="n"/>
      <c r="N2920" s="27" t="n"/>
    </row>
    <row r="2921" ht="15" customHeight="1">
      <c r="K2921" s="26" t="n"/>
      <c r="L2921" s="26" t="n"/>
      <c r="M2921" s="26" t="n"/>
      <c r="N2921" s="27" t="n"/>
    </row>
    <row r="2922" ht="15" customHeight="1">
      <c r="K2922" s="26" t="n"/>
      <c r="L2922" s="26" t="n"/>
      <c r="M2922" s="26" t="n"/>
      <c r="N2922" s="27" t="n"/>
    </row>
    <row r="2923" ht="15" customHeight="1">
      <c r="K2923" s="26" t="n"/>
      <c r="L2923" s="26" t="n"/>
      <c r="M2923" s="26" t="n"/>
      <c r="N2923" s="27" t="n"/>
    </row>
    <row r="2924" ht="15" customHeight="1">
      <c r="K2924" s="26" t="n"/>
      <c r="L2924" s="26" t="n"/>
      <c r="M2924" s="26" t="n"/>
      <c r="N2924" s="27" t="n"/>
    </row>
    <row r="2925" ht="15" customHeight="1">
      <c r="K2925" s="26" t="n"/>
      <c r="L2925" s="26" t="n"/>
      <c r="M2925" s="26" t="n"/>
      <c r="N2925" s="27" t="n"/>
    </row>
    <row r="2926" ht="15" customHeight="1">
      <c r="K2926" s="26" t="n"/>
      <c r="L2926" s="26" t="n"/>
      <c r="M2926" s="26" t="n"/>
      <c r="N2926" s="27" t="n"/>
    </row>
    <row r="2927" ht="15" customHeight="1">
      <c r="K2927" s="26" t="n"/>
      <c r="L2927" s="26" t="n"/>
      <c r="M2927" s="26" t="n"/>
      <c r="N2927" s="27" t="n"/>
    </row>
    <row r="2928" ht="15" customHeight="1">
      <c r="K2928" s="26" t="n"/>
      <c r="L2928" s="26" t="n"/>
      <c r="M2928" s="26" t="n"/>
      <c r="N2928" s="27" t="n"/>
    </row>
    <row r="2929" ht="15" customHeight="1">
      <c r="K2929" s="26" t="n"/>
      <c r="L2929" s="26" t="n"/>
      <c r="M2929" s="26" t="n"/>
      <c r="N2929" s="27" t="n"/>
    </row>
    <row r="2930" ht="15" customHeight="1">
      <c r="K2930" s="26" t="n"/>
      <c r="L2930" s="26" t="n"/>
      <c r="M2930" s="26" t="n"/>
      <c r="N2930" s="27" t="n"/>
    </row>
    <row r="2931" ht="15" customHeight="1">
      <c r="K2931" s="26" t="n"/>
      <c r="L2931" s="26" t="n"/>
      <c r="M2931" s="26" t="n"/>
      <c r="N2931" s="27" t="n"/>
    </row>
    <row r="2932" ht="15" customHeight="1">
      <c r="K2932" s="26" t="n"/>
      <c r="L2932" s="26" t="n"/>
      <c r="M2932" s="26" t="n"/>
      <c r="N2932" s="27" t="n"/>
    </row>
    <row r="2933" ht="15" customHeight="1">
      <c r="K2933" s="26" t="n"/>
      <c r="L2933" s="26" t="n"/>
      <c r="M2933" s="26" t="n"/>
      <c r="N2933" s="27" t="n"/>
    </row>
    <row r="2934" ht="15" customHeight="1">
      <c r="K2934" s="26" t="n"/>
      <c r="L2934" s="26" t="n"/>
      <c r="M2934" s="26" t="n"/>
      <c r="N2934" s="27" t="n"/>
    </row>
    <row r="2935" ht="15" customHeight="1">
      <c r="K2935" s="26" t="n"/>
      <c r="L2935" s="26" t="n"/>
      <c r="M2935" s="26" t="n"/>
      <c r="N2935" s="27" t="n"/>
    </row>
    <row r="2936" ht="15" customHeight="1">
      <c r="K2936" s="26" t="n"/>
      <c r="L2936" s="26" t="n"/>
      <c r="M2936" s="26" t="n"/>
      <c r="N2936" s="27" t="n"/>
    </row>
    <row r="2937" ht="15" customHeight="1">
      <c r="K2937" s="26" t="n"/>
      <c r="L2937" s="26" t="n"/>
      <c r="M2937" s="26" t="n"/>
      <c r="N2937" s="27" t="n"/>
    </row>
    <row r="2938" ht="15" customHeight="1">
      <c r="K2938" s="26" t="n"/>
      <c r="L2938" s="26" t="n"/>
      <c r="M2938" s="26" t="n"/>
      <c r="N2938" s="27" t="n"/>
    </row>
    <row r="2939" ht="15" customHeight="1">
      <c r="K2939" s="26" t="n"/>
      <c r="L2939" s="26" t="n"/>
      <c r="M2939" s="26" t="n"/>
      <c r="N2939" s="27" t="n"/>
    </row>
    <row r="2940" ht="15" customHeight="1">
      <c r="K2940" s="26" t="n"/>
      <c r="L2940" s="26" t="n"/>
      <c r="M2940" s="26" t="n"/>
      <c r="N2940" s="27" t="n"/>
    </row>
    <row r="2941" ht="15" customHeight="1">
      <c r="K2941" s="26" t="n"/>
      <c r="L2941" s="26" t="n"/>
      <c r="M2941" s="26" t="n"/>
      <c r="N2941" s="27" t="n"/>
    </row>
    <row r="2942" ht="15" customHeight="1">
      <c r="K2942" s="26" t="n"/>
      <c r="L2942" s="26" t="n"/>
      <c r="M2942" s="26" t="n"/>
      <c r="N2942" s="27" t="n"/>
    </row>
    <row r="2943" ht="15" customHeight="1">
      <c r="K2943" s="26" t="n"/>
      <c r="L2943" s="26" t="n"/>
      <c r="M2943" s="26" t="n"/>
      <c r="N2943" s="27" t="n"/>
    </row>
    <row r="2944" ht="15" customHeight="1">
      <c r="K2944" s="26" t="n"/>
      <c r="L2944" s="26" t="n"/>
      <c r="M2944" s="26" t="n"/>
      <c r="N2944" s="27" t="n"/>
    </row>
    <row r="2945" ht="15" customHeight="1">
      <c r="K2945" s="26" t="n"/>
      <c r="L2945" s="26" t="n"/>
      <c r="M2945" s="26" t="n"/>
      <c r="N2945" s="27" t="n"/>
    </row>
    <row r="2946" ht="15" customHeight="1">
      <c r="K2946" s="26" t="n"/>
      <c r="L2946" s="26" t="n"/>
      <c r="M2946" s="26" t="n"/>
      <c r="N2946" s="27" t="n"/>
    </row>
    <row r="2947" ht="15" customHeight="1">
      <c r="K2947" s="26" t="n"/>
      <c r="L2947" s="26" t="n"/>
      <c r="M2947" s="26" t="n"/>
      <c r="N2947" s="27" t="n"/>
    </row>
    <row r="2948" ht="15" customHeight="1">
      <c r="K2948" s="26" t="n"/>
      <c r="L2948" s="26" t="n"/>
      <c r="M2948" s="26" t="n"/>
      <c r="N2948" s="27" t="n"/>
    </row>
    <row r="2949" ht="15" customHeight="1">
      <c r="K2949" s="26" t="n"/>
      <c r="L2949" s="26" t="n"/>
      <c r="M2949" s="26" t="n"/>
      <c r="N2949" s="27" t="n"/>
    </row>
    <row r="2950" ht="15" customHeight="1">
      <c r="K2950" s="26" t="n"/>
      <c r="L2950" s="26" t="n"/>
      <c r="M2950" s="26" t="n"/>
      <c r="N2950" s="27" t="n"/>
    </row>
    <row r="2951" ht="15" customHeight="1">
      <c r="K2951" s="26" t="n"/>
      <c r="L2951" s="26" t="n"/>
      <c r="M2951" s="26" t="n"/>
      <c r="N2951" s="27" t="n"/>
    </row>
    <row r="2952" ht="15" customHeight="1">
      <c r="K2952" s="26" t="n"/>
      <c r="L2952" s="26" t="n"/>
      <c r="M2952" s="26" t="n"/>
      <c r="N2952" s="27" t="n"/>
    </row>
    <row r="2953" ht="15" customHeight="1">
      <c r="K2953" s="26" t="n"/>
      <c r="L2953" s="26" t="n"/>
      <c r="M2953" s="26" t="n"/>
      <c r="N2953" s="27" t="n"/>
    </row>
    <row r="2954" ht="15" customHeight="1">
      <c r="K2954" s="26" t="n"/>
      <c r="L2954" s="26" t="n"/>
      <c r="M2954" s="26" t="n"/>
      <c r="N2954" s="27" t="n"/>
    </row>
    <row r="2955" ht="15" customHeight="1">
      <c r="K2955" s="26" t="n"/>
      <c r="L2955" s="26" t="n"/>
      <c r="M2955" s="26" t="n"/>
      <c r="N2955" s="27" t="n"/>
    </row>
    <row r="2956" ht="15" customHeight="1">
      <c r="K2956" s="26" t="n"/>
      <c r="L2956" s="26" t="n"/>
      <c r="M2956" s="26" t="n"/>
      <c r="N2956" s="27" t="n"/>
    </row>
    <row r="2957" ht="15" customHeight="1">
      <c r="K2957" s="26" t="n"/>
      <c r="L2957" s="26" t="n"/>
      <c r="M2957" s="26" t="n"/>
      <c r="N2957" s="27" t="n"/>
    </row>
    <row r="2958" ht="15" customHeight="1">
      <c r="K2958" s="26" t="n"/>
      <c r="L2958" s="26" t="n"/>
      <c r="M2958" s="26" t="n"/>
      <c r="N2958" s="27" t="n"/>
    </row>
    <row r="2959" ht="15" customHeight="1">
      <c r="K2959" s="26" t="n"/>
      <c r="L2959" s="26" t="n"/>
      <c r="M2959" s="26" t="n"/>
      <c r="N2959" s="27" t="n"/>
    </row>
    <row r="2960" ht="15" customHeight="1">
      <c r="K2960" s="26" t="n"/>
      <c r="L2960" s="26" t="n"/>
      <c r="M2960" s="26" t="n"/>
      <c r="N2960" s="27" t="n"/>
    </row>
    <row r="2961" ht="15" customHeight="1">
      <c r="K2961" s="26" t="n"/>
      <c r="L2961" s="26" t="n"/>
      <c r="M2961" s="26" t="n"/>
      <c r="N2961" s="27" t="n"/>
    </row>
    <row r="2962" ht="15" customHeight="1">
      <c r="K2962" s="26" t="n"/>
      <c r="L2962" s="26" t="n"/>
      <c r="M2962" s="26" t="n"/>
      <c r="N2962" s="27" t="n"/>
    </row>
    <row r="2963" ht="15" customHeight="1">
      <c r="K2963" s="26" t="n"/>
      <c r="L2963" s="26" t="n"/>
      <c r="M2963" s="26" t="n"/>
      <c r="N2963" s="27" t="n"/>
    </row>
    <row r="2964" ht="15" customHeight="1">
      <c r="K2964" s="26" t="n"/>
      <c r="L2964" s="26" t="n"/>
      <c r="M2964" s="26" t="n"/>
      <c r="N2964" s="27" t="n"/>
    </row>
    <row r="2965" ht="15" customHeight="1">
      <c r="K2965" s="26" t="n"/>
      <c r="L2965" s="26" t="n"/>
      <c r="M2965" s="26" t="n"/>
      <c r="N2965" s="27" t="n"/>
    </row>
    <row r="2966" ht="15" customHeight="1">
      <c r="K2966" s="26" t="n"/>
      <c r="L2966" s="26" t="n"/>
      <c r="M2966" s="26" t="n"/>
      <c r="N2966" s="27" t="n"/>
    </row>
    <row r="2967" ht="15" customHeight="1">
      <c r="K2967" s="26" t="n"/>
      <c r="L2967" s="26" t="n"/>
      <c r="M2967" s="26" t="n"/>
      <c r="N2967" s="27" t="n"/>
    </row>
    <row r="2968" ht="15" customHeight="1">
      <c r="K2968" s="26" t="n"/>
      <c r="L2968" s="26" t="n"/>
      <c r="M2968" s="26" t="n"/>
      <c r="N2968" s="27" t="n"/>
    </row>
    <row r="2969" ht="15" customHeight="1">
      <c r="K2969" s="26" t="n"/>
      <c r="L2969" s="26" t="n"/>
      <c r="M2969" s="26" t="n"/>
      <c r="N2969" s="27" t="n"/>
    </row>
    <row r="2970" ht="15" customHeight="1">
      <c r="K2970" s="26" t="n"/>
      <c r="L2970" s="26" t="n"/>
      <c r="M2970" s="26" t="n"/>
      <c r="N2970" s="27" t="n"/>
    </row>
    <row r="2971" ht="15" customHeight="1">
      <c r="K2971" s="26" t="n"/>
      <c r="L2971" s="26" t="n"/>
      <c r="M2971" s="26" t="n"/>
      <c r="N2971" s="27" t="n"/>
    </row>
    <row r="2972" ht="15" customHeight="1">
      <c r="K2972" s="26" t="n"/>
      <c r="L2972" s="26" t="n"/>
      <c r="M2972" s="26" t="n"/>
      <c r="N2972" s="27" t="n"/>
    </row>
    <row r="2973" ht="15" customHeight="1">
      <c r="K2973" s="26" t="n"/>
      <c r="L2973" s="26" t="n"/>
      <c r="M2973" s="26" t="n"/>
      <c r="N2973" s="27" t="n"/>
    </row>
    <row r="2974" ht="15" customHeight="1">
      <c r="K2974" s="26" t="n"/>
      <c r="L2974" s="26" t="n"/>
      <c r="M2974" s="26" t="n"/>
      <c r="N2974" s="27" t="n"/>
    </row>
    <row r="2975" ht="15" customHeight="1">
      <c r="K2975" s="26" t="n"/>
      <c r="L2975" s="26" t="n"/>
      <c r="M2975" s="26" t="n"/>
      <c r="N2975" s="27" t="n"/>
    </row>
    <row r="2976" ht="15" customHeight="1">
      <c r="K2976" s="26" t="n"/>
      <c r="L2976" s="26" t="n"/>
      <c r="M2976" s="26" t="n"/>
      <c r="N2976" s="27" t="n"/>
    </row>
    <row r="2977" ht="15" customHeight="1">
      <c r="K2977" s="26" t="n"/>
      <c r="L2977" s="26" t="n"/>
      <c r="M2977" s="26" t="n"/>
      <c r="N2977" s="27" t="n"/>
    </row>
    <row r="2978" ht="15" customHeight="1">
      <c r="K2978" s="26" t="n"/>
      <c r="L2978" s="26" t="n"/>
      <c r="M2978" s="26" t="n"/>
      <c r="N2978" s="27" t="n"/>
    </row>
    <row r="2979" ht="15" customHeight="1">
      <c r="K2979" s="26" t="n"/>
      <c r="L2979" s="26" t="n"/>
      <c r="M2979" s="26" t="n"/>
      <c r="N2979" s="27" t="n"/>
    </row>
    <row r="2980" ht="15" customHeight="1">
      <c r="K2980" s="26" t="n"/>
      <c r="L2980" s="26" t="n"/>
      <c r="M2980" s="26" t="n"/>
      <c r="N2980" s="27" t="n"/>
    </row>
    <row r="2981" ht="15" customHeight="1">
      <c r="K2981" s="26" t="n"/>
      <c r="L2981" s="26" t="n"/>
      <c r="M2981" s="26" t="n"/>
      <c r="N2981" s="27" t="n"/>
    </row>
    <row r="2982" ht="15" customHeight="1">
      <c r="K2982" s="26" t="n"/>
      <c r="L2982" s="26" t="n"/>
      <c r="M2982" s="26" t="n"/>
      <c r="N2982" s="27" t="n"/>
    </row>
    <row r="2983" ht="15" customHeight="1">
      <c r="K2983" s="26" t="n"/>
      <c r="L2983" s="26" t="n"/>
      <c r="M2983" s="26" t="n"/>
      <c r="N2983" s="27" t="n"/>
    </row>
    <row r="2984" ht="15" customHeight="1">
      <c r="K2984" s="26" t="n"/>
      <c r="L2984" s="26" t="n"/>
      <c r="M2984" s="26" t="n"/>
      <c r="N2984" s="27" t="n"/>
    </row>
    <row r="2985" ht="15" customHeight="1">
      <c r="K2985" s="26" t="n"/>
      <c r="L2985" s="26" t="n"/>
      <c r="M2985" s="26" t="n"/>
      <c r="N2985" s="27" t="n"/>
    </row>
    <row r="2986" ht="15" customHeight="1">
      <c r="K2986" s="26" t="n"/>
      <c r="L2986" s="26" t="n"/>
      <c r="M2986" s="26" t="n"/>
      <c r="N2986" s="27" t="n"/>
    </row>
    <row r="2987" ht="15" customHeight="1">
      <c r="K2987" s="26" t="n"/>
      <c r="L2987" s="26" t="n"/>
      <c r="M2987" s="26" t="n"/>
      <c r="N2987" s="27" t="n"/>
    </row>
    <row r="2988" ht="15" customHeight="1">
      <c r="K2988" s="26" t="n"/>
      <c r="L2988" s="26" t="n"/>
      <c r="M2988" s="26" t="n"/>
      <c r="N2988" s="27" t="n"/>
    </row>
    <row r="2989" ht="15" customHeight="1">
      <c r="K2989" s="26" t="n"/>
      <c r="L2989" s="26" t="n"/>
      <c r="M2989" s="26" t="n"/>
      <c r="N2989" s="27" t="n"/>
    </row>
    <row r="2990" ht="15" customHeight="1">
      <c r="K2990" s="26" t="n"/>
      <c r="L2990" s="26" t="n"/>
      <c r="M2990" s="26" t="n"/>
      <c r="N2990" s="27" t="n"/>
    </row>
    <row r="2991" ht="15" customHeight="1">
      <c r="K2991" s="26" t="n"/>
      <c r="L2991" s="26" t="n"/>
      <c r="M2991" s="26" t="n"/>
      <c r="N2991" s="27" t="n"/>
    </row>
    <row r="2992" ht="15" customHeight="1">
      <c r="K2992" s="26" t="n"/>
      <c r="L2992" s="26" t="n"/>
      <c r="M2992" s="26" t="n"/>
      <c r="N2992" s="27" t="n"/>
    </row>
    <row r="2993" ht="15" customHeight="1">
      <c r="K2993" s="26" t="n"/>
      <c r="L2993" s="26" t="n"/>
      <c r="M2993" s="26" t="n"/>
      <c r="N2993" s="27" t="n"/>
    </row>
    <row r="2994" ht="15" customHeight="1">
      <c r="K2994" s="26" t="n"/>
      <c r="L2994" s="26" t="n"/>
      <c r="M2994" s="26" t="n"/>
      <c r="N2994" s="27" t="n"/>
    </row>
    <row r="2995" ht="15" customHeight="1">
      <c r="K2995" s="26" t="n"/>
      <c r="L2995" s="26" t="n"/>
      <c r="M2995" s="26" t="n"/>
      <c r="N2995" s="27" t="n"/>
    </row>
    <row r="2996" ht="15" customHeight="1">
      <c r="K2996" s="26" t="n"/>
      <c r="L2996" s="26" t="n"/>
      <c r="M2996" s="26" t="n"/>
      <c r="N2996" s="27" t="n"/>
    </row>
    <row r="2997" ht="15" customHeight="1">
      <c r="K2997" s="26" t="n"/>
      <c r="L2997" s="26" t="n"/>
      <c r="M2997" s="26" t="n"/>
      <c r="N2997" s="27" t="n"/>
    </row>
    <row r="2998" ht="15" customHeight="1">
      <c r="K2998" s="26" t="n"/>
      <c r="L2998" s="26" t="n"/>
      <c r="M2998" s="26" t="n"/>
      <c r="N2998" s="27" t="n"/>
    </row>
    <row r="2999" ht="15" customHeight="1">
      <c r="K2999" s="26" t="n"/>
      <c r="L2999" s="26" t="n"/>
      <c r="M2999" s="26" t="n"/>
      <c r="N2999" s="27" t="n"/>
    </row>
    <row r="3000" ht="15" customHeight="1">
      <c r="K3000" s="26" t="n"/>
      <c r="L3000" s="26" t="n"/>
      <c r="M3000" s="26" t="n"/>
      <c r="N3000" s="27" t="n"/>
    </row>
  </sheetData>
  <mergeCells count="2">
    <mergeCell ref="A2:N2"/>
    <mergeCell ref="A1:N1"/>
  </mergeCells>
  <conditionalFormatting sqref="N5:N6168">
    <cfRule type="cellIs" priority="2" operator="equal" dxfId="1">
      <formula>"YES"</formula>
    </cfRule>
    <cfRule type="cellIs" priority="3" operator="equal" dxfId="0">
      <formula>"NO"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7" customWidth="1" min="4" max="4"/>
    <col width="9" customWidth="1" min="5" max="5"/>
    <col width="13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4" customWidth="1" min="14" max="14"/>
    <col width="30" customWidth="1" min="15" max="15"/>
    <col width="10" customWidth="1" min="16" max="16"/>
  </cols>
  <sheetData>
    <row r="1">
      <c r="A1" s="95" t="inlineStr">
        <is>
          <t>Near-Miss BUY Signals — Threshold Calibration Cohort (auto-generated)</t>
        </is>
      </c>
    </row>
    <row r="2">
      <c r="A2" s="96" t="inlineStr">
        <is>
          <t>AUTO-GENERATED from the Signals tab — do not hand-edit. BUY signals rejected by the 70% threshold (60–69% confidence). Prices/returns are sourced from Signals; +Nd dates are trading-day offsets.</t>
        </is>
      </c>
    </row>
    <row r="4">
      <c r="A4" s="97" t="inlineStr">
        <is>
          <t>Signal Date</t>
        </is>
      </c>
      <c r="B4" s="97" t="inlineStr">
        <is>
          <t>Ticker</t>
        </is>
      </c>
      <c r="C4" s="97" t="inlineStr">
        <is>
          <t>Account</t>
        </is>
      </c>
      <c r="D4" s="97" t="inlineStr">
        <is>
          <t>Conf %</t>
        </is>
      </c>
      <c r="E4" s="97" t="inlineStr">
        <is>
          <t>Data Quality</t>
        </is>
      </c>
      <c r="F4" s="97" t="inlineStr">
        <is>
          <t>Price at Signal</t>
        </is>
      </c>
      <c r="G4" s="97" t="inlineStr">
        <is>
          <t>+5d Date</t>
        </is>
      </c>
      <c r="H4" s="97" t="inlineStr">
        <is>
          <t>+10d Date</t>
        </is>
      </c>
      <c r="I4" s="97" t="inlineStr">
        <is>
          <t>Price +5d</t>
        </is>
      </c>
      <c r="J4" s="97" t="inlineStr">
        <is>
          <t>Price +10d</t>
        </is>
      </c>
      <c r="K4" s="97" t="inlineStr">
        <is>
          <t>Return +5d</t>
        </is>
      </c>
      <c r="L4" s="97" t="inlineStr">
        <is>
          <t>Return +10d</t>
        </is>
      </c>
      <c r="M4" s="97" t="inlineStr">
        <is>
          <t>Was Claude Right? (5d)</t>
        </is>
      </c>
      <c r="N4" s="97" t="inlineStr">
        <is>
          <t>Was Claude Right? (10d)</t>
        </is>
      </c>
      <c r="O4" s="97" t="inlineStr">
        <is>
          <t>Notes</t>
        </is>
      </c>
      <c r="P4" s="97" t="inlineStr">
        <is>
          <t>Segment</t>
        </is>
      </c>
    </row>
    <row r="5">
      <c r="A5" s="124" t="n">
        <v>46161</v>
      </c>
      <c r="B5" s="99" t="inlineStr">
        <is>
          <t>NVDA</t>
        </is>
      </c>
      <c r="C5" s="100" t="inlineStr">
        <is>
          <t>Scout</t>
        </is>
      </c>
      <c r="D5" s="101" t="n">
        <v>0.62</v>
      </c>
      <c r="E5" s="102" t="inlineStr">
        <is>
          <t>MEDIUM</t>
        </is>
      </c>
      <c r="F5" s="125" t="n">
        <v>220.58</v>
      </c>
      <c r="G5" s="124" t="n">
        <v>46169</v>
      </c>
      <c r="H5" s="124" t="n">
        <v>46176</v>
      </c>
      <c r="I5" s="125" t="n">
        <v>212.6</v>
      </c>
      <c r="J5" s="125" t="n">
        <v>214.75</v>
      </c>
      <c r="K5" s="126">
        <f>IF(I5&lt;&gt;"",I5/F5-1,"")</f>
        <v/>
      </c>
      <c r="L5" s="126">
        <f>IF(J5&lt;&gt;"",J5/F5-1,"")</f>
        <v/>
      </c>
      <c r="M5" s="102">
        <f>IF(K5&lt;&gt;"",IF(K5&gt;0,"YES","NO"),"")</f>
        <v/>
      </c>
      <c r="N5" s="102">
        <f>IF(L5&lt;&gt;"",IF(L5&gt;0,"YES","NO"),"")</f>
        <v/>
      </c>
      <c r="O5" s="100" t="inlineStr">
        <is>
          <t>First BUY signal. Rejected: 62% &lt; 70% threshold</t>
        </is>
      </c>
      <c r="P5" s="105" t="inlineStr">
        <is>
          <t>LOCKED</t>
        </is>
      </c>
    </row>
    <row r="6">
      <c r="A6" s="124" t="n">
        <v>46163</v>
      </c>
      <c r="B6" s="99" t="inlineStr">
        <is>
          <t>SCHD</t>
        </is>
      </c>
      <c r="C6" s="100" t="inlineStr">
        <is>
          <t>Roth IRA</t>
        </is>
      </c>
      <c r="D6" s="101" t="n">
        <v>0.68</v>
      </c>
      <c r="E6" s="102" t="inlineStr">
        <is>
          <t>HIGH</t>
        </is>
      </c>
      <c r="F6" s="125" t="n">
        <v>32.109</v>
      </c>
      <c r="G6" s="124" t="n">
        <v>46171</v>
      </c>
      <c r="H6" s="124" t="n">
        <v>46178</v>
      </c>
      <c r="I6" s="125" t="n">
        <v>32.5</v>
      </c>
      <c r="J6" s="125" t="n">
        <v>32.3</v>
      </c>
      <c r="K6" s="126">
        <f>IF(I6&lt;&gt;"",I6/F6-1,"")</f>
        <v/>
      </c>
      <c r="L6" s="126">
        <f>IF(J6&lt;&gt;"",J6/F6-1,"")</f>
        <v/>
      </c>
      <c r="M6" s="102">
        <f>IF(K6&lt;&gt;"",IF(K6&gt;0,"YES","NO"),"")</f>
        <v/>
      </c>
      <c r="N6" s="102">
        <f>IF(L6&lt;&gt;"",IF(L6&gt;0,"YES","NO"),"")</f>
        <v/>
      </c>
      <c r="O6" s="100" t="n"/>
      <c r="P6" s="105" t="inlineStr">
        <is>
          <t>LOCKED</t>
        </is>
      </c>
    </row>
    <row r="7">
      <c r="A7" s="124" t="n">
        <v>46164</v>
      </c>
      <c r="B7" s="99" t="inlineStr">
        <is>
          <t>NVDA</t>
        </is>
      </c>
      <c r="C7" s="100" t="inlineStr">
        <is>
          <t>Scout</t>
        </is>
      </c>
      <c r="D7" s="101" t="n">
        <v>0.62</v>
      </c>
      <c r="E7" s="102" t="inlineStr">
        <is>
          <t>MEDIUM</t>
        </is>
      </c>
      <c r="F7" s="125" t="n">
        <v>216.765</v>
      </c>
      <c r="G7" s="124" t="n">
        <v>46174</v>
      </c>
      <c r="H7" s="124" t="n">
        <v>46181</v>
      </c>
      <c r="I7" s="125" t="n">
        <v>224.36</v>
      </c>
      <c r="J7" s="125" t="n">
        <v>208.64</v>
      </c>
      <c r="K7" s="126">
        <f>IF(I7&lt;&gt;"",I7/F7-1,"")</f>
        <v/>
      </c>
      <c r="L7" s="126">
        <f>IF(J7&lt;&gt;"",J7/F7-1,"")</f>
        <v/>
      </c>
      <c r="M7" s="102">
        <f>IF(K7&lt;&gt;"",IF(K7&gt;0,"YES","NO"),"")</f>
        <v/>
      </c>
      <c r="N7" s="102">
        <f>IF(L7&lt;&gt;"",IF(L7&gt;0,"YES","NO"),"")</f>
        <v/>
      </c>
      <c r="O7" s="100" t="n"/>
      <c r="P7" s="105" t="inlineStr">
        <is>
          <t>LOCKED</t>
        </is>
      </c>
    </row>
    <row r="8">
      <c r="A8" s="124" t="n">
        <v>46168</v>
      </c>
      <c r="B8" s="99" t="inlineStr">
        <is>
          <t>VTI</t>
        </is>
      </c>
      <c r="C8" s="100" t="inlineStr">
        <is>
          <t>Scout</t>
        </is>
      </c>
      <c r="D8" s="101" t="n">
        <v>0.68</v>
      </c>
      <c r="E8" s="102" t="inlineStr">
        <is>
          <t>HIGH</t>
        </is>
      </c>
      <c r="F8" s="125" t="n">
        <v>370.15</v>
      </c>
      <c r="G8" s="124" t="n">
        <v>46175</v>
      </c>
      <c r="H8" s="124" t="n">
        <v>46182</v>
      </c>
      <c r="I8" s="125" t="n">
        <v>374.36</v>
      </c>
      <c r="J8" s="125" t="n">
        <v>363.67</v>
      </c>
      <c r="K8" s="126">
        <f>IF(I8&lt;&gt;"",I8/F8-1,"")</f>
        <v/>
      </c>
      <c r="L8" s="126">
        <f>IF(J8&lt;&gt;"",J8/F8-1,"")</f>
        <v/>
      </c>
      <c r="M8" s="102">
        <f>IF(K8&lt;&gt;"",IF(K8&gt;0,"YES","NO"),"")</f>
        <v/>
      </c>
      <c r="N8" s="102">
        <f>IF(L8&lt;&gt;"",IF(L8&gt;0,"YES","NO"),"")</f>
        <v/>
      </c>
      <c r="O8" s="100" t="n"/>
      <c r="P8" s="105" t="inlineStr">
        <is>
          <t>LOCKED</t>
        </is>
      </c>
    </row>
    <row r="9">
      <c r="A9" s="124" t="n">
        <v>46169</v>
      </c>
      <c r="B9" s="99" t="inlineStr">
        <is>
          <t>NVDA</t>
        </is>
      </c>
      <c r="C9" s="100" t="inlineStr">
        <is>
          <t>Scout</t>
        </is>
      </c>
      <c r="D9" s="101" t="n">
        <v>0.63</v>
      </c>
      <c r="E9" s="102" t="inlineStr">
        <is>
          <t>MEDIUM</t>
        </is>
      </c>
      <c r="F9" s="125" t="n">
        <v>209.84</v>
      </c>
      <c r="G9" s="124" t="n">
        <v>46176</v>
      </c>
      <c r="H9" s="124" t="n">
        <v>46183</v>
      </c>
      <c r="I9" s="125" t="n">
        <v>214.75</v>
      </c>
      <c r="J9" s="125" t="n">
        <v>200.42</v>
      </c>
      <c r="K9" s="126">
        <f>IF(I9&lt;&gt;"",I9/F9-1,"")</f>
        <v/>
      </c>
      <c r="L9" s="126">
        <f>IF(J9&lt;&gt;"",J9/F9-1,"")</f>
        <v/>
      </c>
      <c r="M9" s="102">
        <f>IF(K9&lt;&gt;"",IF(K9&gt;0,"YES","NO"),"")</f>
        <v/>
      </c>
      <c r="N9" s="102">
        <f>IF(L9&lt;&gt;"",IF(L9&gt;0,"YES","NO"),"")</f>
        <v/>
      </c>
      <c r="O9" s="100" t="n"/>
      <c r="P9" s="105" t="inlineStr">
        <is>
          <t>LOCKED</t>
        </is>
      </c>
    </row>
    <row r="10">
      <c r="A10" s="124" t="n">
        <v>46171</v>
      </c>
      <c r="B10" s="99" t="inlineStr">
        <is>
          <t>NVDA</t>
        </is>
      </c>
      <c r="C10" s="100" t="inlineStr">
        <is>
          <t>Scout</t>
        </is>
      </c>
      <c r="D10" s="101" t="n">
        <v>0.68</v>
      </c>
      <c r="E10" s="102" t="inlineStr">
        <is>
          <t>MEDIUM</t>
        </is>
      </c>
      <c r="F10" s="125" t="n">
        <v>215.95</v>
      </c>
      <c r="G10" s="124" t="n">
        <v>46178</v>
      </c>
      <c r="H10" s="124" t="n">
        <v>46185</v>
      </c>
      <c r="I10" s="125" t="n">
        <v>205.1</v>
      </c>
      <c r="J10" s="125" t="n">
        <v>205.19</v>
      </c>
      <c r="K10" s="126">
        <f>IF(I10&lt;&gt;"",I10/F10-1,"")</f>
        <v/>
      </c>
      <c r="L10" s="126">
        <f>IF(J10&lt;&gt;"",J10/F10-1,"")</f>
        <v/>
      </c>
      <c r="M10" s="102">
        <f>IF(K10&lt;&gt;"",IF(K10&gt;0,"YES","NO"),"")</f>
        <v/>
      </c>
      <c r="N10" s="102">
        <f>IF(L10&lt;&gt;"",IF(L10&gt;0,"YES","NO"),"")</f>
        <v/>
      </c>
      <c r="O10" s="100" t="n"/>
      <c r="P10" s="105" t="inlineStr">
        <is>
          <t>LOCKED</t>
        </is>
      </c>
    </row>
    <row r="11">
      <c r="A11" s="124" t="n">
        <v>46174</v>
      </c>
      <c r="B11" s="99" t="inlineStr">
        <is>
          <t>NVDA</t>
        </is>
      </c>
      <c r="C11" s="100" t="inlineStr">
        <is>
          <t>Scout</t>
        </is>
      </c>
      <c r="D11" s="101" t="n">
        <v>0.68</v>
      </c>
      <c r="E11" s="102" t="inlineStr">
        <is>
          <t>MEDIUM</t>
        </is>
      </c>
      <c r="F11" s="125" t="n">
        <v>221.585</v>
      </c>
      <c r="G11" s="124" t="n">
        <v>46181</v>
      </c>
      <c r="H11" s="124" t="n">
        <v>46188</v>
      </c>
      <c r="I11" s="125" t="n">
        <v>208.64</v>
      </c>
      <c r="J11" s="125" t="n">
        <v>212.45</v>
      </c>
      <c r="K11" s="126">
        <f>IF(I11&lt;&gt;"",I11/F11-1,"")</f>
        <v/>
      </c>
      <c r="L11" s="126">
        <f>IF(J11&lt;&gt;"",J11/F11-1,"")</f>
        <v/>
      </c>
      <c r="M11" s="102">
        <f>IF(K11&lt;&gt;"",IF(K11&gt;0,"YES","NO"),"")</f>
        <v/>
      </c>
      <c r="N11" s="102">
        <f>IF(L11&lt;&gt;"",IF(L11&gt;0,"YES","NO"),"")</f>
        <v/>
      </c>
      <c r="O11" s="100" t="n"/>
      <c r="P11" s="105" t="inlineStr">
        <is>
          <t>LOCKED</t>
        </is>
      </c>
    </row>
    <row r="12">
      <c r="A12" s="127" t="n">
        <v>46175</v>
      </c>
      <c r="B12" s="107" t="inlineStr">
        <is>
          <t>NVDA</t>
        </is>
      </c>
      <c r="C12" s="108" t="inlineStr">
        <is>
          <t>Scout</t>
        </is>
      </c>
      <c r="D12" s="109" t="n">
        <v>0.68</v>
      </c>
      <c r="E12" s="110" t="inlineStr">
        <is>
          <t>MEDIUM</t>
        </is>
      </c>
      <c r="F12" s="128" t="n">
        <v>227.93</v>
      </c>
      <c r="G12" s="127" t="n">
        <v>46182</v>
      </c>
      <c r="H12" s="127" t="n">
        <v>46189</v>
      </c>
      <c r="I12" s="128" t="n">
        <v>208.19</v>
      </c>
      <c r="J12" s="128" t="n">
        <v>207.41</v>
      </c>
      <c r="K12" s="129">
        <f>IF(I12&lt;&gt;"",I12/F12-1,"")</f>
        <v/>
      </c>
      <c r="L12" s="129">
        <f>IF(J12&lt;&gt;"",J12/F12-1,"")</f>
        <v/>
      </c>
      <c r="M12" s="110">
        <f>IF(K12&lt;&gt;"",IF(K12&gt;0,"YES","NO"),"")</f>
        <v/>
      </c>
      <c r="N12" s="110">
        <f>IF(L12&lt;&gt;"",IF(L12&gt;0,"YES","NO"),"")</f>
        <v/>
      </c>
      <c r="O12" s="108" t="n"/>
      <c r="P12" s="113" t="inlineStr">
        <is>
          <t>EXTENDED</t>
        </is>
      </c>
    </row>
    <row r="13">
      <c r="A13" s="127" t="n">
        <v>46176</v>
      </c>
      <c r="B13" s="107" t="inlineStr">
        <is>
          <t>GLD</t>
        </is>
      </c>
      <c r="C13" s="108" t="inlineStr">
        <is>
          <t>Scout</t>
        </is>
      </c>
      <c r="D13" s="109" t="n">
        <v>0.62</v>
      </c>
      <c r="E13" s="110" t="inlineStr">
        <is>
          <t>MEDIUM</t>
        </is>
      </c>
      <c r="F13" s="128" t="n">
        <v>408.5</v>
      </c>
      <c r="G13" s="127" t="n">
        <v>46183</v>
      </c>
      <c r="H13" s="127" t="n">
        <v>46190</v>
      </c>
      <c r="I13" s="128" t="n">
        <v>374.58</v>
      </c>
      <c r="J13" s="128" t="n">
        <v>388.6</v>
      </c>
      <c r="K13" s="129">
        <f>IF(I13&lt;&gt;"",I13/F13-1,"")</f>
        <v/>
      </c>
      <c r="L13" s="129">
        <f>IF(J13&lt;&gt;"",J13/F13-1,"")</f>
        <v/>
      </c>
      <c r="M13" s="110">
        <f>IF(K13&lt;&gt;"",IF(K13&gt;0,"YES","NO"),"")</f>
        <v/>
      </c>
      <c r="N13" s="110">
        <f>IF(L13&lt;&gt;"",IF(L13&gt;0,"YES","NO"),"")</f>
        <v/>
      </c>
      <c r="O13" s="108" t="n"/>
      <c r="P13" s="113" t="inlineStr">
        <is>
          <t>EXTENDED</t>
        </is>
      </c>
    </row>
    <row r="14">
      <c r="A14" s="127" t="n">
        <v>46176</v>
      </c>
      <c r="B14" s="107" t="inlineStr">
        <is>
          <t>NVDA</t>
        </is>
      </c>
      <c r="C14" s="108" t="inlineStr">
        <is>
          <t>Scout</t>
        </is>
      </c>
      <c r="D14" s="109" t="n">
        <v>0.66</v>
      </c>
      <c r="E14" s="110" t="inlineStr">
        <is>
          <t>MEDIUM</t>
        </is>
      </c>
      <c r="F14" s="128" t="n">
        <v>215.1283</v>
      </c>
      <c r="G14" s="127" t="n">
        <v>46183</v>
      </c>
      <c r="H14" s="127" t="n">
        <v>46190</v>
      </c>
      <c r="I14" s="128" t="n">
        <v>200.42</v>
      </c>
      <c r="J14" s="128" t="n">
        <v>204.65</v>
      </c>
      <c r="K14" s="129">
        <f>IF(I14&lt;&gt;"",I14/F14-1,"")</f>
        <v/>
      </c>
      <c r="L14" s="129">
        <f>IF(J14&lt;&gt;"",J14/F14-1,"")</f>
        <v/>
      </c>
      <c r="M14" s="110">
        <f>IF(K14&lt;&gt;"",IF(K14&gt;0,"YES","NO"),"")</f>
        <v/>
      </c>
      <c r="N14" s="110">
        <f>IF(L14&lt;&gt;"",IF(L14&gt;0,"YES","NO"),"")</f>
        <v/>
      </c>
      <c r="O14" s="108" t="n"/>
      <c r="P14" s="113" t="inlineStr">
        <is>
          <t>EXTENDED</t>
        </is>
      </c>
    </row>
    <row r="15">
      <c r="A15" s="127" t="n">
        <v>46177</v>
      </c>
      <c r="B15" s="107" t="inlineStr">
        <is>
          <t>NVDA</t>
        </is>
      </c>
      <c r="C15" s="108" t="inlineStr">
        <is>
          <t>Scout</t>
        </is>
      </c>
      <c r="D15" s="109" t="n">
        <v>0.65</v>
      </c>
      <c r="E15" s="110" t="inlineStr">
        <is>
          <t>MEDIUM</t>
        </is>
      </c>
      <c r="F15" s="128" t="n">
        <v>213.785</v>
      </c>
      <c r="G15" s="127" t="n">
        <v>46184</v>
      </c>
      <c r="H15" s="127" t="n">
        <v>46191</v>
      </c>
      <c r="I15" s="128" t="n">
        <v>204.87</v>
      </c>
      <c r="J15" s="128" t="n">
        <v>210.15</v>
      </c>
      <c r="K15" s="129">
        <f>IF(I15&lt;&gt;"",I15/F15-1,"")</f>
        <v/>
      </c>
      <c r="L15" s="129">
        <f>IF(J15&lt;&gt;"",J15/F15-1,"")</f>
        <v/>
      </c>
      <c r="M15" s="110">
        <f>IF(K15&lt;&gt;"",IF(K15&gt;0,"YES","NO"),"")</f>
        <v/>
      </c>
      <c r="N15" s="110">
        <f>IF(L15&lt;&gt;"",IF(L15&gt;0,"YES","NO"),"")</f>
        <v/>
      </c>
      <c r="O15" s="108" t="n"/>
      <c r="P15" s="113" t="inlineStr">
        <is>
          <t>EXTENDED</t>
        </is>
      </c>
    </row>
    <row r="16">
      <c r="A16" s="127" t="n">
        <v>46178</v>
      </c>
      <c r="B16" s="107" t="inlineStr">
        <is>
          <t>NVDA</t>
        </is>
      </c>
      <c r="C16" s="108" t="inlineStr">
        <is>
          <t>Scout</t>
        </is>
      </c>
      <c r="D16" s="109" t="n">
        <v>0.65</v>
      </c>
      <c r="E16" s="110" t="inlineStr">
        <is>
          <t>MEDIUM</t>
        </is>
      </c>
      <c r="F16" s="128" t="n">
        <v>211.975</v>
      </c>
      <c r="G16" s="127" t="n">
        <v>46185</v>
      </c>
      <c r="H16" s="127" t="n">
        <v>46195</v>
      </c>
      <c r="I16" s="128" t="n">
        <v>205.19</v>
      </c>
      <c r="J16" s="128" t="n">
        <v>208.65</v>
      </c>
      <c r="K16" s="129">
        <f>IF(I16&lt;&gt;"",I16/F16-1,"")</f>
        <v/>
      </c>
      <c r="L16" s="129">
        <f>IF(J16&lt;&gt;"",J16/F16-1,"")</f>
        <v/>
      </c>
      <c r="M16" s="110">
        <f>IF(K16&lt;&gt;"",IF(K16&gt;0,"YES","NO"),"")</f>
        <v/>
      </c>
      <c r="N16" s="110">
        <f>IF(L16&lt;&gt;"",IF(L16&gt;0,"YES","NO"),"")</f>
        <v/>
      </c>
      <c r="O16" s="108" t="n"/>
      <c r="P16" s="113" t="inlineStr">
        <is>
          <t>EXTENDED</t>
        </is>
      </c>
    </row>
    <row r="17">
      <c r="A17" s="127" t="n">
        <v>46181</v>
      </c>
      <c r="B17" s="107" t="inlineStr">
        <is>
          <t>NVDA</t>
        </is>
      </c>
      <c r="C17" s="108" t="inlineStr">
        <is>
          <t>Scout</t>
        </is>
      </c>
      <c r="D17" s="109" t="n">
        <v>0.68</v>
      </c>
      <c r="E17" s="110" t="inlineStr">
        <is>
          <t>MEDIUM</t>
        </is>
      </c>
      <c r="F17" s="128" t="n">
        <v>208.405</v>
      </c>
      <c r="G17" s="127" t="n">
        <v>46188</v>
      </c>
      <c r="H17" s="127" t="n">
        <v>46196</v>
      </c>
      <c r="I17" s="128" t="n">
        <v>212.45</v>
      </c>
      <c r="J17" s="128" t="n">
        <v>200.04</v>
      </c>
      <c r="K17" s="129">
        <f>IF(I17&lt;&gt;"",I17/F17-1,"")</f>
        <v/>
      </c>
      <c r="L17" s="129">
        <f>IF(J17&lt;&gt;"",J17/F17-1,"")</f>
        <v/>
      </c>
      <c r="M17" s="110">
        <f>IF(K17&lt;&gt;"",IF(K17&gt;0,"YES","NO"),"")</f>
        <v/>
      </c>
      <c r="N17" s="110">
        <f>IF(L17&lt;&gt;"",IF(L17&gt;0,"YES","NO"),"")</f>
        <v/>
      </c>
      <c r="O17" s="108" t="n"/>
      <c r="P17" s="113" t="inlineStr">
        <is>
          <t>EXTENDED</t>
        </is>
      </c>
    </row>
    <row r="18">
      <c r="A18" s="127" t="n">
        <v>46182</v>
      </c>
      <c r="B18" s="107" t="inlineStr">
        <is>
          <t>NVDA</t>
        </is>
      </c>
      <c r="C18" s="108" t="inlineStr">
        <is>
          <t>Scout</t>
        </is>
      </c>
      <c r="D18" s="109" t="n">
        <v>0.68</v>
      </c>
      <c r="E18" s="110" t="inlineStr">
        <is>
          <t>MEDIUM</t>
        </is>
      </c>
      <c r="F18" s="128" t="n">
        <v>207.4001</v>
      </c>
      <c r="G18" s="127" t="n">
        <v>46189</v>
      </c>
      <c r="H18" s="127" t="n">
        <v>46197</v>
      </c>
      <c r="I18" s="128" t="n">
        <v>207.41</v>
      </c>
      <c r="J18" s="128" t="n"/>
      <c r="K18" s="129">
        <f>IF(I18&lt;&gt;"",I18/F18-1,"")</f>
        <v/>
      </c>
      <c r="L18" s="129">
        <f>IF(J18&lt;&gt;"",J18/F18-1,"")</f>
        <v/>
      </c>
      <c r="M18" s="110">
        <f>IF(K18&lt;&gt;"",IF(K18&gt;0,"YES","NO"),"")</f>
        <v/>
      </c>
      <c r="N18" s="110">
        <f>IF(L18&lt;&gt;"",IF(L18&gt;0,"YES","NO"),"")</f>
        <v/>
      </c>
      <c r="O18" s="108" t="n"/>
      <c r="P18" s="113" t="inlineStr">
        <is>
          <t>EXTENDED</t>
        </is>
      </c>
    </row>
    <row r="19">
      <c r="A19" s="127" t="n">
        <v>46184</v>
      </c>
      <c r="B19" s="107" t="inlineStr">
        <is>
          <t>NVDA</t>
        </is>
      </c>
      <c r="C19" s="108" t="inlineStr">
        <is>
          <t>Scout</t>
        </is>
      </c>
      <c r="D19" s="109" t="n">
        <v>0.65</v>
      </c>
      <c r="E19" s="110" t="inlineStr">
        <is>
          <t>MEDIUM</t>
        </is>
      </c>
      <c r="F19" s="128" t="n">
        <v>199.94</v>
      </c>
      <c r="G19" s="127" t="n">
        <v>46191</v>
      </c>
      <c r="H19" s="127" t="n">
        <v>46199</v>
      </c>
      <c r="I19" s="128" t="n">
        <v>210.15</v>
      </c>
      <c r="J19" s="128" t="n"/>
      <c r="K19" s="129">
        <f>IF(I19&lt;&gt;"",I19/F19-1,"")</f>
        <v/>
      </c>
      <c r="L19" s="129">
        <f>IF(J19&lt;&gt;"",J19/F19-1,"")</f>
        <v/>
      </c>
      <c r="M19" s="110">
        <f>IF(K19&lt;&gt;"",IF(K19&gt;0,"YES","NO"),"")</f>
        <v/>
      </c>
      <c r="N19" s="110">
        <f>IF(L19&lt;&gt;"",IF(L19&gt;0,"YES","NO"),"")</f>
        <v/>
      </c>
      <c r="O19" s="108" t="n"/>
      <c r="P19" s="113" t="inlineStr">
        <is>
          <t>EXTENDED</t>
        </is>
      </c>
    </row>
    <row r="20">
      <c r="A20" s="127" t="n">
        <v>46185</v>
      </c>
      <c r="B20" s="107" t="inlineStr">
        <is>
          <t>NVDA</t>
        </is>
      </c>
      <c r="C20" s="108" t="inlineStr">
        <is>
          <t>Scout</t>
        </is>
      </c>
      <c r="D20" s="109" t="n">
        <v>0.62</v>
      </c>
      <c r="E20" s="110" t="inlineStr">
        <is>
          <t>MEDIUM</t>
        </is>
      </c>
      <c r="F20" s="128" t="n">
        <v>205.597</v>
      </c>
      <c r="G20" s="127" t="n">
        <v>46195</v>
      </c>
      <c r="H20" s="127" t="n">
        <v>46202</v>
      </c>
      <c r="I20" s="128" t="n">
        <v>208.65</v>
      </c>
      <c r="J20" s="128" t="n"/>
      <c r="K20" s="129">
        <f>IF(I20&lt;&gt;"",I20/F20-1,"")</f>
        <v/>
      </c>
      <c r="L20" s="129">
        <f>IF(J20&lt;&gt;"",J20/F20-1,"")</f>
        <v/>
      </c>
      <c r="M20" s="110">
        <f>IF(K20&lt;&gt;"",IF(K20&gt;0,"YES","NO"),"")</f>
        <v/>
      </c>
      <c r="N20" s="110">
        <f>IF(L20&lt;&gt;"",IF(L20&gt;0,"YES","NO"),"")</f>
        <v/>
      </c>
      <c r="O20" s="108" t="n"/>
      <c r="P20" s="113" t="inlineStr">
        <is>
          <t>EXTENDED</t>
        </is>
      </c>
    </row>
    <row r="21">
      <c r="A21" s="127" t="n">
        <v>46185</v>
      </c>
      <c r="B21" s="107" t="inlineStr">
        <is>
          <t>VTI</t>
        </is>
      </c>
      <c r="C21" s="108" t="inlineStr">
        <is>
          <t>Scout</t>
        </is>
      </c>
      <c r="D21" s="109" t="n">
        <v>0.68</v>
      </c>
      <c r="E21" s="110" t="inlineStr">
        <is>
          <t>HIGH</t>
        </is>
      </c>
      <c r="F21" s="128" t="n">
        <v>365.62</v>
      </c>
      <c r="G21" s="127" t="n">
        <v>46195</v>
      </c>
      <c r="H21" s="127" t="n">
        <v>46202</v>
      </c>
      <c r="I21" s="128" t="n">
        <v>368.81</v>
      </c>
      <c r="J21" s="128" t="n"/>
      <c r="K21" s="129">
        <f>IF(I21&lt;&gt;"",I21/F21-1,"")</f>
        <v/>
      </c>
      <c r="L21" s="129">
        <f>IF(J21&lt;&gt;"",J21/F21-1,"")</f>
        <v/>
      </c>
      <c r="M21" s="110">
        <f>IF(K21&lt;&gt;"",IF(K21&gt;0,"YES","NO"),"")</f>
        <v/>
      </c>
      <c r="N21" s="110">
        <f>IF(L21&lt;&gt;"",IF(L21&gt;0,"YES","NO"),"")</f>
        <v/>
      </c>
      <c r="O21" s="108" t="n"/>
      <c r="P21" s="113" t="inlineStr">
        <is>
          <t>EXTENDED</t>
        </is>
      </c>
    </row>
    <row r="22">
      <c r="A22" s="127" t="n">
        <v>46189</v>
      </c>
      <c r="B22" s="107" t="inlineStr">
        <is>
          <t>NVDA</t>
        </is>
      </c>
      <c r="C22" s="108" t="inlineStr">
        <is>
          <t>Scout</t>
        </is>
      </c>
      <c r="D22" s="109" t="n">
        <v>0.65</v>
      </c>
      <c r="E22" s="110" t="inlineStr">
        <is>
          <t>MEDIUM</t>
        </is>
      </c>
      <c r="F22" s="128" t="n">
        <v>209.12</v>
      </c>
      <c r="G22" s="127" t="n">
        <v>46197</v>
      </c>
      <c r="H22" s="127" t="n">
        <v>46204</v>
      </c>
      <c r="I22" s="128" t="n"/>
      <c r="J22" s="128" t="n"/>
      <c r="K22" s="129">
        <f>IF(I22&lt;&gt;"",I22/F22-1,"")</f>
        <v/>
      </c>
      <c r="L22" s="129">
        <f>IF(J22&lt;&gt;"",J22/F22-1,"")</f>
        <v/>
      </c>
      <c r="M22" s="110">
        <f>IF(K22&lt;&gt;"",IF(K22&gt;0,"YES","NO"),"")</f>
        <v/>
      </c>
      <c r="N22" s="110">
        <f>IF(L22&lt;&gt;"",IF(L22&gt;0,"YES","NO"),"")</f>
        <v/>
      </c>
      <c r="O22" s="108" t="n"/>
      <c r="P22" s="113" t="inlineStr">
        <is>
          <t>EXTENDED</t>
        </is>
      </c>
    </row>
    <row r="23">
      <c r="A23" s="127" t="n">
        <v>46189</v>
      </c>
      <c r="B23" s="107" t="inlineStr">
        <is>
          <t>VTI</t>
        </is>
      </c>
      <c r="C23" s="108" t="inlineStr">
        <is>
          <t>Scout</t>
        </is>
      </c>
      <c r="D23" s="109" t="n">
        <v>0.68</v>
      </c>
      <c r="E23" s="110" t="inlineStr">
        <is>
          <t>HIGH</t>
        </is>
      </c>
      <c r="F23" s="128" t="n">
        <v>372.15</v>
      </c>
      <c r="G23" s="127" t="n">
        <v>46197</v>
      </c>
      <c r="H23" s="127" t="n">
        <v>46204</v>
      </c>
      <c r="I23" s="128" t="n"/>
      <c r="J23" s="128" t="n"/>
      <c r="K23" s="129">
        <f>IF(I23&lt;&gt;"",I23/F23-1,"")</f>
        <v/>
      </c>
      <c r="L23" s="129">
        <f>IF(J23&lt;&gt;"",J23/F23-1,"")</f>
        <v/>
      </c>
      <c r="M23" s="110">
        <f>IF(K23&lt;&gt;"",IF(K23&gt;0,"YES","NO"),"")</f>
        <v/>
      </c>
      <c r="N23" s="110">
        <f>IF(L23&lt;&gt;"",IF(L23&gt;0,"YES","NO"),"")</f>
        <v/>
      </c>
      <c r="O23" s="108" t="n"/>
      <c r="P23" s="113" t="inlineStr">
        <is>
          <t>EXTENDED</t>
        </is>
      </c>
    </row>
    <row r="25">
      <c r="A25" s="114" t="inlineStr">
        <is>
          <t>LOCKED — final 7-of-7 verdict cohort</t>
        </is>
      </c>
      <c r="B25" s="115" t="inlineStr">
        <is>
          <t>signals on/before 2026-06-01 · immutable</t>
        </is>
      </c>
    </row>
    <row r="26">
      <c r="A26" s="116" t="inlineStr">
        <is>
          <t>Near-miss BUYs (n)</t>
        </is>
      </c>
      <c r="B26" s="117">
        <f>COUNTIF(P5:P23,"LOCKED")</f>
        <v/>
      </c>
    </row>
    <row r="27">
      <c r="A27" s="116" t="inlineStr">
        <is>
          <t>Completed +5d</t>
        </is>
      </c>
      <c r="B27" s="117">
        <f>COUNTIFS(P5:P23,"LOCKED",I5:I23,"&lt;&gt;")</f>
        <v/>
      </c>
    </row>
    <row r="28">
      <c r="A28" s="116" t="inlineStr">
        <is>
          <t>Hit count (+5d &gt; 0)</t>
        </is>
      </c>
      <c r="B28" s="117">
        <f>COUNTIFS(P5:P23,"LOCKED",M5:M23,"YES")</f>
        <v/>
      </c>
    </row>
    <row r="29">
      <c r="A29" s="116" t="inlineStr">
        <is>
          <t>Hit rate +5d</t>
        </is>
      </c>
      <c r="B29" s="118">
        <f>IFERROR(COUNTIFS(P5:P23,"LOCKED",M5:M23,"YES")/COUNTIFS(P5:P23,"LOCKED",I5:I23,"&lt;&gt;"),"—")</f>
        <v/>
      </c>
    </row>
    <row r="30">
      <c r="A30" s="116" t="inlineStr">
        <is>
          <t>Avg +5d return</t>
        </is>
      </c>
      <c r="B30" s="130">
        <f>IFERROR(AVERAGEIFS(K5:K23,P5:P23,"LOCKED",I5:I23,"&lt;&gt;"),"—")</f>
        <v/>
      </c>
    </row>
    <row r="31">
      <c r="A31" s="116" t="inlineStr">
        <is>
          <t>Completed +10d</t>
        </is>
      </c>
      <c r="B31" s="117">
        <f>COUNTIFS(P5:P23,"LOCKED",J5:J23,"&lt;&gt;")</f>
        <v/>
      </c>
    </row>
    <row r="32">
      <c r="A32" s="116" t="inlineStr">
        <is>
          <t>Hit count (+10d &gt; 0)</t>
        </is>
      </c>
      <c r="B32" s="117">
        <f>COUNTIFS(P5:P23,"LOCKED",N5:N23,"YES")</f>
        <v/>
      </c>
    </row>
    <row r="33">
      <c r="A33" s="116" t="inlineStr">
        <is>
          <t>Hit rate +10d</t>
        </is>
      </c>
      <c r="B33" s="118">
        <f>IFERROR(COUNTIFS(P5:P23,"LOCKED",N5:N23,"YES")/COUNTIFS(P5:P23,"LOCKED",J5:J23,"&lt;&gt;"),"—")</f>
        <v/>
      </c>
    </row>
    <row r="34">
      <c r="A34" s="116" t="inlineStr">
        <is>
          <t>Avg +10d return</t>
        </is>
      </c>
      <c r="B34" s="130">
        <f>IFERROR(AVERAGEIFS(L5:L23,P5:P23,"LOCKED",J5:J23,"&lt;&gt;"),"—")</f>
        <v/>
      </c>
    </row>
    <row r="36">
      <c r="A36" s="114" t="inlineStr">
        <is>
          <t>EXTENDED — running post-lock tracking</t>
        </is>
      </c>
      <c r="B36" s="115" t="inlineStr">
        <is>
          <t>signals after 2026-06-01 · fills over time</t>
        </is>
      </c>
    </row>
    <row r="37">
      <c r="A37" s="116" t="inlineStr">
        <is>
          <t>Near-miss BUYs (n)</t>
        </is>
      </c>
      <c r="B37" s="117">
        <f>COUNTIF(P5:P23,"EXTENDED")</f>
        <v/>
      </c>
    </row>
    <row r="38">
      <c r="A38" s="116" t="inlineStr">
        <is>
          <t>Completed +5d</t>
        </is>
      </c>
      <c r="B38" s="117">
        <f>COUNTIFS(P5:P23,"EXTENDED",I5:I23,"&lt;&gt;")</f>
        <v/>
      </c>
    </row>
    <row r="39">
      <c r="A39" s="116" t="inlineStr">
        <is>
          <t>Hit count (+5d &gt; 0)</t>
        </is>
      </c>
      <c r="B39" s="117">
        <f>COUNTIFS(P5:P23,"EXTENDED",M5:M23,"YES")</f>
        <v/>
      </c>
    </row>
    <row r="40">
      <c r="A40" s="116" t="inlineStr">
        <is>
          <t>Hit rate +5d</t>
        </is>
      </c>
      <c r="B40" s="118">
        <f>IFERROR(COUNTIFS(P5:P23,"EXTENDED",M5:M23,"YES")/COUNTIFS(P5:P23,"EXTENDED",I5:I23,"&lt;&gt;"),"—")</f>
        <v/>
      </c>
    </row>
    <row r="41">
      <c r="A41" s="116" t="inlineStr">
        <is>
          <t>Avg +5d return</t>
        </is>
      </c>
      <c r="B41" s="130">
        <f>IFERROR(AVERAGEIFS(K5:K23,P5:P23,"EXTENDED",I5:I23,"&lt;&gt;"),"—")</f>
        <v/>
      </c>
    </row>
    <row r="42">
      <c r="A42" s="116" t="inlineStr">
        <is>
          <t>Completed +10d</t>
        </is>
      </c>
      <c r="B42" s="117">
        <f>COUNTIFS(P5:P23,"EXTENDED",J5:J23,"&lt;&gt;")</f>
        <v/>
      </c>
    </row>
    <row r="43">
      <c r="A43" s="116" t="inlineStr">
        <is>
          <t>Hit count (+10d &gt; 0)</t>
        </is>
      </c>
      <c r="B43" s="117">
        <f>COUNTIFS(P5:P23,"EXTENDED",N5:N23,"YES")</f>
        <v/>
      </c>
    </row>
    <row r="44">
      <c r="A44" s="116" t="inlineStr">
        <is>
          <t>Hit rate +10d</t>
        </is>
      </c>
      <c r="B44" s="118">
        <f>IFERROR(COUNTIFS(P5:P23,"EXTENDED",N5:N23,"YES")/COUNTIFS(P5:P23,"EXTENDED",J5:J23,"&lt;&gt;"),"—")</f>
        <v/>
      </c>
    </row>
    <row r="45">
      <c r="A45" s="116" t="inlineStr">
        <is>
          <t>Avg +10d return</t>
        </is>
      </c>
      <c r="B45" s="130">
        <f>IFERROR(AVERAGEIFS(L5:L23,P5:P23,"EXTENDED",J5:J23,"&lt;&gt;"),"—")</f>
        <v/>
      </c>
    </row>
    <row r="47">
      <c r="A47" s="120" t="inlineStr">
        <is>
          <t>TOTAL near-miss BUYs</t>
        </is>
      </c>
      <c r="B47" s="121">
        <f>COUNTA(A5:A23)</f>
        <v/>
      </c>
    </row>
    <row r="49">
      <c r="A49" s="114" t="inlineStr">
        <is>
          <t>VERDICT — RESOLVED 2026-06-12 (Phase 2 close)</t>
        </is>
      </c>
    </row>
    <row r="50">
      <c r="A50" s="122" t="inlineStr">
        <is>
          <t>Decision: KEEP 70% threshold</t>
        </is>
      </c>
    </row>
    <row r="51">
      <c r="A51" s="96" t="inlineStr">
        <is>
          <t>Locked 7-of-7 cohort: hit rate 57.1% &lt; 75.0% required AND avg +5d -0.9% &lt; 3.0% required. Both gates fail; extended post-lock set corroborates (running). KEEP 70% confirmed at the 6/12 review.</t>
        </is>
      </c>
    </row>
    <row r="52">
      <c r="A52" s="115" t="inlineStr">
        <is>
          <t>Loosening gates: hit rate ≥ 75.0% AND avg +5d ≥ 3.0% → lower to 65%. Locked cohort 57.1% / -0.9% fails both.</t>
        </is>
      </c>
    </row>
    <row r="54">
      <c r="A54" s="123" t="inlineStr">
        <is>
          <t>Source: claude_equity_bot_tracker.xlsx · Signals tab · generated 2026-06-23 17:31 · near-miss band [60%, 70%) · +Nd = trading days (weekends + NYSE holidays excluded).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"/>
  <sheetViews>
    <sheetView tabSelected="1" topLeftCell="A48" zoomScaleNormal="100" workbookViewId="0">
      <selection activeCell="N54" sqref="N54"/>
    </sheetView>
  </sheetViews>
  <sheetFormatPr baseColWidth="8" defaultColWidth="8.7109375" defaultRowHeight="15"/>
  <cols>
    <col width="13" customWidth="1" min="1" max="1"/>
    <col width="16" customWidth="1" min="2" max="3"/>
    <col width="11" customWidth="1" min="4" max="4"/>
    <col width="16" customWidth="1" min="5" max="5"/>
    <col width="11" customWidth="1" min="6" max="6"/>
    <col width="16" customWidth="1" min="7" max="7"/>
    <col width="11" customWidth="1" min="8" max="8"/>
    <col width="18" customWidth="1" min="9" max="9"/>
  </cols>
  <sheetData>
    <row r="1" ht="18.75" customHeight="1">
      <c r="A1" s="86" t="inlineStr">
        <is>
          <t>Cohort Analysis — Calibration Evidence by Confidence Band</t>
        </is>
      </c>
    </row>
    <row r="2" ht="31.5" customHeight="1">
      <c r="A2" s="91" t="inlineStr">
        <is>
          <t>Hit rate by confidence band, per cohort. Looking for the pattern: highest hit rate in 50-59%, lowest hit rate in 40-49%, with absolute returns inverse (highest abs return in lowest-conf band).</t>
        </is>
      </c>
    </row>
    <row r="4" ht="15.75" customHeight="1">
      <c r="A4" s="89" t="inlineStr">
        <is>
          <t>Section 1: Hit Rate by Confidence Band (+5d)</t>
        </is>
      </c>
    </row>
    <row r="5" ht="31.5" customHeight="1">
      <c r="A5" s="64" t="inlineStr">
        <is>
          <t>Cohort Date</t>
        </is>
      </c>
      <c r="B5" s="64" t="inlineStr">
        <is>
          <t>Sample (with +5d)</t>
        </is>
      </c>
      <c r="C5" s="64" t="inlineStr">
        <is>
          <t>40-49% Hit Rate</t>
        </is>
      </c>
      <c r="D5" s="64" t="inlineStr">
        <is>
          <t>40-49% n</t>
        </is>
      </c>
      <c r="E5" s="64" t="inlineStr">
        <is>
          <t>50-59% Hit Rate</t>
        </is>
      </c>
      <c r="F5" s="64" t="inlineStr">
        <is>
          <t>50-59% n</t>
        </is>
      </c>
      <c r="G5" s="64" t="inlineStr">
        <is>
          <t>60-69% Hit Rate</t>
        </is>
      </c>
      <c r="H5" s="64" t="inlineStr">
        <is>
          <t>60-69% n</t>
        </is>
      </c>
      <c r="I5" s="64" t="inlineStr">
        <is>
          <t>Pattern Holds?</t>
        </is>
      </c>
    </row>
    <row r="6" ht="21.75" customHeight="1">
      <c r="A6" s="90" t="inlineStr">
        <is>
          <t>2026-05-18</t>
        </is>
      </c>
      <c r="B6" s="65">
        <f>COUNTIFS(Signals!$A:$A,$A$6,Signals!$N:$N,"YES")+COUNTIFS(Signals!$A:$A,$A$6,Signals!$N:$N,"NO")</f>
        <v/>
      </c>
      <c r="C6" s="66">
        <f>IFERROR(COUNTIFS(Signals!$A:$A,$A$6,Signals!$E:$E,"&gt;=0.40",Signals!$E:$E,"&lt;0.50",Signals!$N:$N,"YES")/(COUNTIFS(Signals!$A:$A,$A$6,Signals!$E:$E,"&gt;=0.40",Signals!$E:$E,"&lt;0.50",Signals!$N:$N,"YES")+COUNTIFS(Signals!$A:$A,$A$6,Signals!$E:$E,"&gt;=0.40",Signals!$E:$E,"&lt;0.50",Signals!$N:$N,"NO")),"")</f>
        <v/>
      </c>
      <c r="D6" s="65">
        <f>COUNTIFS(Signals!$A:$A,$A$6,Signals!$E:$E,"&gt;=0.40",Signals!$E:$E,"&lt;0.50",Signals!$N:$N,"YES")+COUNTIFS(Signals!$A:$A,$A$6,Signals!$E:$E,"&gt;=0.40",Signals!$E:$E,"&lt;0.50",Signals!$N:$N,"NO")</f>
        <v/>
      </c>
      <c r="E6" s="66">
        <f>IFERROR(COUNTIFS(Signals!$A:$A,$A$6,Signals!$E:$E,"&gt;=0.50",Signals!$E:$E,"&lt;0.60",Signals!$N:$N,"YES")/(COUNTIFS(Signals!$A:$A,$A$6,Signals!$E:$E,"&gt;=0.50",Signals!$E:$E,"&lt;0.60",Signals!$N:$N,"YES")+COUNTIFS(Signals!$A:$A,$A$6,Signals!$E:$E,"&gt;=0.50",Signals!$E:$E,"&lt;0.60",Signals!$N:$N,"NO")),"")</f>
        <v/>
      </c>
      <c r="F6" s="65">
        <f>COUNTIFS(Signals!$A:$A,$A$6,Signals!$E:$E,"&gt;=0.50",Signals!$E:$E,"&lt;0.60",Signals!$N:$N,"YES")+COUNTIFS(Signals!$A:$A,$A$6,Signals!$E:$E,"&gt;=0.50",Signals!$E:$E,"&lt;0.60",Signals!$N:$N,"NO")</f>
        <v/>
      </c>
      <c r="G6" s="66">
        <f>IFERROR(COUNTIFS(Signals!$A:$A,$A$6,Signals!$E:$E,"&gt;=0.60",Signals!$E:$E,"&lt;0.70",Signals!$N:$N,"YES")/(COUNTIFS(Signals!$A:$A,$A$6,Signals!$E:$E,"&gt;=0.60",Signals!$E:$E,"&lt;0.70",Signals!$N:$N,"YES")+COUNTIFS(Signals!$A:$A,$A$6,Signals!$E:$E,"&gt;=0.60",Signals!$E:$E,"&lt;0.70",Signals!$N:$N,"NO")),"")</f>
        <v/>
      </c>
      <c r="H6" s="65">
        <f>COUNTIFS(Signals!$A:$A,$A$6,Signals!$E:$E,"&gt;=0.60",Signals!$E:$E,"&lt;0.70",Signals!$N:$N,"YES")+COUNTIFS(Signals!$A:$A,$A$6,Signals!$E:$E,"&gt;=0.60",Signals!$E:$E,"&lt;0.70",Signals!$N:$N,"NO")</f>
        <v/>
      </c>
      <c r="I6" s="67">
        <f>IF(B6=0,"insufficient data",IF(AND(E6&gt;C6,E6&gt;G6),"✓ YES","NO"))</f>
        <v/>
      </c>
    </row>
    <row r="7" ht="21.75" customHeight="1">
      <c r="A7" s="90" t="inlineStr">
        <is>
          <t>2026-05-19</t>
        </is>
      </c>
      <c r="B7" s="65">
        <f>COUNTIFS(Signals!$A:$A,$A$7,Signals!$N:$N,"YES")+COUNTIFS(Signals!$A:$A,$A$7,Signals!$N:$N,"NO")</f>
        <v/>
      </c>
      <c r="C7" s="66">
        <f>IFERROR(COUNTIFS(Signals!$A:$A,$A$7,Signals!$E:$E,"&gt;=0.40",Signals!$E:$E,"&lt;0.50",Signals!$N:$N,"YES")/(COUNTIFS(Signals!$A:$A,$A$7,Signals!$E:$E,"&gt;=0.40",Signals!$E:$E,"&lt;0.50",Signals!$N:$N,"YES")+COUNTIFS(Signals!$A:$A,$A$7,Signals!$E:$E,"&gt;=0.40",Signals!$E:$E,"&lt;0.50",Signals!$N:$N,"NO")),"")</f>
        <v/>
      </c>
      <c r="D7" s="65">
        <f>COUNTIFS(Signals!$A:$A,$A$7,Signals!$E:$E,"&gt;=0.40",Signals!$E:$E,"&lt;0.50",Signals!$N:$N,"YES")+COUNTIFS(Signals!$A:$A,$A$7,Signals!$E:$E,"&gt;=0.40",Signals!$E:$E,"&lt;0.50",Signals!$N:$N,"NO")</f>
        <v/>
      </c>
      <c r="E7" s="66">
        <f>IFERROR(COUNTIFS(Signals!$A:$A,$A$7,Signals!$E:$E,"&gt;=0.50",Signals!$E:$E,"&lt;0.60",Signals!$N:$N,"YES")/(COUNTIFS(Signals!$A:$A,$A$7,Signals!$E:$E,"&gt;=0.50",Signals!$E:$E,"&lt;0.60",Signals!$N:$N,"YES")+COUNTIFS(Signals!$A:$A,$A$7,Signals!$E:$E,"&gt;=0.50",Signals!$E:$E,"&lt;0.60",Signals!$N:$N,"NO")),"")</f>
        <v/>
      </c>
      <c r="F7" s="65">
        <f>COUNTIFS(Signals!$A:$A,$A$7,Signals!$E:$E,"&gt;=0.50",Signals!$E:$E,"&lt;0.60",Signals!$N:$N,"YES")+COUNTIFS(Signals!$A:$A,$A$7,Signals!$E:$E,"&gt;=0.50",Signals!$E:$E,"&lt;0.60",Signals!$N:$N,"NO")</f>
        <v/>
      </c>
      <c r="G7" s="66">
        <f>IFERROR(COUNTIFS(Signals!$A:$A,$A$7,Signals!$E:$E,"&gt;=0.60",Signals!$E:$E,"&lt;0.70",Signals!$N:$N,"YES")/(COUNTIFS(Signals!$A:$A,$A$7,Signals!$E:$E,"&gt;=0.60",Signals!$E:$E,"&lt;0.70",Signals!$N:$N,"YES")+COUNTIFS(Signals!$A:$A,$A$7,Signals!$E:$E,"&gt;=0.60",Signals!$E:$E,"&lt;0.70",Signals!$N:$N,"NO")),"")</f>
        <v/>
      </c>
      <c r="H7" s="65">
        <f>COUNTIFS(Signals!$A:$A,$A$7,Signals!$E:$E,"&gt;=0.60",Signals!$E:$E,"&lt;0.70",Signals!$N:$N,"YES")+COUNTIFS(Signals!$A:$A,$A$7,Signals!$E:$E,"&gt;=0.60",Signals!$E:$E,"&lt;0.70",Signals!$N:$N,"NO")</f>
        <v/>
      </c>
      <c r="I7" s="67">
        <f>IF(B7=0,"insufficient data",IF(AND(E7&gt;C7,E7&gt;G7),"✓ YES","NO"))</f>
        <v/>
      </c>
    </row>
    <row r="8" ht="21.75" customHeight="1">
      <c r="A8" s="90" t="inlineStr">
        <is>
          <t>2026-05-20</t>
        </is>
      </c>
      <c r="B8" s="65">
        <f>COUNTIFS(Signals!$A:$A,$A$8,Signals!$N:$N,"YES")+COUNTIFS(Signals!$A:$A,$A$8,Signals!$N:$N,"NO")</f>
        <v/>
      </c>
      <c r="C8" s="66">
        <f>IFERROR(COUNTIFS(Signals!$A:$A,$A$8,Signals!$E:$E,"&gt;=0.40",Signals!$E:$E,"&lt;0.50",Signals!$N:$N,"YES")/(COUNTIFS(Signals!$A:$A,$A$8,Signals!$E:$E,"&gt;=0.40",Signals!$E:$E,"&lt;0.50",Signals!$N:$N,"YES")+COUNTIFS(Signals!$A:$A,$A$8,Signals!$E:$E,"&gt;=0.40",Signals!$E:$E,"&lt;0.50",Signals!$N:$N,"NO")),"")</f>
        <v/>
      </c>
      <c r="D8" s="65">
        <f>COUNTIFS(Signals!$A:$A,$A$8,Signals!$E:$E,"&gt;=0.40",Signals!$E:$E,"&lt;0.50",Signals!$N:$N,"YES")+COUNTIFS(Signals!$A:$A,$A$8,Signals!$E:$E,"&gt;=0.40",Signals!$E:$E,"&lt;0.50",Signals!$N:$N,"NO")</f>
        <v/>
      </c>
      <c r="E8" s="66">
        <f>IFERROR(COUNTIFS(Signals!$A:$A,$A$8,Signals!$E:$E,"&gt;=0.50",Signals!$E:$E,"&lt;0.60",Signals!$N:$N,"YES")/(COUNTIFS(Signals!$A:$A,$A$8,Signals!$E:$E,"&gt;=0.50",Signals!$E:$E,"&lt;0.60",Signals!$N:$N,"YES")+COUNTIFS(Signals!$A:$A,$A$8,Signals!$E:$E,"&gt;=0.50",Signals!$E:$E,"&lt;0.60",Signals!$N:$N,"NO")),"")</f>
        <v/>
      </c>
      <c r="F8" s="65">
        <f>COUNTIFS(Signals!$A:$A,$A$8,Signals!$E:$E,"&gt;=0.50",Signals!$E:$E,"&lt;0.60",Signals!$N:$N,"YES")+COUNTIFS(Signals!$A:$A,$A$8,Signals!$E:$E,"&gt;=0.50",Signals!$E:$E,"&lt;0.60",Signals!$N:$N,"NO")</f>
        <v/>
      </c>
      <c r="G8" s="66">
        <f>IFERROR(COUNTIFS(Signals!$A:$A,$A$8,Signals!$E:$E,"&gt;=0.60",Signals!$E:$E,"&lt;0.70",Signals!$N:$N,"YES")/(COUNTIFS(Signals!$A:$A,$A$8,Signals!$E:$E,"&gt;=0.60",Signals!$E:$E,"&lt;0.70",Signals!$N:$N,"YES")+COUNTIFS(Signals!$A:$A,$A$8,Signals!$E:$E,"&gt;=0.60",Signals!$E:$E,"&lt;0.70",Signals!$N:$N,"NO")),"")</f>
        <v/>
      </c>
      <c r="H8" s="65">
        <f>COUNTIFS(Signals!$A:$A,$A$8,Signals!$E:$E,"&gt;=0.60",Signals!$E:$E,"&lt;0.70",Signals!$N:$N,"YES")+COUNTIFS(Signals!$A:$A,$A$8,Signals!$E:$E,"&gt;=0.60",Signals!$E:$E,"&lt;0.70",Signals!$N:$N,"NO")</f>
        <v/>
      </c>
      <c r="I8" s="67">
        <f>IF(B8=0,"insufficient data",IF(AND(E8&gt;C8,E8&gt;G8),"✓ YES","NO"))</f>
        <v/>
      </c>
    </row>
    <row r="9" ht="21.75" customHeight="1">
      <c r="A9" s="90" t="inlineStr">
        <is>
          <t>2026-05-21</t>
        </is>
      </c>
      <c r="B9" s="65">
        <f>COUNTIFS(Signals!$A:$A,$A$9,Signals!$N:$N,"YES")+COUNTIFS(Signals!$A:$A,$A$9,Signals!$N:$N,"NO")</f>
        <v/>
      </c>
      <c r="C9" s="66">
        <f>IFERROR(COUNTIFS(Signals!$A:$A,$A$9,Signals!$E:$E,"&gt;=0.40",Signals!$E:$E,"&lt;0.50",Signals!$N:$N,"YES")/(COUNTIFS(Signals!$A:$A,$A$9,Signals!$E:$E,"&gt;=0.40",Signals!$E:$E,"&lt;0.50",Signals!$N:$N,"YES")+COUNTIFS(Signals!$A:$A,$A$9,Signals!$E:$E,"&gt;=0.40",Signals!$E:$E,"&lt;0.50",Signals!$N:$N,"NO")),"")</f>
        <v/>
      </c>
      <c r="D9" s="65">
        <f>COUNTIFS(Signals!$A:$A,$A$9,Signals!$E:$E,"&gt;=0.40",Signals!$E:$E,"&lt;0.50",Signals!$N:$N,"YES")+COUNTIFS(Signals!$A:$A,$A$9,Signals!$E:$E,"&gt;=0.40",Signals!$E:$E,"&lt;0.50",Signals!$N:$N,"NO")</f>
        <v/>
      </c>
      <c r="E9" s="66">
        <f>IFERROR(COUNTIFS(Signals!$A:$A,$A$9,Signals!$E:$E,"&gt;=0.50",Signals!$E:$E,"&lt;0.60",Signals!$N:$N,"YES")/(COUNTIFS(Signals!$A:$A,$A$9,Signals!$E:$E,"&gt;=0.50",Signals!$E:$E,"&lt;0.60",Signals!$N:$N,"YES")+COUNTIFS(Signals!$A:$A,$A$9,Signals!$E:$E,"&gt;=0.50",Signals!$E:$E,"&lt;0.60",Signals!$N:$N,"NO")),"")</f>
        <v/>
      </c>
      <c r="F9" s="65">
        <f>COUNTIFS(Signals!$A:$A,$A$9,Signals!$E:$E,"&gt;=0.50",Signals!$E:$E,"&lt;0.60",Signals!$N:$N,"YES")+COUNTIFS(Signals!$A:$A,$A$9,Signals!$E:$E,"&gt;=0.50",Signals!$E:$E,"&lt;0.60",Signals!$N:$N,"NO")</f>
        <v/>
      </c>
      <c r="G9" s="66">
        <f>IFERROR(COUNTIFS(Signals!$A:$A,$A$9,Signals!$E:$E,"&gt;=0.60",Signals!$E:$E,"&lt;0.70",Signals!$N:$N,"YES")/(COUNTIFS(Signals!$A:$A,$A$9,Signals!$E:$E,"&gt;=0.60",Signals!$E:$E,"&lt;0.70",Signals!$N:$N,"YES")+COUNTIFS(Signals!$A:$A,$A$9,Signals!$E:$E,"&gt;=0.60",Signals!$E:$E,"&lt;0.70",Signals!$N:$N,"NO")),"")</f>
        <v/>
      </c>
      <c r="H9" s="65">
        <f>COUNTIFS(Signals!$A:$A,$A$9,Signals!$E:$E,"&gt;=0.60",Signals!$E:$E,"&lt;0.70",Signals!$N:$N,"YES")+COUNTIFS(Signals!$A:$A,$A$9,Signals!$E:$E,"&gt;=0.60",Signals!$E:$E,"&lt;0.70",Signals!$N:$N,"NO")</f>
        <v/>
      </c>
      <c r="I9" s="67">
        <f>IF(B9=0,"insufficient data",IF(AND(E9&gt;C9,E9&gt;G9),"✓ YES","NO"))</f>
        <v/>
      </c>
    </row>
    <row r="10" ht="21.75" customHeight="1">
      <c r="A10" s="90" t="inlineStr">
        <is>
          <t>2026-05-22</t>
        </is>
      </c>
      <c r="B10" s="65">
        <f>COUNTIFS(Signals!$A:$A,$A$10,Signals!$N:$N,"YES")+COUNTIFS(Signals!$A:$A,$A$10,Signals!$N:$N,"NO")</f>
        <v/>
      </c>
      <c r="C10" s="66">
        <f>IFERROR(COUNTIFS(Signals!$A:$A,$A$10,Signals!$E:$E,"&gt;=0.40",Signals!$E:$E,"&lt;0.50",Signals!$N:$N,"YES")/(COUNTIFS(Signals!$A:$A,$A$10,Signals!$E:$E,"&gt;=0.40",Signals!$E:$E,"&lt;0.50",Signals!$N:$N,"YES")+COUNTIFS(Signals!$A:$A,$A$10,Signals!$E:$E,"&gt;=0.40",Signals!$E:$E,"&lt;0.50",Signals!$N:$N,"NO")),"")</f>
        <v/>
      </c>
      <c r="D10" s="65">
        <f>COUNTIFS(Signals!$A:$A,$A$10,Signals!$E:$E,"&gt;=0.40",Signals!$E:$E,"&lt;0.50",Signals!$N:$N,"YES")+COUNTIFS(Signals!$A:$A,$A$10,Signals!$E:$E,"&gt;=0.40",Signals!$E:$E,"&lt;0.50",Signals!$N:$N,"NO")</f>
        <v/>
      </c>
      <c r="E10" s="66">
        <f>IFERROR(COUNTIFS(Signals!$A:$A,$A$10,Signals!$E:$E,"&gt;=0.50",Signals!$E:$E,"&lt;0.60",Signals!$N:$N,"YES")/(COUNTIFS(Signals!$A:$A,$A$10,Signals!$E:$E,"&gt;=0.50",Signals!$E:$E,"&lt;0.60",Signals!$N:$N,"YES")+COUNTIFS(Signals!$A:$A,$A$10,Signals!$E:$E,"&gt;=0.50",Signals!$E:$E,"&lt;0.60",Signals!$N:$N,"NO")),"")</f>
        <v/>
      </c>
      <c r="F10" s="65">
        <f>COUNTIFS(Signals!$A:$A,$A$10,Signals!$E:$E,"&gt;=0.50",Signals!$E:$E,"&lt;0.60",Signals!$N:$N,"YES")+COUNTIFS(Signals!$A:$A,$A$10,Signals!$E:$E,"&gt;=0.50",Signals!$E:$E,"&lt;0.60",Signals!$N:$N,"NO")</f>
        <v/>
      </c>
      <c r="G10" s="66">
        <f>IFERROR(COUNTIFS(Signals!$A:$A,$A$10,Signals!$E:$E,"&gt;=0.60",Signals!$E:$E,"&lt;0.70",Signals!$N:$N,"YES")/(COUNTIFS(Signals!$A:$A,$A$10,Signals!$E:$E,"&gt;=0.60",Signals!$E:$E,"&lt;0.70",Signals!$N:$N,"YES")+COUNTIFS(Signals!$A:$A,$A$10,Signals!$E:$E,"&gt;=0.60",Signals!$E:$E,"&lt;0.70",Signals!$N:$N,"NO")),"")</f>
        <v/>
      </c>
      <c r="H10" s="65">
        <f>COUNTIFS(Signals!$A:$A,$A$10,Signals!$E:$E,"&gt;=0.60",Signals!$E:$E,"&lt;0.70",Signals!$N:$N,"YES")+COUNTIFS(Signals!$A:$A,$A$10,Signals!$E:$E,"&gt;=0.60",Signals!$E:$E,"&lt;0.70",Signals!$N:$N,"NO")</f>
        <v/>
      </c>
      <c r="I10" s="67">
        <f>IF(B10=0,"insufficient data",IF(AND(E10&gt;C10,E10&gt;G10),"✓ YES","NO"))</f>
        <v/>
      </c>
    </row>
    <row r="11" ht="21.75" customHeight="1">
      <c r="A11" s="90" t="inlineStr">
        <is>
          <t>2026-05-26</t>
        </is>
      </c>
      <c r="B11" s="65">
        <f>COUNTIFS(Signals!$A:$A,$A$11,Signals!$N:$N,"YES")+COUNTIFS(Signals!$A:$A,$A$11,Signals!$N:$N,"NO")</f>
        <v/>
      </c>
      <c r="C11" s="66">
        <f>IFERROR(COUNTIFS(Signals!$A:$A,$A$11,Signals!$E:$E,"&gt;=0.40",Signals!$E:$E,"&lt;0.50",Signals!$N:$N,"YES")/(COUNTIFS(Signals!$A:$A,$A$11,Signals!$E:$E,"&gt;=0.40",Signals!$E:$E,"&lt;0.50",Signals!$N:$N,"YES")+COUNTIFS(Signals!$A:$A,$A$11,Signals!$E:$E,"&gt;=0.40",Signals!$E:$E,"&lt;0.50",Signals!$N:$N,"NO")),"")</f>
        <v/>
      </c>
      <c r="D11" s="65">
        <f>COUNTIFS(Signals!$A:$A,$A$11,Signals!$E:$E,"&gt;=0.40",Signals!$E:$E,"&lt;0.50",Signals!$N:$N,"YES")+COUNTIFS(Signals!$A:$A,$A$11,Signals!$E:$E,"&gt;=0.40",Signals!$E:$E,"&lt;0.50",Signals!$N:$N,"NO")</f>
        <v/>
      </c>
      <c r="E11" s="66">
        <f>IFERROR(COUNTIFS(Signals!$A:$A,$A$11,Signals!$E:$E,"&gt;=0.50",Signals!$E:$E,"&lt;0.60",Signals!$N:$N,"YES")/(COUNTIFS(Signals!$A:$A,$A$11,Signals!$E:$E,"&gt;=0.50",Signals!$E:$E,"&lt;0.60",Signals!$N:$N,"YES")+COUNTIFS(Signals!$A:$A,$A$11,Signals!$E:$E,"&gt;=0.50",Signals!$E:$E,"&lt;0.60",Signals!$N:$N,"NO")),"")</f>
        <v/>
      </c>
      <c r="F11" s="65">
        <f>COUNTIFS(Signals!$A:$A,$A$11,Signals!$E:$E,"&gt;=0.50",Signals!$E:$E,"&lt;0.60",Signals!$N:$N,"YES")+COUNTIFS(Signals!$A:$A,$A$11,Signals!$E:$E,"&gt;=0.50",Signals!$E:$E,"&lt;0.60",Signals!$N:$N,"NO")</f>
        <v/>
      </c>
      <c r="G11" s="66">
        <f>IFERROR(COUNTIFS(Signals!$A:$A,$A$11,Signals!$E:$E,"&gt;=0.60",Signals!$E:$E,"&lt;0.70",Signals!$N:$N,"YES")/(COUNTIFS(Signals!$A:$A,$A$11,Signals!$E:$E,"&gt;=0.60",Signals!$E:$E,"&lt;0.70",Signals!$N:$N,"YES")+COUNTIFS(Signals!$A:$A,$A$11,Signals!$E:$E,"&gt;=0.60",Signals!$E:$E,"&lt;0.70",Signals!$N:$N,"NO")),"")</f>
        <v/>
      </c>
      <c r="H11" s="65">
        <f>COUNTIFS(Signals!$A:$A,$A$11,Signals!$E:$E,"&gt;=0.60",Signals!$E:$E,"&lt;0.70",Signals!$N:$N,"YES")+COUNTIFS(Signals!$A:$A,$A$11,Signals!$E:$E,"&gt;=0.60",Signals!$E:$E,"&lt;0.70",Signals!$N:$N,"NO")</f>
        <v/>
      </c>
      <c r="I11" s="67">
        <f>IF(B11=0,"insufficient data",IF(AND(E11&gt;C11,E11&gt;G11),"✓ YES","NO"))</f>
        <v/>
      </c>
    </row>
    <row r="12" ht="21.75" customHeight="1">
      <c r="A12" s="90" t="inlineStr">
        <is>
          <t>2026-05-27</t>
        </is>
      </c>
      <c r="B12" s="65">
        <f>COUNTIFS(Signals!$A:$A,$A$12,Signals!$N:$N,"YES")+COUNTIFS(Signals!$A:$A,$A$12,Signals!$N:$N,"NO")</f>
        <v/>
      </c>
      <c r="C12" s="66">
        <f>IFERROR(COUNTIFS(Signals!$A:$A,$A$12,Signals!$E:$E,"&gt;=0.40",Signals!$E:$E,"&lt;0.50",Signals!$N:$N,"YES")/(COUNTIFS(Signals!$A:$A,$A$12,Signals!$E:$E,"&gt;=0.40",Signals!$E:$E,"&lt;0.50",Signals!$N:$N,"YES")+COUNTIFS(Signals!$A:$A,$A$12,Signals!$E:$E,"&gt;=0.40",Signals!$E:$E,"&lt;0.50",Signals!$N:$N,"NO")),"")</f>
        <v/>
      </c>
      <c r="D12" s="65">
        <f>COUNTIFS(Signals!$A:$A,$A$12,Signals!$E:$E,"&gt;=0.40",Signals!$E:$E,"&lt;0.50",Signals!$N:$N,"YES")+COUNTIFS(Signals!$A:$A,$A$12,Signals!$E:$E,"&gt;=0.40",Signals!$E:$E,"&lt;0.50",Signals!$N:$N,"NO")</f>
        <v/>
      </c>
      <c r="E12" s="66">
        <f>IFERROR(COUNTIFS(Signals!$A:$A,$A$12,Signals!$E:$E,"&gt;=0.50",Signals!$E:$E,"&lt;0.60",Signals!$N:$N,"YES")/(COUNTIFS(Signals!$A:$A,$A$12,Signals!$E:$E,"&gt;=0.50",Signals!$E:$E,"&lt;0.60",Signals!$N:$N,"YES")+COUNTIFS(Signals!$A:$A,$A$12,Signals!$E:$E,"&gt;=0.50",Signals!$E:$E,"&lt;0.60",Signals!$N:$N,"NO")),"")</f>
        <v/>
      </c>
      <c r="F12" s="65">
        <f>COUNTIFS(Signals!$A:$A,$A$12,Signals!$E:$E,"&gt;=0.50",Signals!$E:$E,"&lt;0.60",Signals!$N:$N,"YES")+COUNTIFS(Signals!$A:$A,$A$12,Signals!$E:$E,"&gt;=0.50",Signals!$E:$E,"&lt;0.60",Signals!$N:$N,"NO")</f>
        <v/>
      </c>
      <c r="G12" s="66">
        <f>IFERROR(COUNTIFS(Signals!$A:$A,$A$12,Signals!$E:$E,"&gt;=0.60",Signals!$E:$E,"&lt;0.70",Signals!$N:$N,"YES")/(COUNTIFS(Signals!$A:$A,$A$12,Signals!$E:$E,"&gt;=0.60",Signals!$E:$E,"&lt;0.70",Signals!$N:$N,"YES")+COUNTIFS(Signals!$A:$A,$A$12,Signals!$E:$E,"&gt;=0.60",Signals!$E:$E,"&lt;0.70",Signals!$N:$N,"NO")),"")</f>
        <v/>
      </c>
      <c r="H12" s="65">
        <f>COUNTIFS(Signals!$A:$A,$A$12,Signals!$E:$E,"&gt;=0.60",Signals!$E:$E,"&lt;0.70",Signals!$N:$N,"YES")+COUNTIFS(Signals!$A:$A,$A$12,Signals!$E:$E,"&gt;=0.60",Signals!$E:$E,"&lt;0.70",Signals!$N:$N,"NO")</f>
        <v/>
      </c>
      <c r="I12" s="67">
        <f>IF(B12=0,"insufficient data",IF(AND(E12&gt;C12,E12&gt;G12),"✓ YES","NO"))</f>
        <v/>
      </c>
    </row>
    <row r="13" ht="15" customHeight="1">
      <c r="A13" s="90" t="inlineStr">
        <is>
          <t>2026-05-28</t>
        </is>
      </c>
      <c r="B13" s="65">
        <f>COUNTIFS(Signals!$A:$A,$A$13,Signals!$N:$N,"YES")+COUNTIFS(Signals!$A:$A,$A$13,Signals!$N:$N,"NO")</f>
        <v/>
      </c>
      <c r="C13" s="66">
        <f>IFERROR(COUNTIFS(Signals!$A:$A,$A$13,Signals!$E:$E,"&gt;=0.40",Signals!$E:$E,"&lt;0.50",Signals!$N:$N,"YES")/(COUNTIFS(Signals!$A:$A,$A$13,Signals!$E:$E,"&gt;=0.40",Signals!$E:$E,"&lt;0.50",Signals!$N:$N,"YES")+COUNTIFS(Signals!$A:$A,$A$13,Signals!$E:$E,"&gt;=0.40",Signals!$E:$E,"&lt;0.50",Signals!$N:$N,"NO")),"")</f>
        <v/>
      </c>
      <c r="D13" s="65">
        <f>COUNTIFS(Signals!$A:$A,$A$13,Signals!$E:$E,"&gt;=0.40",Signals!$E:$E,"&lt;0.50",Signals!$N:$N,"YES")+COUNTIFS(Signals!$A:$A,$A$13,Signals!$E:$E,"&gt;=0.40",Signals!$E:$E,"&lt;0.50",Signals!$N:$N,"NO")</f>
        <v/>
      </c>
      <c r="E13" s="66">
        <f>IFERROR(COUNTIFS(Signals!$A:$A,$A$13,Signals!$E:$E,"&gt;=0.50",Signals!$E:$E,"&lt;0.60",Signals!$N:$N,"YES")/(COUNTIFS(Signals!$A:$A,$A$13,Signals!$E:$E,"&gt;=0.50",Signals!$E:$E,"&lt;0.60",Signals!$N:$N,"YES")+COUNTIFS(Signals!$A:$A,$A$13,Signals!$E:$E,"&gt;=0.50",Signals!$E:$E,"&lt;0.60",Signals!$N:$N,"NO")),"")</f>
        <v/>
      </c>
      <c r="F13" s="65">
        <f>COUNTIFS(Signals!$A:$A,$A$13,Signals!$E:$E,"&gt;=0.50",Signals!$E:$E,"&lt;0.60",Signals!$N:$N,"YES")+COUNTIFS(Signals!$A:$A,$A$13,Signals!$E:$E,"&gt;=0.50",Signals!$E:$E,"&lt;0.60",Signals!$N:$N,"NO")</f>
        <v/>
      </c>
      <c r="G13" s="66">
        <f>IFERROR(COUNTIFS(Signals!$A:$A,$A$13,Signals!$E:$E,"&gt;=0.60",Signals!$E:$E,"&lt;0.70",Signals!$N:$N,"YES")/(COUNTIFS(Signals!$A:$A,$A$13,Signals!$E:$E,"&gt;=0.60",Signals!$E:$E,"&lt;0.70",Signals!$N:$N,"YES")+COUNTIFS(Signals!$A:$A,$A$13,Signals!$E:$E,"&gt;=0.60",Signals!$E:$E,"&lt;0.70",Signals!$N:$N,"NO")),"")</f>
        <v/>
      </c>
      <c r="H13" s="65">
        <f>COUNTIFS(Signals!$A:$A,$A$13,Signals!$E:$E,"&gt;=0.60",Signals!$E:$E,"&lt;0.70",Signals!$N:$N,"YES")+COUNTIFS(Signals!$A:$A,$A$13,Signals!$E:$E,"&gt;=0.60",Signals!$E:$E,"&lt;0.70",Signals!$N:$N,"NO")</f>
        <v/>
      </c>
      <c r="I13" s="67">
        <f>IF(B13=0,"insufficient data",IF(AND(E13&gt;C13,E13&gt;G13),"✓ YES","NO"))</f>
        <v/>
      </c>
    </row>
    <row r="14" ht="30" customHeight="1">
      <c r="A14" s="90" t="inlineStr">
        <is>
          <t>2026-05-29</t>
        </is>
      </c>
      <c r="B14" s="65">
        <f>COUNTIFS(Signals!$A:$A,$A$14,Signals!$N:$N,"YES")+COUNTIFS(Signals!$A:$A,$A$14,Signals!$N:$N,"NO")</f>
        <v/>
      </c>
      <c r="C14" s="66">
        <f>IFERROR(COUNTIFS(Signals!$A:$A,$A$14,Signals!$E:$E,"&gt;=0.40",Signals!$E:$E,"&lt;0.50",Signals!$N:$N,"YES")/(COUNTIFS(Signals!$A:$A,$A$14,Signals!$E:$E,"&gt;=0.40",Signals!$E:$E,"&lt;0.50",Signals!$N:$N,"YES")+COUNTIFS(Signals!$A:$A,$A$14,Signals!$E:$E,"&gt;=0.40",Signals!$E:$E,"&lt;0.50",Signals!$N:$N,"NO")),"")</f>
        <v/>
      </c>
      <c r="D14" s="65">
        <f>COUNTIFS(Signals!$A:$A,$A$14,Signals!$E:$E,"&gt;=0.40",Signals!$E:$E,"&lt;0.50",Signals!$N:$N,"YES")+COUNTIFS(Signals!$A:$A,$A$14,Signals!$E:$E,"&gt;=0.40",Signals!$E:$E,"&lt;0.50",Signals!$N:$N,"NO")</f>
        <v/>
      </c>
      <c r="E14" s="66">
        <f>IFERROR(COUNTIFS(Signals!$A:$A,$A$14,Signals!$E:$E,"&gt;=0.50",Signals!$E:$E,"&lt;0.60",Signals!$N:$N,"YES")/(COUNTIFS(Signals!$A:$A,$A$14,Signals!$E:$E,"&gt;=0.50",Signals!$E:$E,"&lt;0.60",Signals!$N:$N,"YES")+COUNTIFS(Signals!$A:$A,$A$14,Signals!$E:$E,"&gt;=0.50",Signals!$E:$E,"&lt;0.60",Signals!$N:$N,"NO")),"")</f>
        <v/>
      </c>
      <c r="F14" s="65">
        <f>COUNTIFS(Signals!$A:$A,$A$14,Signals!$E:$E,"&gt;=0.50",Signals!$E:$E,"&lt;0.60",Signals!$N:$N,"YES")+COUNTIFS(Signals!$A:$A,$A$14,Signals!$E:$E,"&gt;=0.50",Signals!$E:$E,"&lt;0.60",Signals!$N:$N,"NO")</f>
        <v/>
      </c>
      <c r="G14" s="66">
        <f>IFERROR(COUNTIFS(Signals!$A:$A,$A$14,Signals!$E:$E,"&gt;=0.60",Signals!$E:$E,"&lt;0.70",Signals!$N:$N,"YES")/(COUNTIFS(Signals!$A:$A,$A$14,Signals!$E:$E,"&gt;=0.60",Signals!$E:$E,"&lt;0.70",Signals!$N:$N,"YES")+COUNTIFS(Signals!$A:$A,$A$14,Signals!$E:$E,"&gt;=0.60",Signals!$E:$E,"&lt;0.70",Signals!$N:$N,"NO")),"")</f>
        <v/>
      </c>
      <c r="H14" s="65">
        <f>COUNTIFS(Signals!$A:$A,$A$14,Signals!$E:$E,"&gt;=0.60",Signals!$E:$E,"&lt;0.70",Signals!$N:$N,"YES")+COUNTIFS(Signals!$A:$A,$A$14,Signals!$E:$E,"&gt;=0.60",Signals!$E:$E,"&lt;0.70",Signals!$N:$N,"NO")</f>
        <v/>
      </c>
      <c r="I14" s="67">
        <f>IF(B14=0,"insufficient data",IF(AND(E14&gt;C14,E14&gt;G14),"✓ YES","NO"))</f>
        <v/>
      </c>
    </row>
    <row r="15" ht="15" customHeight="1">
      <c r="A15" s="90" t="inlineStr">
        <is>
          <t>2026-06-01</t>
        </is>
      </c>
      <c r="B15" s="65">
        <f>COUNTIFS(Signals!$A:$A,$A$15,Signals!$N:$N,"YES")+COUNTIFS(Signals!$A:$A,$A$15,Signals!$N:$N,"NO")</f>
        <v/>
      </c>
      <c r="C15" s="66">
        <f>IFERROR(COUNTIFS(Signals!$A:$A,$A$15,Signals!$E:$E,"&gt;=0.40",Signals!$E:$E,"&lt;0.50",Signals!$N:$N,"YES")/(COUNTIFS(Signals!$A:$A,$A$15,Signals!$E:$E,"&gt;=0.40",Signals!$E:$E,"&lt;0.50",Signals!$N:$N,"YES")+COUNTIFS(Signals!$A:$A,$A$15,Signals!$E:$E,"&gt;=0.40",Signals!$E:$E,"&lt;0.50",Signals!$N:$N,"NO")),"")</f>
        <v/>
      </c>
      <c r="D15" s="65">
        <f>COUNTIFS(Signals!$A:$A,$A$15,Signals!$E:$E,"&gt;=0.40",Signals!$E:$E,"&lt;0.50",Signals!$N:$N,"YES")+COUNTIFS(Signals!$A:$A,$A$15,Signals!$E:$E,"&gt;=0.40",Signals!$E:$E,"&lt;0.50",Signals!$N:$N,"NO")</f>
        <v/>
      </c>
      <c r="E15" s="66">
        <f>IFERROR(COUNTIFS(Signals!$A:$A,$A$15,Signals!$E:$E,"&gt;=0.50",Signals!$E:$E,"&lt;0.60",Signals!$N:$N,"YES")/(COUNTIFS(Signals!$A:$A,$A$15,Signals!$E:$E,"&gt;=0.50",Signals!$E:$E,"&lt;0.60",Signals!$N:$N,"YES")+COUNTIFS(Signals!$A:$A,$A$15,Signals!$E:$E,"&gt;=0.50",Signals!$E:$E,"&lt;0.60",Signals!$N:$N,"NO")),"")</f>
        <v/>
      </c>
      <c r="F15" s="65">
        <f>COUNTIFS(Signals!$A:$A,$A$15,Signals!$E:$E,"&gt;=0.50",Signals!$E:$E,"&lt;0.60",Signals!$N:$N,"YES")+COUNTIFS(Signals!$A:$A,$A$15,Signals!$E:$E,"&gt;=0.50",Signals!$E:$E,"&lt;0.60",Signals!$N:$N,"NO")</f>
        <v/>
      </c>
      <c r="G15" s="66">
        <f>IFERROR(COUNTIFS(Signals!$A:$A,$A$15,Signals!$E:$E,"&gt;=0.60",Signals!$E:$E,"&lt;0.70",Signals!$N:$N,"YES")/(COUNTIFS(Signals!$A:$A,$A$15,Signals!$E:$E,"&gt;=0.60",Signals!$E:$E,"&lt;0.70",Signals!$N:$N,"YES")+COUNTIFS(Signals!$A:$A,$A$15,Signals!$E:$E,"&gt;=0.60",Signals!$E:$E,"&lt;0.70",Signals!$N:$N,"NO")),"")</f>
        <v/>
      </c>
      <c r="H15" s="65">
        <f>COUNTIFS(Signals!$A:$A,$A$15,Signals!$E:$E,"&gt;=0.60",Signals!$E:$E,"&lt;0.70",Signals!$N:$N,"YES")+COUNTIFS(Signals!$A:$A,$A$15,Signals!$E:$E,"&gt;=0.60",Signals!$E:$E,"&lt;0.70",Signals!$N:$N,"NO")</f>
        <v/>
      </c>
      <c r="I15" s="67">
        <f>IF(B15=0,"insufficient data",IF(AND(E15&gt;C15,E15&gt;G15),"✓ YES","NO"))</f>
        <v/>
      </c>
    </row>
    <row r="16" ht="15" customHeight="1">
      <c r="A16" s="90" t="inlineStr">
        <is>
          <t>2026-06-02</t>
        </is>
      </c>
      <c r="B16" s="65">
        <f>COUNTIFS(Signals!$A:$A,$A$16,Signals!$N:$N,"YES")+COUNTIFS(Signals!$A:$A,$A$16,Signals!$N:$N,"NO")</f>
        <v/>
      </c>
      <c r="C16" s="66">
        <f>IFERROR(COUNTIFS(Signals!$A:$A,$A$16,Signals!$E:$E,"&gt;=0.40",Signals!$E:$E,"&lt;0.50",Signals!$N:$N,"YES")/(COUNTIFS(Signals!$A:$A,$A$16,Signals!$E:$E,"&gt;=0.40",Signals!$E:$E,"&lt;0.50",Signals!$N:$N,"YES")+COUNTIFS(Signals!$A:$A,$A$16,Signals!$E:$E,"&gt;=0.40",Signals!$E:$E,"&lt;0.50",Signals!$N:$N,"NO")),"")</f>
        <v/>
      </c>
      <c r="D16" s="65">
        <f>COUNTIFS(Signals!$A:$A,$A$16,Signals!$E:$E,"&gt;=0.40",Signals!$E:$E,"&lt;0.50",Signals!$N:$N,"YES")+COUNTIFS(Signals!$A:$A,$A$16,Signals!$E:$E,"&gt;=0.40",Signals!$E:$E,"&lt;0.50",Signals!$N:$N,"NO")</f>
        <v/>
      </c>
      <c r="E16" s="66">
        <f>IFERROR(COUNTIFS(Signals!$A:$A,$A$16,Signals!$E:$E,"&gt;=0.50",Signals!$E:$E,"&lt;0.60",Signals!$N:$N,"YES")/(COUNTIFS(Signals!$A:$A,$A$16,Signals!$E:$E,"&gt;=0.50",Signals!$E:$E,"&lt;0.60",Signals!$N:$N,"YES")+COUNTIFS(Signals!$A:$A,$A$16,Signals!$E:$E,"&gt;=0.50",Signals!$E:$E,"&lt;0.60",Signals!$N:$N,"NO")),"")</f>
        <v/>
      </c>
      <c r="F16" s="65">
        <f>COUNTIFS(Signals!$A:$A,$A$16,Signals!$E:$E,"&gt;=0.50",Signals!$E:$E,"&lt;0.60",Signals!$N:$N,"YES")+COUNTIFS(Signals!$A:$A,$A$16,Signals!$E:$E,"&gt;=0.50",Signals!$E:$E,"&lt;0.60",Signals!$N:$N,"NO")</f>
        <v/>
      </c>
      <c r="G16" s="66">
        <f>IFERROR(COUNTIFS(Signals!$A:$A,$A$16,Signals!$E:$E,"&gt;=0.60",Signals!$E:$E,"&lt;0.70",Signals!$N:$N,"YES")/(COUNTIFS(Signals!$A:$A,$A$16,Signals!$E:$E,"&gt;=0.60",Signals!$E:$E,"&lt;0.70",Signals!$N:$N,"YES")+COUNTIFS(Signals!$A:$A,$A$16,Signals!$E:$E,"&gt;=0.60",Signals!$E:$E,"&lt;0.70",Signals!$N:$N,"NO")),"")</f>
        <v/>
      </c>
      <c r="H16" s="65">
        <f>COUNTIFS(Signals!$A:$A,$A$16,Signals!$E:$E,"&gt;=0.60",Signals!$E:$E,"&lt;0.70",Signals!$N:$N,"YES")+COUNTIFS(Signals!$A:$A,$A$16,Signals!$E:$E,"&gt;=0.60",Signals!$E:$E,"&lt;0.70",Signals!$N:$N,"NO")</f>
        <v/>
      </c>
      <c r="I16" s="67">
        <f>IF(B16=0,"insufficient data",IF(AND(E16&gt;C16,E16&gt;G16),"✓ YES","NO"))</f>
        <v/>
      </c>
    </row>
    <row r="17" ht="15" customHeight="1">
      <c r="A17" s="90" t="inlineStr">
        <is>
          <t>2026-06-03</t>
        </is>
      </c>
      <c r="B17" s="65">
        <f>COUNTIFS(Signals!$A:$A,$A$17,Signals!$N:$N,"YES")+COUNTIFS(Signals!$A:$A,$A$17,Signals!$N:$N,"NO")</f>
        <v/>
      </c>
      <c r="C17" s="66">
        <f>IFERROR(COUNTIFS(Signals!$A:$A,$A$17,Signals!$E:$E,"&gt;=0.40",Signals!$E:$E,"&lt;0.50",Signals!$N:$N,"YES")/(COUNTIFS(Signals!$A:$A,$A$17,Signals!$E:$E,"&gt;=0.40",Signals!$E:$E,"&lt;0.50",Signals!$N:$N,"YES")+COUNTIFS(Signals!$A:$A,$A$17,Signals!$E:$E,"&gt;=0.40",Signals!$E:$E,"&lt;0.50",Signals!$N:$N,"NO")),"")</f>
        <v/>
      </c>
      <c r="D17" s="65">
        <f>COUNTIFS(Signals!$A:$A,$A$17,Signals!$E:$E,"&gt;=0.40",Signals!$E:$E,"&lt;0.50",Signals!$N:$N,"YES")+COUNTIFS(Signals!$A:$A,$A$17,Signals!$E:$E,"&gt;=0.40",Signals!$E:$E,"&lt;0.50",Signals!$N:$N,"NO")</f>
        <v/>
      </c>
      <c r="E17" s="66">
        <f>IFERROR(COUNTIFS(Signals!$A:$A,$A$17,Signals!$E:$E,"&gt;=0.50",Signals!$E:$E,"&lt;0.60",Signals!$N:$N,"YES")/(COUNTIFS(Signals!$A:$A,$A$17,Signals!$E:$E,"&gt;=0.50",Signals!$E:$E,"&lt;0.60",Signals!$N:$N,"YES")+COUNTIFS(Signals!$A:$A,$A$17,Signals!$E:$E,"&gt;=0.50",Signals!$E:$E,"&lt;0.60",Signals!$N:$N,"NO")),"")</f>
        <v/>
      </c>
      <c r="F17" s="65">
        <f>COUNTIFS(Signals!$A:$A,$A$17,Signals!$E:$E,"&gt;=0.50",Signals!$E:$E,"&lt;0.60",Signals!$N:$N,"YES")+COUNTIFS(Signals!$A:$A,$A$17,Signals!$E:$E,"&gt;=0.50",Signals!$E:$E,"&lt;0.60",Signals!$N:$N,"NO")</f>
        <v/>
      </c>
      <c r="G17" s="66">
        <f>IFERROR(COUNTIFS(Signals!$A:$A,$A$17,Signals!$E:$E,"&gt;=0.60",Signals!$E:$E,"&lt;0.70",Signals!$N:$N,"YES")/(COUNTIFS(Signals!$A:$A,$A$17,Signals!$E:$E,"&gt;=0.60",Signals!$E:$E,"&lt;0.70",Signals!$N:$N,"YES")+COUNTIFS(Signals!$A:$A,$A$17,Signals!$E:$E,"&gt;=0.60",Signals!$E:$E,"&lt;0.70",Signals!$N:$N,"NO")),"")</f>
        <v/>
      </c>
      <c r="H17" s="65">
        <f>COUNTIFS(Signals!$A:$A,$A$17,Signals!$E:$E,"&gt;=0.60",Signals!$E:$E,"&lt;0.70",Signals!$N:$N,"YES")+COUNTIFS(Signals!$A:$A,$A$17,Signals!$E:$E,"&gt;=0.60",Signals!$E:$E,"&lt;0.70",Signals!$N:$N,"NO")</f>
        <v/>
      </c>
      <c r="I17" s="67">
        <f>IF(B17=0,"insufficient data",IF(AND(E17&gt;C17,E17&gt;G17),"✓ YES","NO"))</f>
        <v/>
      </c>
    </row>
    <row r="18" ht="30" customHeight="1">
      <c r="A18" s="90" t="inlineStr">
        <is>
          <t>2026-06-04</t>
        </is>
      </c>
      <c r="B18" s="65">
        <f>COUNTIFS(Signals!$A:$A,$A$18,Signals!$N:$N,"YES")+COUNTIFS(Signals!$A:$A,$A$18,Signals!$N:$N,"NO")</f>
        <v/>
      </c>
      <c r="C18" s="66">
        <f>IFERROR(COUNTIFS(Signals!$A:$A,$A$18,Signals!$E:$E,"&gt;=0.40",Signals!$E:$E,"&lt;0.50",Signals!$N:$N,"YES")/(COUNTIFS(Signals!$A:$A,$A$18,Signals!$E:$E,"&gt;=0.40",Signals!$E:$E,"&lt;0.50",Signals!$N:$N,"YES")+COUNTIFS(Signals!$A:$A,$A$18,Signals!$E:$E,"&gt;=0.40",Signals!$E:$E,"&lt;0.50",Signals!$N:$N,"NO")),"")</f>
        <v/>
      </c>
      <c r="D18" s="65">
        <f>COUNTIFS(Signals!$A:$A,$A$18,Signals!$E:$E,"&gt;=0.40",Signals!$E:$E,"&lt;0.50",Signals!$N:$N,"YES")+COUNTIFS(Signals!$A:$A,$A$18,Signals!$E:$E,"&gt;=0.40",Signals!$E:$E,"&lt;0.50",Signals!$N:$N,"NO")</f>
        <v/>
      </c>
      <c r="E18" s="66">
        <f>IFERROR(COUNTIFS(Signals!$A:$A,$A$18,Signals!$E:$E,"&gt;=0.50",Signals!$E:$E,"&lt;0.60",Signals!$N:$N,"YES")/(COUNTIFS(Signals!$A:$A,$A$18,Signals!$E:$E,"&gt;=0.50",Signals!$E:$E,"&lt;0.60",Signals!$N:$N,"YES")+COUNTIFS(Signals!$A:$A,$A$18,Signals!$E:$E,"&gt;=0.50",Signals!$E:$E,"&lt;0.60",Signals!$N:$N,"NO")),"")</f>
        <v/>
      </c>
      <c r="F18" s="65">
        <f>COUNTIFS(Signals!$A:$A,$A$18,Signals!$E:$E,"&gt;=0.50",Signals!$E:$E,"&lt;0.60",Signals!$N:$N,"YES")+COUNTIFS(Signals!$A:$A,$A$18,Signals!$E:$E,"&gt;=0.50",Signals!$E:$E,"&lt;0.60",Signals!$N:$N,"NO")</f>
        <v/>
      </c>
      <c r="G18" s="66">
        <f>IFERROR(COUNTIFS(Signals!$A:$A,$A$18,Signals!$E:$E,"&gt;=0.60",Signals!$E:$E,"&lt;0.70",Signals!$N:$N,"YES")/(COUNTIFS(Signals!$A:$A,$A$18,Signals!$E:$E,"&gt;=0.60",Signals!$E:$E,"&lt;0.70",Signals!$N:$N,"YES")+COUNTIFS(Signals!$A:$A,$A$18,Signals!$E:$E,"&gt;=0.60",Signals!$E:$E,"&lt;0.70",Signals!$N:$N,"NO")),"")</f>
        <v/>
      </c>
      <c r="H18" s="65">
        <f>COUNTIFS(Signals!$A:$A,$A$18,Signals!$E:$E,"&gt;=0.60",Signals!$E:$E,"&lt;0.70",Signals!$N:$N,"YES")+COUNTIFS(Signals!$A:$A,$A$18,Signals!$E:$E,"&gt;=0.60",Signals!$E:$E,"&lt;0.70",Signals!$N:$N,"NO")</f>
        <v/>
      </c>
      <c r="I18" s="67">
        <f>IF(B18=0,"insufficient data",IF(AND(E18&gt;C18,E18&gt;G18),"✓ YES","NO"))</f>
        <v/>
      </c>
    </row>
    <row r="19" ht="60" customHeight="1">
      <c r="A19" s="90" t="inlineStr">
        <is>
          <t>2026-06-05</t>
        </is>
      </c>
      <c r="B19" s="65">
        <f>COUNTIFS(Signals!$A:$A,$A$19,Signals!$N:$N,"YES")+COUNTIFS(Signals!$A:$A,$A$19,Signals!$N:$N,"NO")</f>
        <v/>
      </c>
      <c r="C19" s="66">
        <f>IFERROR(COUNTIFS(Signals!$A:$A,$A$19,Signals!$E:$E,"&gt;=0.40",Signals!$E:$E,"&lt;0.50",Signals!$N:$N,"YES")/(COUNTIFS(Signals!$A:$A,$A$19,Signals!$E:$E,"&gt;=0.40",Signals!$E:$E,"&lt;0.50",Signals!$N:$N,"YES")+COUNTIFS(Signals!$A:$A,$A$19,Signals!$E:$E,"&gt;=0.40",Signals!$E:$E,"&lt;0.50",Signals!$N:$N,"NO")),"")</f>
        <v/>
      </c>
      <c r="D19" s="65">
        <f>COUNTIFS(Signals!$A:$A,$A$19,Signals!$E:$E,"&gt;=0.40",Signals!$E:$E,"&lt;0.50",Signals!$N:$N,"YES")+COUNTIFS(Signals!$A:$A,$A$19,Signals!$E:$E,"&gt;=0.40",Signals!$E:$E,"&lt;0.50",Signals!$N:$N,"NO")</f>
        <v/>
      </c>
      <c r="E19" s="66">
        <f>IFERROR(COUNTIFS(Signals!$A:$A,$A$19,Signals!$E:$E,"&gt;=0.50",Signals!$E:$E,"&lt;0.60",Signals!$N:$N,"YES")/(COUNTIFS(Signals!$A:$A,$A$19,Signals!$E:$E,"&gt;=0.50",Signals!$E:$E,"&lt;0.60",Signals!$N:$N,"YES")+COUNTIFS(Signals!$A:$A,$A$19,Signals!$E:$E,"&gt;=0.50",Signals!$E:$E,"&lt;0.60",Signals!$N:$N,"NO")),"")</f>
        <v/>
      </c>
      <c r="F19" s="65">
        <f>COUNTIFS(Signals!$A:$A,$A$19,Signals!$E:$E,"&gt;=0.50",Signals!$E:$E,"&lt;0.60",Signals!$N:$N,"YES")+COUNTIFS(Signals!$A:$A,$A$19,Signals!$E:$E,"&gt;=0.50",Signals!$E:$E,"&lt;0.60",Signals!$N:$N,"NO")</f>
        <v/>
      </c>
      <c r="G19" s="66">
        <f>IFERROR(COUNTIFS(Signals!$A:$A,$A$19,Signals!$E:$E,"&gt;=0.60",Signals!$E:$E,"&lt;0.70",Signals!$N:$N,"YES")/(COUNTIFS(Signals!$A:$A,$A$19,Signals!$E:$E,"&gt;=0.60",Signals!$E:$E,"&lt;0.70",Signals!$N:$N,"YES")+COUNTIFS(Signals!$A:$A,$A$19,Signals!$E:$E,"&gt;=0.60",Signals!$E:$E,"&lt;0.70",Signals!$N:$N,"NO")),"")</f>
        <v/>
      </c>
      <c r="H19" s="65">
        <f>COUNTIFS(Signals!$A:$A,$A$19,Signals!$E:$E,"&gt;=0.60",Signals!$E:$E,"&lt;0.70",Signals!$N:$N,"YES")+COUNTIFS(Signals!$A:$A,$A$19,Signals!$E:$E,"&gt;=0.60",Signals!$E:$E,"&lt;0.70",Signals!$N:$N,"NO")</f>
        <v/>
      </c>
      <c r="I19" s="67">
        <f>IF(B19=0,"insufficient data",IF(AND(E19&gt;C19,E19&gt;G19),"✓ YES","NO"))</f>
        <v/>
      </c>
    </row>
    <row r="20" ht="60" customHeight="1">
      <c r="A20" s="90" t="inlineStr">
        <is>
          <t>2026-06-08</t>
        </is>
      </c>
      <c r="B20" s="65">
        <f>COUNTIFS(Signals!$A:$A,$A$20,Signals!$N:$N,"YES")+COUNTIFS(Signals!$A:$A,$A$20,Signals!$N:$N,"NO")</f>
        <v/>
      </c>
      <c r="C20" s="66">
        <f>IFERROR(COUNTIFS(Signals!$A:$A,$A$20,Signals!$E:$E,"&gt;=0.40",Signals!$E:$E,"&lt;0.50",Signals!$N:$N,"YES")/(COUNTIFS(Signals!$A:$A,$A$20,Signals!$E:$E,"&gt;=0.40",Signals!$E:$E,"&lt;0.50",Signals!$N:$N,"YES")+COUNTIFS(Signals!$A:$A,$A$20,Signals!$E:$E,"&gt;=0.40",Signals!$E:$E,"&lt;0.50",Signals!$N:$N,"NO")),"")</f>
        <v/>
      </c>
      <c r="D20" s="65">
        <f>COUNTIFS(Signals!$A:$A,$A$20,Signals!$E:$E,"&gt;=0.40",Signals!$E:$E,"&lt;0.50",Signals!$N:$N,"YES")+COUNTIFS(Signals!$A:$A,$A$20,Signals!$E:$E,"&gt;=0.40",Signals!$E:$E,"&lt;0.50",Signals!$N:$N,"NO")</f>
        <v/>
      </c>
      <c r="E20" s="66">
        <f>IFERROR(COUNTIFS(Signals!$A:$A,$A$20,Signals!$E:$E,"&gt;=0.50",Signals!$E:$E,"&lt;0.60",Signals!$N:$N,"YES")/(COUNTIFS(Signals!$A:$A,$A$20,Signals!$E:$E,"&gt;=0.50",Signals!$E:$E,"&lt;0.60",Signals!$N:$N,"YES")+COUNTIFS(Signals!$A:$A,$A$20,Signals!$E:$E,"&gt;=0.50",Signals!$E:$E,"&lt;0.60",Signals!$N:$N,"NO")),"")</f>
        <v/>
      </c>
      <c r="F20" s="65">
        <f>COUNTIFS(Signals!$A:$A,$A$20,Signals!$E:$E,"&gt;=0.50",Signals!$E:$E,"&lt;0.60",Signals!$N:$N,"YES")+COUNTIFS(Signals!$A:$A,$A$20,Signals!$E:$E,"&gt;=0.50",Signals!$E:$E,"&lt;0.60",Signals!$N:$N,"NO")</f>
        <v/>
      </c>
      <c r="G20" s="66">
        <f>IFERROR(COUNTIFS(Signals!$A:$A,$A$20,Signals!$E:$E,"&gt;=0.60",Signals!$E:$E,"&lt;0.70",Signals!$N:$N,"YES")/(COUNTIFS(Signals!$A:$A,$A$20,Signals!$E:$E,"&gt;=0.60",Signals!$E:$E,"&lt;0.70",Signals!$N:$N,"YES")+COUNTIFS(Signals!$A:$A,$A$20,Signals!$E:$E,"&gt;=0.60",Signals!$E:$E,"&lt;0.70",Signals!$N:$N,"NO")),"")</f>
        <v/>
      </c>
      <c r="H20" s="65">
        <f>COUNTIFS(Signals!$A:$A,$A$20,Signals!$E:$E,"&gt;=0.60",Signals!$E:$E,"&lt;0.70",Signals!$N:$N,"YES")+COUNTIFS(Signals!$A:$A,$A$20,Signals!$E:$E,"&gt;=0.60",Signals!$E:$E,"&lt;0.70",Signals!$N:$N,"NO")</f>
        <v/>
      </c>
      <c r="I20" s="67">
        <f>IF(B20=0,"insufficient data",IF(AND(E20&gt;C20,E20&gt;G20),"✓ YES","NO"))</f>
        <v/>
      </c>
    </row>
    <row r="21" ht="60" customHeight="1">
      <c r="A21" s="90" t="inlineStr">
        <is>
          <t>2026-06-09</t>
        </is>
      </c>
      <c r="B21" s="65">
        <f>COUNTIFS(Signals!$A:$A,$A$21,Signals!$N:$N,"YES")+COUNTIFS(Signals!$A:$A,$A$21,Signals!$N:$N,"NO")</f>
        <v/>
      </c>
      <c r="C21" s="66">
        <f>IFERROR(COUNTIFS(Signals!$A:$A,$A$21,Signals!$E:$E,"&gt;=0.40",Signals!$E:$E,"&lt;0.50",Signals!$N:$N,"YES")/(COUNTIFS(Signals!$A:$A,$A$21,Signals!$E:$E,"&gt;=0.40",Signals!$E:$E,"&lt;0.50",Signals!$N:$N,"YES")+COUNTIFS(Signals!$A:$A,$A$21,Signals!$E:$E,"&gt;=0.40",Signals!$E:$E,"&lt;0.50",Signals!$N:$N,"NO")),"")</f>
        <v/>
      </c>
      <c r="D21" s="65">
        <f>COUNTIFS(Signals!$A:$A,$A$21,Signals!$E:$E,"&gt;=0.40",Signals!$E:$E,"&lt;0.50",Signals!$N:$N,"YES")+COUNTIFS(Signals!$A:$A,$A$21,Signals!$E:$E,"&gt;=0.40",Signals!$E:$E,"&lt;0.50",Signals!$N:$N,"NO")</f>
        <v/>
      </c>
      <c r="E21" s="66">
        <f>IFERROR(COUNTIFS(Signals!$A:$A,$A$21,Signals!$E:$E,"&gt;=0.50",Signals!$E:$E,"&lt;0.60",Signals!$N:$N,"YES")/(COUNTIFS(Signals!$A:$A,$A$21,Signals!$E:$E,"&gt;=0.50",Signals!$E:$E,"&lt;0.60",Signals!$N:$N,"YES")+COUNTIFS(Signals!$A:$A,$A$21,Signals!$E:$E,"&gt;=0.50",Signals!$E:$E,"&lt;0.60",Signals!$N:$N,"NO")),"")</f>
        <v/>
      </c>
      <c r="F21" s="65">
        <f>COUNTIFS(Signals!$A:$A,$A$21,Signals!$E:$E,"&gt;=0.50",Signals!$E:$E,"&lt;0.60",Signals!$N:$N,"YES")+COUNTIFS(Signals!$A:$A,$A$21,Signals!$E:$E,"&gt;=0.50",Signals!$E:$E,"&lt;0.60",Signals!$N:$N,"NO")</f>
        <v/>
      </c>
      <c r="G21" s="66">
        <f>IFERROR(COUNTIFS(Signals!$A:$A,$A$21,Signals!$E:$E,"&gt;=0.60",Signals!$E:$E,"&lt;0.70",Signals!$N:$N,"YES")/(COUNTIFS(Signals!$A:$A,$A$21,Signals!$E:$E,"&gt;=0.60",Signals!$E:$E,"&lt;0.70",Signals!$N:$N,"YES")+COUNTIFS(Signals!$A:$A,$A$21,Signals!$E:$E,"&gt;=0.60",Signals!$E:$E,"&lt;0.70",Signals!$N:$N,"NO")),"")</f>
        <v/>
      </c>
      <c r="H21" s="65">
        <f>COUNTIFS(Signals!$A:$A,$A$21,Signals!$E:$E,"&gt;=0.60",Signals!$E:$E,"&lt;0.70",Signals!$N:$N,"YES")+COUNTIFS(Signals!$A:$A,$A$21,Signals!$E:$E,"&gt;=0.60",Signals!$E:$E,"&lt;0.70",Signals!$N:$N,"NO")</f>
        <v/>
      </c>
      <c r="I21" s="67">
        <f>IF(B21=0,"insufficient data",IF(AND(E21&gt;C21,E21&gt;G21),"✓ YES","NO"))</f>
        <v/>
      </c>
    </row>
    <row r="22" ht="15" customHeight="1">
      <c r="A22" s="90" t="inlineStr">
        <is>
          <t>2026-06-10</t>
        </is>
      </c>
      <c r="B22" s="65">
        <f>COUNTIFS(Signals!$A:$A,$A$22,Signals!$N:$N,"YES")+COUNTIFS(Signals!$A:$A,$A$22,Signals!$N:$N,"NO")</f>
        <v/>
      </c>
      <c r="C22" s="66">
        <f>IFERROR(COUNTIFS(Signals!$A:$A,$A$22,Signals!$E:$E,"&gt;=0.40",Signals!$E:$E,"&lt;0.50",Signals!$N:$N,"YES")/(COUNTIFS(Signals!$A:$A,$A$22,Signals!$E:$E,"&gt;=0.40",Signals!$E:$E,"&lt;0.50",Signals!$N:$N,"YES")+COUNTIFS(Signals!$A:$A,$A$22,Signals!$E:$E,"&gt;=0.40",Signals!$E:$E,"&lt;0.50",Signals!$N:$N,"NO")),"")</f>
        <v/>
      </c>
      <c r="D22" s="65">
        <f>COUNTIFS(Signals!$A:$A,$A$22,Signals!$E:$E,"&gt;=0.40",Signals!$E:$E,"&lt;0.50",Signals!$N:$N,"YES")+COUNTIFS(Signals!$A:$A,$A$22,Signals!$E:$E,"&gt;=0.40",Signals!$E:$E,"&lt;0.50",Signals!$N:$N,"NO")</f>
        <v/>
      </c>
      <c r="E22" s="66">
        <f>IFERROR(COUNTIFS(Signals!$A:$A,$A$22,Signals!$E:$E,"&gt;=0.50",Signals!$E:$E,"&lt;0.60",Signals!$N:$N,"YES")/(COUNTIFS(Signals!$A:$A,$A$22,Signals!$E:$E,"&gt;=0.50",Signals!$E:$E,"&lt;0.60",Signals!$N:$N,"YES")+COUNTIFS(Signals!$A:$A,$A$22,Signals!$E:$E,"&gt;=0.50",Signals!$E:$E,"&lt;0.60",Signals!$N:$N,"NO")),"")</f>
        <v/>
      </c>
      <c r="F22" s="65">
        <f>COUNTIFS(Signals!$A:$A,$A$22,Signals!$E:$E,"&gt;=0.50",Signals!$E:$E,"&lt;0.60",Signals!$N:$N,"YES")+COUNTIFS(Signals!$A:$A,$A$22,Signals!$E:$E,"&gt;=0.50",Signals!$E:$E,"&lt;0.60",Signals!$N:$N,"NO")</f>
        <v/>
      </c>
      <c r="G22" s="66">
        <f>IFERROR(COUNTIFS(Signals!$A:$A,$A$22,Signals!$E:$E,"&gt;=0.60",Signals!$E:$E,"&lt;0.70",Signals!$N:$N,"YES")/(COUNTIFS(Signals!$A:$A,$A$22,Signals!$E:$E,"&gt;=0.60",Signals!$E:$E,"&lt;0.70",Signals!$N:$N,"YES")+COUNTIFS(Signals!$A:$A,$A$22,Signals!$E:$E,"&gt;=0.60",Signals!$E:$E,"&lt;0.70",Signals!$N:$N,"NO")),"")</f>
        <v/>
      </c>
      <c r="H22" s="65">
        <f>COUNTIFS(Signals!$A:$A,$A$22,Signals!$E:$E,"&gt;=0.60",Signals!$E:$E,"&lt;0.70",Signals!$N:$N,"YES")+COUNTIFS(Signals!$A:$A,$A$22,Signals!$E:$E,"&gt;=0.60",Signals!$E:$E,"&lt;0.70",Signals!$N:$N,"NO")</f>
        <v/>
      </c>
      <c r="I22" s="67">
        <f>IF(B22=0,"insufficient data",IF(AND(E22&gt;C22,E22&gt;G22),"✓ YES","NO"))</f>
        <v/>
      </c>
    </row>
    <row r="23" ht="15" customHeight="1">
      <c r="A23" s="90" t="inlineStr">
        <is>
          <t>2026-06-11</t>
        </is>
      </c>
      <c r="B23" s="65">
        <f>COUNTIFS(Signals!$A:$A,$A$23,Signals!$N:$N,"YES")+COUNTIFS(Signals!$A:$A,$A$23,Signals!$N:$N,"NO")</f>
        <v/>
      </c>
      <c r="C23" s="66">
        <f>IFERROR(COUNTIFS(Signals!$A:$A,$A$23,Signals!$E:$E,"&gt;=0.40",Signals!$E:$E,"&lt;0.50",Signals!$N:$N,"YES")/(COUNTIFS(Signals!$A:$A,$A$23,Signals!$E:$E,"&gt;=0.40",Signals!$E:$E,"&lt;0.50",Signals!$N:$N,"YES")+COUNTIFS(Signals!$A:$A,$A$23,Signals!$E:$E,"&gt;=0.40",Signals!$E:$E,"&lt;0.50",Signals!$N:$N,"NO")),"")</f>
        <v/>
      </c>
      <c r="D23" s="65">
        <f>COUNTIFS(Signals!$A:$A,$A$23,Signals!$E:$E,"&gt;=0.40",Signals!$E:$E,"&lt;0.50",Signals!$N:$N,"YES")+COUNTIFS(Signals!$A:$A,$A$23,Signals!$E:$E,"&gt;=0.40",Signals!$E:$E,"&lt;0.50",Signals!$N:$N,"NO")</f>
        <v/>
      </c>
      <c r="E23" s="66">
        <f>IFERROR(COUNTIFS(Signals!$A:$A,$A$23,Signals!$E:$E,"&gt;=0.50",Signals!$E:$E,"&lt;0.60",Signals!$N:$N,"YES")/(COUNTIFS(Signals!$A:$A,$A$23,Signals!$E:$E,"&gt;=0.50",Signals!$E:$E,"&lt;0.60",Signals!$N:$N,"YES")+COUNTIFS(Signals!$A:$A,$A$23,Signals!$E:$E,"&gt;=0.50",Signals!$E:$E,"&lt;0.60",Signals!$N:$N,"NO")),"")</f>
        <v/>
      </c>
      <c r="F23" s="65">
        <f>COUNTIFS(Signals!$A:$A,$A$23,Signals!$E:$E,"&gt;=0.50",Signals!$E:$E,"&lt;0.60",Signals!$N:$N,"YES")+COUNTIFS(Signals!$A:$A,$A$23,Signals!$E:$E,"&gt;=0.50",Signals!$E:$E,"&lt;0.60",Signals!$N:$N,"NO")</f>
        <v/>
      </c>
      <c r="G23" s="66">
        <f>IFERROR(COUNTIFS(Signals!$A:$A,$A$23,Signals!$E:$E,"&gt;=0.60",Signals!$E:$E,"&lt;0.70",Signals!$N:$N,"YES")/(COUNTIFS(Signals!$A:$A,$A$23,Signals!$E:$E,"&gt;=0.60",Signals!$E:$E,"&lt;0.70",Signals!$N:$N,"YES")+COUNTIFS(Signals!$A:$A,$A$23,Signals!$E:$E,"&gt;=0.60",Signals!$E:$E,"&lt;0.70",Signals!$N:$N,"NO")),"")</f>
        <v/>
      </c>
      <c r="H23" s="65">
        <f>COUNTIFS(Signals!$A:$A,$A$23,Signals!$E:$E,"&gt;=0.60",Signals!$E:$E,"&lt;0.70",Signals!$N:$N,"YES")+COUNTIFS(Signals!$A:$A,$A$23,Signals!$E:$E,"&gt;=0.60",Signals!$E:$E,"&lt;0.70",Signals!$N:$N,"NO")</f>
        <v/>
      </c>
      <c r="I23" s="67">
        <f>IF(B23=0,"insufficient data",IF(AND(E23&gt;C23,E23&gt;G23),"✓ YES","NO"))</f>
        <v/>
      </c>
    </row>
    <row r="24" ht="15" customHeight="1">
      <c r="A24" s="90" t="inlineStr">
        <is>
          <t>2026-06-12</t>
        </is>
      </c>
      <c r="B24" s="65">
        <f>COUNTIFS(Signals!$A:$A,$A$24,Signals!$N:$N,"YES")+COUNTIFS(Signals!$A:$A,$A$24,Signals!$N:$N,"NO")</f>
        <v/>
      </c>
      <c r="C24" s="66">
        <f>IFERROR(COUNTIFS(Signals!$A:$A,$A$24,Signals!$E:$E,"&gt;=0.40",Signals!$E:$E,"&lt;0.50",Signals!$N:$N,"YES")/(COUNTIFS(Signals!$A:$A,$A$24,Signals!$E:$E,"&gt;=0.40",Signals!$E:$E,"&lt;0.50",Signals!$N:$N,"YES")+COUNTIFS(Signals!$A:$A,$A$24,Signals!$E:$E,"&gt;=0.40",Signals!$E:$E,"&lt;0.50",Signals!$N:$N,"NO")),"")</f>
        <v/>
      </c>
      <c r="D24" s="65">
        <f>COUNTIFS(Signals!$A:$A,$A$24,Signals!$E:$E,"&gt;=0.40",Signals!$E:$E,"&lt;0.50",Signals!$N:$N,"YES")+COUNTIFS(Signals!$A:$A,$A$24,Signals!$E:$E,"&gt;=0.40",Signals!$E:$E,"&lt;0.50",Signals!$N:$N,"NO")</f>
        <v/>
      </c>
      <c r="E24" s="66">
        <f>IFERROR(COUNTIFS(Signals!$A:$A,$A$24,Signals!$E:$E,"&gt;=0.50",Signals!$E:$E,"&lt;0.60",Signals!$N:$N,"YES")/(COUNTIFS(Signals!$A:$A,$A$24,Signals!$E:$E,"&gt;=0.50",Signals!$E:$E,"&lt;0.60",Signals!$N:$N,"YES")+COUNTIFS(Signals!$A:$A,$A$24,Signals!$E:$E,"&gt;=0.50",Signals!$E:$E,"&lt;0.60",Signals!$N:$N,"NO")),"")</f>
        <v/>
      </c>
      <c r="F24" s="65">
        <f>COUNTIFS(Signals!$A:$A,$A$24,Signals!$E:$E,"&gt;=0.50",Signals!$E:$E,"&lt;0.60",Signals!$N:$N,"YES")+COUNTIFS(Signals!$A:$A,$A$24,Signals!$E:$E,"&gt;=0.50",Signals!$E:$E,"&lt;0.60",Signals!$N:$N,"NO")</f>
        <v/>
      </c>
      <c r="G24" s="66">
        <f>IFERROR(COUNTIFS(Signals!$A:$A,$A$24,Signals!$E:$E,"&gt;=0.60",Signals!$E:$E,"&lt;0.70",Signals!$N:$N,"YES")/(COUNTIFS(Signals!$A:$A,$A$24,Signals!$E:$E,"&gt;=0.60",Signals!$E:$E,"&lt;0.70",Signals!$N:$N,"YES")+COUNTIFS(Signals!$A:$A,$A$24,Signals!$E:$E,"&gt;=0.60",Signals!$E:$E,"&lt;0.70",Signals!$N:$N,"NO")),"")</f>
        <v/>
      </c>
      <c r="H24" s="65">
        <f>COUNTIFS(Signals!$A:$A,$A$24,Signals!$E:$E,"&gt;=0.60",Signals!$E:$E,"&lt;0.70",Signals!$N:$N,"YES")+COUNTIFS(Signals!$A:$A,$A$24,Signals!$E:$E,"&gt;=0.60",Signals!$E:$E,"&lt;0.70",Signals!$N:$N,"NO")</f>
        <v/>
      </c>
      <c r="I24" s="67">
        <f>IF(B24=0,"insufficient data",IF(AND(E24&gt;C24,E24&gt;G24),"✓ YES","NO"))</f>
        <v/>
      </c>
    </row>
    <row r="25" ht="30" customHeight="1"/>
    <row r="26" ht="75" customHeight="1">
      <c r="A26" s="68" t="inlineStr">
        <is>
          <t>ACROSS ALL COHORTS</t>
        </is>
      </c>
      <c r="B26" s="82">
        <f>SUM(B6:B24)</f>
        <v/>
      </c>
      <c r="C26" s="83">
        <f>AVERAGE(C6:C24)</f>
        <v/>
      </c>
      <c r="D26" s="69" t="n"/>
      <c r="E26" s="83">
        <f>AVERAGE(E6:E24)</f>
        <v/>
      </c>
      <c r="F26" s="69" t="n"/>
      <c r="G26" s="83">
        <f>AVERAGE(G6:G24)</f>
        <v/>
      </c>
      <c r="H26" s="69" t="n"/>
      <c r="I26" s="81">
        <f>COUNTIF(I6:I24,"✓ YES") &amp; " of " &amp; (COUNTIF(I6:I24,"✓ YES")+COUNTIF(I6:I24,"NO")) &amp; " hold (cohorts w/ +5d data)"</f>
        <v/>
      </c>
    </row>
    <row r="27" ht="45" customHeight="1"/>
    <row r="28" ht="60" customHeight="1"/>
    <row r="29" ht="15" customHeight="1">
      <c r="A29" s="92" t="inlineStr">
        <is>
          <t>Section 2: Hit Rate by Data Quality (+5d, all cohorts combined)</t>
        </is>
      </c>
      <c r="B29" s="70" t="n"/>
      <c r="C29" s="70" t="n"/>
      <c r="D29" s="70" t="n"/>
      <c r="E29" s="70" t="n"/>
      <c r="F29" s="70" t="n"/>
      <c r="G29" s="70" t="n"/>
      <c r="H29" s="70" t="n"/>
      <c r="I29" s="71" t="n"/>
    </row>
    <row r="30" ht="30" customHeight="1">
      <c r="A30" s="64" t="inlineStr">
        <is>
          <t>Data Quality</t>
        </is>
      </c>
      <c r="B30" s="64" t="inlineStr">
        <is>
          <t>Sample (with +5d)</t>
        </is>
      </c>
      <c r="C30" s="64" t="inlineStr">
        <is>
          <t>Hit Count</t>
        </is>
      </c>
      <c r="D30" s="64" t="inlineStr">
        <is>
          <t>Hit Rate</t>
        </is>
      </c>
      <c r="E30" s="64" t="inlineStr">
        <is>
          <t>Notes</t>
        </is>
      </c>
    </row>
    <row r="31" ht="15" customHeight="1">
      <c r="A31" s="90" t="inlineStr">
        <is>
          <t>HIGH</t>
        </is>
      </c>
      <c r="B31">
        <f>COUNTIFS(Signals!$F:$F,"HIGH",Signals!$N:$N,"YES")+COUNTIFS(Signals!$F:$F,"HIGH",Signals!$N:$N,"NO")</f>
        <v/>
      </c>
      <c r="C31">
        <f>COUNTIFS(Signals!$F:$F,"HIGH",Signals!$N:$N,"YES")</f>
        <v/>
      </c>
      <c r="D31" s="18">
        <f>IFERROR(C31/B31,"")</f>
        <v/>
      </c>
    </row>
    <row r="32" ht="19.5" customHeight="1">
      <c r="A32" s="90" t="inlineStr">
        <is>
          <t>MEDIUM</t>
        </is>
      </c>
      <c r="B32">
        <f>COUNTIFS(Signals!$F:$F,"MEDIUM",Signals!$N:$N,"YES")+COUNTIFS(Signals!$F:$F,"MEDIUM",Signals!$N:$N,"NO")</f>
        <v/>
      </c>
      <c r="C32">
        <f>COUNTIFS(Signals!$F:$F,"MEDIUM",Signals!$N:$N,"YES")</f>
        <v/>
      </c>
      <c r="D32" s="18">
        <f>IFERROR(C32/B32,"")</f>
        <v/>
      </c>
    </row>
    <row r="33" ht="19.5" customHeight="1">
      <c r="A33" s="90" t="inlineStr">
        <is>
          <t>LOW</t>
        </is>
      </c>
      <c r="B33">
        <f>COUNTIFS(Signals!$F:$F,"LOW",Signals!$N:$N,"YES")+COUNTIFS(Signals!$F:$F,"LOW",Signals!$N:$N,"NO")</f>
        <v/>
      </c>
      <c r="C33">
        <f>COUNTIFS(Signals!$F:$F,"LOW",Signals!$N:$N,"YES")</f>
        <v/>
      </c>
      <c r="D33" s="18">
        <f>IFERROR(C33/B33,"")</f>
        <v/>
      </c>
    </row>
    <row r="34" ht="19.5" customHeight="1"/>
    <row r="35" ht="19.5" customHeight="1"/>
    <row r="36" ht="19.5" customHeight="1">
      <c r="A36" s="92" t="inlineStr">
        <is>
          <t>Section 3: Hit Rate by Signal Type (+5d, all cohorts)</t>
        </is>
      </c>
      <c r="B36" s="70" t="n"/>
      <c r="C36" s="70" t="n"/>
      <c r="D36" s="70" t="n"/>
      <c r="E36" s="70" t="n"/>
      <c r="F36" s="70" t="n"/>
      <c r="G36" s="70" t="n"/>
      <c r="H36" s="70" t="n"/>
      <c r="I36" s="71" t="n"/>
    </row>
    <row r="37" ht="30" customHeight="1">
      <c r="A37" s="64" t="inlineStr">
        <is>
          <t>Signal Type</t>
        </is>
      </c>
      <c r="B37" s="64" t="inlineStr">
        <is>
          <t>Sample (with +5d)</t>
        </is>
      </c>
      <c r="C37" s="64" t="inlineStr">
        <is>
          <t>Hit Count</t>
        </is>
      </c>
      <c r="D37" s="64" t="inlineStr">
        <is>
          <t>Hit Rate</t>
        </is>
      </c>
      <c r="E37" s="64" t="inlineStr">
        <is>
          <t>Notes</t>
        </is>
      </c>
    </row>
    <row r="38" ht="75" customHeight="1">
      <c r="A38" s="90" t="inlineStr">
        <is>
          <t>HOLD</t>
        </is>
      </c>
      <c r="B38" s="65">
        <f>COUNTIFS(Signals!$D:$D,"HOLD",Signals!$N:$N,"YES")+COUNTIFS(Signals!$D:$D,"HOLD",Signals!$N:$N,"NO")</f>
        <v/>
      </c>
      <c r="C38" s="65">
        <f>COUNTIFS(Signals!$D:$D,"HOLD",Signals!$N:$N,"YES")</f>
        <v/>
      </c>
      <c r="D38" s="66">
        <f>IFERROR(C38/B38,"")</f>
        <v/>
      </c>
      <c r="E38" s="90" t="inlineStr">
        <is>
          <t>Bot says 'no significant move'; measured as |return| &lt; 3%</t>
        </is>
      </c>
    </row>
    <row r="39" ht="45" customHeight="1">
      <c r="A39" s="90" t="inlineStr">
        <is>
          <t>BUY</t>
        </is>
      </c>
      <c r="B39" s="65">
        <f>COUNTIFS(Signals!$D:$D,"BUY",Signals!$N:$N,"YES")+COUNTIFS(Signals!$D:$D,"BUY",Signals!$N:$N,"NO")</f>
        <v/>
      </c>
      <c r="C39" s="65">
        <f>COUNTIFS(Signals!$D:$D,"BUY",Signals!$N:$N,"YES")</f>
        <v/>
      </c>
      <c r="D39" s="66">
        <f>IFERROR(C39/B39,"")</f>
        <v/>
      </c>
      <c r="E39" s="90" t="inlineStr">
        <is>
          <t>Bot says 'go up'; measured as return &gt; 0</t>
        </is>
      </c>
    </row>
    <row r="40" ht="60" customHeight="1">
      <c r="A40" s="90" t="inlineStr">
        <is>
          <t>SELL</t>
        </is>
      </c>
      <c r="B40" s="65">
        <f>COUNTIFS(Signals!$D:$D,"SELL",Signals!$N:$N,"YES")+COUNTIFS(Signals!$D:$D,"SELL",Signals!$N:$N,"NO")</f>
        <v/>
      </c>
      <c r="C40" s="65">
        <f>COUNTIFS(Signals!$D:$D,"SELL",Signals!$N:$N,"YES")</f>
        <v/>
      </c>
      <c r="D40" s="66">
        <f>IFERROR(C40/B40,"")</f>
        <v/>
      </c>
      <c r="E40" s="90" t="inlineStr">
        <is>
          <t>Bot says 'go down'; measured as return &lt; 0</t>
        </is>
      </c>
    </row>
    <row r="43" ht="31.5" customHeight="1">
      <c r="A43" s="92" t="inlineStr">
        <is>
          <t>Reading Guide</t>
        </is>
      </c>
      <c r="B43" s="70" t="n"/>
      <c r="C43" s="70" t="n"/>
      <c r="D43" s="70" t="n"/>
      <c r="E43" s="70" t="n"/>
      <c r="F43" s="70" t="n"/>
      <c r="G43" s="70" t="n"/>
      <c r="H43" s="70" t="n"/>
      <c r="I43" s="71" t="n"/>
    </row>
    <row r="44" ht="120" customHeight="1">
      <c r="A44" s="90" t="inlineStr">
        <is>
          <t>• All formulas are live — they refresh automatically as you fill +5d prices in the Signals tab.</t>
        </is>
      </c>
      <c r="B44" s="70" t="n"/>
      <c r="C44" s="70" t="n"/>
      <c r="D44" s="70" t="n"/>
      <c r="E44" s="70" t="n"/>
      <c r="F44" s="70" t="n"/>
      <c r="G44" s="70" t="n"/>
      <c r="H44" s="70" t="n"/>
      <c r="I44" s="71" t="n"/>
    </row>
    <row r="45" ht="150" customHeight="1">
      <c r="A45" s="90" t="inlineStr">
        <is>
          <t>• Section 1 'Pattern Holds?' fires YES when the 50-59% band has a higher hit rate than both the 40-49% and 60-69% bands.</t>
        </is>
      </c>
      <c r="B45" s="70" t="n"/>
      <c r="C45" s="70" t="n"/>
      <c r="D45" s="70" t="n"/>
      <c r="E45" s="70" t="n"/>
      <c r="F45" s="70" t="n"/>
      <c r="G45" s="70" t="n"/>
      <c r="H45" s="70" t="n"/>
      <c r="I45" s="71" t="n"/>
    </row>
    <row r="46" ht="135" customHeight="1">
      <c r="A46" s="90" t="inlineStr">
        <is>
          <t>• Once 3+ cohorts show 'Pattern Holds? = YES', the calibration finding is statistically meaningful.</t>
        </is>
      </c>
      <c r="B46" s="70" t="n"/>
      <c r="C46" s="70" t="n"/>
      <c r="D46" s="70" t="n"/>
      <c r="E46" s="70" t="n"/>
      <c r="F46" s="70" t="n"/>
      <c r="G46" s="70" t="n"/>
      <c r="H46" s="70" t="n"/>
      <c r="I46" s="71" t="n"/>
    </row>
    <row r="47" ht="165" customHeight="1">
      <c r="A47" s="90" t="inlineStr">
        <is>
          <t>• Section 2 (Data Quality) — LOW outperforming MEDIUM is likely a confound, not skill. See analyst_notes.md.</t>
        </is>
      </c>
      <c r="B47" s="70" t="n"/>
      <c r="C47" s="70" t="n"/>
      <c r="D47" s="70" t="n"/>
      <c r="E47" s="70" t="n"/>
      <c r="F47" s="70" t="n"/>
      <c r="G47" s="70" t="n"/>
      <c r="H47" s="70" t="n"/>
      <c r="I47" s="71" t="n"/>
    </row>
    <row r="48" ht="165" customHeight="1">
      <c r="A48" s="90" t="inlineStr">
        <is>
          <t>• Section 3 (Signal Type) — currently dominated by HOLD; BUY/SELL stats are sparse until more non-HOLD signals accumulate.</t>
        </is>
      </c>
      <c r="B48" s="70" t="n"/>
      <c r="C48" s="70" t="n"/>
      <c r="D48" s="70" t="n"/>
      <c r="E48" s="70" t="n"/>
      <c r="F48" s="70" t="n"/>
      <c r="G48" s="70" t="n"/>
      <c r="H48" s="70" t="n"/>
      <c r="I48" s="71" t="n"/>
    </row>
    <row r="51" ht="15.75" customHeight="1">
      <c r="A51" s="89" t="inlineStr">
        <is>
          <t>Section 4: Phase 3-A Cohorts — Hit Rate by Confidence Band (+5d)</t>
        </is>
      </c>
    </row>
    <row r="52" ht="30" customHeight="1">
      <c r="A52" s="64" t="inlineStr">
        <is>
          <t>Cohort Date</t>
        </is>
      </c>
      <c r="B52" s="64" t="inlineStr">
        <is>
          <t>Sample (with +5d)</t>
        </is>
      </c>
      <c r="C52" s="64" t="inlineStr">
        <is>
          <t>40-49% Hit Rate</t>
        </is>
      </c>
      <c r="D52" s="64" t="inlineStr">
        <is>
          <t>40-49% n</t>
        </is>
      </c>
      <c r="E52" s="64" t="inlineStr">
        <is>
          <t>50-59% Hit Rate</t>
        </is>
      </c>
      <c r="F52" s="64" t="inlineStr">
        <is>
          <t>50-59% n</t>
        </is>
      </c>
      <c r="G52" s="64" t="inlineStr">
        <is>
          <t>60-69% Hit Rate</t>
        </is>
      </c>
      <c r="H52" s="64" t="inlineStr">
        <is>
          <t>60-69% n</t>
        </is>
      </c>
      <c r="I52" s="64" t="inlineStr">
        <is>
          <t>Pattern Holds?</t>
        </is>
      </c>
    </row>
    <row r="53" ht="15" customHeight="1">
      <c r="A53" s="90" t="inlineStr">
        <is>
          <t>2026-06-15</t>
        </is>
      </c>
      <c r="B53" s="65">
        <f>COUNTIFS(Signals!$A:$A,$A53,Signals!$N:$N,"YES")+COUNTIFS(Signals!$A:$A,$A53,Signals!$N:$N,"NO")</f>
        <v/>
      </c>
      <c r="C53" s="66">
        <f>IFERROR(COUNTIFS(Signals!$A:$A,$A53,Signals!$E:$E,"&gt;=0.40",Signals!$E:$E,"&lt;0.50",Signals!$N:$N,"YES")/(COUNTIFS(Signals!$A:$A,$A53,Signals!$E:$E,"&gt;=0.40",Signals!$E:$E,"&lt;0.50",Signals!$N:$N,"YES")+COUNTIFS(Signals!$A:$A,$A53,Signals!$E:$E,"&gt;=0.40",Signals!$E:$E,"&lt;0.50",Signals!$N:$N,"NO")),"")</f>
        <v/>
      </c>
      <c r="D53" s="65">
        <f>COUNTIFS(Signals!$A:$A,$A53,Signals!$E:$E,"&gt;=0.40",Signals!$E:$E,"&lt;0.50",Signals!$N:$N,"YES")+COUNTIFS(Signals!$A:$A,$A53,Signals!$E:$E,"&gt;=0.40",Signals!$E:$E,"&lt;0.50",Signals!$N:$N,"NO")</f>
        <v/>
      </c>
      <c r="E53" s="66">
        <f>IFERROR(COUNTIFS(Signals!$A:$A,$A53,Signals!$E:$E,"&gt;=0.50",Signals!$E:$E,"&lt;0.60",Signals!$N:$N,"YES")/(COUNTIFS(Signals!$A:$A,$A53,Signals!$E:$E,"&gt;=0.50",Signals!$E:$E,"&lt;0.60",Signals!$N:$N,"YES")+COUNTIFS(Signals!$A:$A,$A53,Signals!$E:$E,"&gt;=0.50",Signals!$E:$E,"&lt;0.60",Signals!$N:$N,"NO")),"")</f>
        <v/>
      </c>
      <c r="F53" s="65">
        <f>COUNTIFS(Signals!$A:$A,$A53,Signals!$E:$E,"&gt;=0.50",Signals!$E:$E,"&lt;0.60",Signals!$N:$N,"YES")+COUNTIFS(Signals!$A:$A,$A53,Signals!$E:$E,"&gt;=0.50",Signals!$E:$E,"&lt;0.60",Signals!$N:$N,"NO")</f>
        <v/>
      </c>
      <c r="G53" s="66">
        <f>IFERROR(COUNTIFS(Signals!$A:$A,$A53,Signals!$E:$E,"&gt;=0.60",Signals!$E:$E,"&lt;0.70",Signals!$N:$N,"YES")/(COUNTIFS(Signals!$A:$A,$A53,Signals!$E:$E,"&gt;=0.60",Signals!$E:$E,"&lt;0.70",Signals!$N:$N,"YES")+COUNTIFS(Signals!$A:$A,$A53,Signals!$E:$E,"&gt;=0.60",Signals!$E:$E,"&lt;0.70",Signals!$N:$N,"NO")),"")</f>
        <v/>
      </c>
      <c r="H53" s="65">
        <f>COUNTIFS(Signals!$A:$A,$A53,Signals!$E:$E,"&gt;=0.60",Signals!$E:$E,"&lt;0.70",Signals!$N:$N,"YES")+COUNTIFS(Signals!$A:$A,$A53,Signals!$E:$E,"&gt;=0.60",Signals!$E:$E,"&lt;0.70",Signals!$N:$N,"NO")</f>
        <v/>
      </c>
      <c r="I53" s="67">
        <f>IF(B53=0,"insufficient data",IF(AND(E53&gt;C53,E53&gt;G53),"✓ YES","NO"))</f>
        <v/>
      </c>
    </row>
    <row r="54" ht="15" customHeight="1">
      <c r="A54" s="90" t="inlineStr">
        <is>
          <t>2026-06-16</t>
        </is>
      </c>
      <c r="B54" s="65">
        <f>COUNTIFS(Signals!$A:$A,$A54,Signals!$N:$N,"YES")+COUNTIFS(Signals!$A:$A,$A54,Signals!$N:$N,"NO")</f>
        <v/>
      </c>
      <c r="C54" s="66">
        <f>IFERROR(COUNTIFS(Signals!$A:$A,$A54,Signals!$E:$E,"&gt;=0.40",Signals!$E:$E,"&lt;0.50",Signals!$N:$N,"YES")/(COUNTIFS(Signals!$A:$A,$A54,Signals!$E:$E,"&gt;=0.40",Signals!$E:$E,"&lt;0.50",Signals!$N:$N,"YES")+COUNTIFS(Signals!$A:$A,$A54,Signals!$E:$E,"&gt;=0.40",Signals!$E:$E,"&lt;0.50",Signals!$N:$N,"NO")),"")</f>
        <v/>
      </c>
      <c r="D54" s="65">
        <f>COUNTIFS(Signals!$A:$A,$A54,Signals!$E:$E,"&gt;=0.40",Signals!$E:$E,"&lt;0.50",Signals!$N:$N,"YES")+COUNTIFS(Signals!$A:$A,$A54,Signals!$E:$E,"&gt;=0.40",Signals!$E:$E,"&lt;0.50",Signals!$N:$N,"NO")</f>
        <v/>
      </c>
      <c r="E54" s="66">
        <f>IFERROR(COUNTIFS(Signals!$A:$A,$A54,Signals!$E:$E,"&gt;=0.50",Signals!$E:$E,"&lt;0.60",Signals!$N:$N,"YES")/(COUNTIFS(Signals!$A:$A,$A54,Signals!$E:$E,"&gt;=0.50",Signals!$E:$E,"&lt;0.60",Signals!$N:$N,"YES")+COUNTIFS(Signals!$A:$A,$A54,Signals!$E:$E,"&gt;=0.50",Signals!$E:$E,"&lt;0.60",Signals!$N:$N,"NO")),"")</f>
        <v/>
      </c>
      <c r="F54" s="65">
        <f>COUNTIFS(Signals!$A:$A,$A54,Signals!$E:$E,"&gt;=0.50",Signals!$E:$E,"&lt;0.60",Signals!$N:$N,"YES")+COUNTIFS(Signals!$A:$A,$A54,Signals!$E:$E,"&gt;=0.50",Signals!$E:$E,"&lt;0.60",Signals!$N:$N,"NO")</f>
        <v/>
      </c>
      <c r="G54" s="66">
        <f>IFERROR(COUNTIFS(Signals!$A:$A,$A54,Signals!$E:$E,"&gt;=0.60",Signals!$E:$E,"&lt;0.70",Signals!$N:$N,"YES")/(COUNTIFS(Signals!$A:$A,$A54,Signals!$E:$E,"&gt;=0.60",Signals!$E:$E,"&lt;0.70",Signals!$N:$N,"YES")+COUNTIFS(Signals!$A:$A,$A54,Signals!$E:$E,"&gt;=0.60",Signals!$E:$E,"&lt;0.70",Signals!$N:$N,"NO")),"")</f>
        <v/>
      </c>
      <c r="H54" s="65">
        <f>COUNTIFS(Signals!$A:$A,$A54,Signals!$E:$E,"&gt;=0.60",Signals!$E:$E,"&lt;0.70",Signals!$N:$N,"YES")+COUNTIFS(Signals!$A:$A,$A54,Signals!$E:$E,"&gt;=0.60",Signals!$E:$E,"&lt;0.70",Signals!$N:$N,"NO")</f>
        <v/>
      </c>
      <c r="I54" s="67">
        <f>IF(B54=0,"insufficient data",IF(AND(E54&gt;C54,E54&gt;G54),"✓ YES","NO"))</f>
        <v/>
      </c>
    </row>
    <row r="55" ht="15" customHeight="1">
      <c r="A55" s="90" t="inlineStr">
        <is>
          <t>2026-06-17</t>
        </is>
      </c>
      <c r="B55" s="65">
        <f>COUNTIFS(Signals!$A:$A,$A55,Signals!$N:$N,"YES")+COUNTIFS(Signals!$A:$A,$A55,Signals!$N:$N,"NO")</f>
        <v/>
      </c>
      <c r="C55" s="66">
        <f>IFERROR(COUNTIFS(Signals!$A:$A,$A55,Signals!$E:$E,"&gt;=0.40",Signals!$E:$E,"&lt;0.50",Signals!$N:$N,"YES")/(COUNTIFS(Signals!$A:$A,$A55,Signals!$E:$E,"&gt;=0.40",Signals!$E:$E,"&lt;0.50",Signals!$N:$N,"YES")+COUNTIFS(Signals!$A:$A,$A55,Signals!$E:$E,"&gt;=0.40",Signals!$E:$E,"&lt;0.50",Signals!$N:$N,"NO")),"")</f>
        <v/>
      </c>
      <c r="D55" s="65">
        <f>COUNTIFS(Signals!$A:$A,$A55,Signals!$E:$E,"&gt;=0.40",Signals!$E:$E,"&lt;0.50",Signals!$N:$N,"YES")+COUNTIFS(Signals!$A:$A,$A55,Signals!$E:$E,"&gt;=0.40",Signals!$E:$E,"&lt;0.50",Signals!$N:$N,"NO")</f>
        <v/>
      </c>
      <c r="E55" s="66">
        <f>IFERROR(COUNTIFS(Signals!$A:$A,$A55,Signals!$E:$E,"&gt;=0.50",Signals!$E:$E,"&lt;0.60",Signals!$N:$N,"YES")/(COUNTIFS(Signals!$A:$A,$A55,Signals!$E:$E,"&gt;=0.50",Signals!$E:$E,"&lt;0.60",Signals!$N:$N,"YES")+COUNTIFS(Signals!$A:$A,$A55,Signals!$E:$E,"&gt;=0.50",Signals!$E:$E,"&lt;0.60",Signals!$N:$N,"NO")),"")</f>
        <v/>
      </c>
      <c r="F55" s="65">
        <f>COUNTIFS(Signals!$A:$A,$A55,Signals!$E:$E,"&gt;=0.50",Signals!$E:$E,"&lt;0.60",Signals!$N:$N,"YES")+COUNTIFS(Signals!$A:$A,$A55,Signals!$E:$E,"&gt;=0.50",Signals!$E:$E,"&lt;0.60",Signals!$N:$N,"NO")</f>
        <v/>
      </c>
      <c r="G55" s="66">
        <f>IFERROR(COUNTIFS(Signals!$A:$A,$A55,Signals!$E:$E,"&gt;=0.60",Signals!$E:$E,"&lt;0.70",Signals!$N:$N,"YES")/(COUNTIFS(Signals!$A:$A,$A55,Signals!$E:$E,"&gt;=0.60",Signals!$E:$E,"&lt;0.70",Signals!$N:$N,"YES")+COUNTIFS(Signals!$A:$A,$A55,Signals!$E:$E,"&gt;=0.60",Signals!$E:$E,"&lt;0.70",Signals!$N:$N,"NO")),"")</f>
        <v/>
      </c>
      <c r="H55" s="65">
        <f>COUNTIFS(Signals!$A:$A,$A55,Signals!$E:$E,"&gt;=0.60",Signals!$E:$E,"&lt;0.70",Signals!$N:$N,"YES")+COUNTIFS(Signals!$A:$A,$A55,Signals!$E:$E,"&gt;=0.60",Signals!$E:$E,"&lt;0.70",Signals!$N:$N,"NO")</f>
        <v/>
      </c>
      <c r="I55" s="67">
        <f>IF(B55=0,"insufficient data",IF(AND(E55&gt;C55,E55&gt;G55),"✓ YES","NO"))</f>
        <v/>
      </c>
    </row>
    <row r="56" ht="15" customHeight="1">
      <c r="A56" s="90" t="inlineStr">
        <is>
          <t>2026-06-18</t>
        </is>
      </c>
      <c r="B56" s="65">
        <f>COUNTIFS(Signals!$A:$A,$A56,Signals!$N:$N,"YES")+COUNTIFS(Signals!$A:$A,$A56,Signals!$N:$N,"NO")</f>
        <v/>
      </c>
      <c r="C56" s="66">
        <f>IFERROR(COUNTIFS(Signals!$A:$A,$A56,Signals!$E:$E,"&gt;=0.40",Signals!$E:$E,"&lt;0.50",Signals!$N:$N,"YES")/(COUNTIFS(Signals!$A:$A,$A56,Signals!$E:$E,"&gt;=0.40",Signals!$E:$E,"&lt;0.50",Signals!$N:$N,"YES")+COUNTIFS(Signals!$A:$A,$A56,Signals!$E:$E,"&gt;=0.40",Signals!$E:$E,"&lt;0.50",Signals!$N:$N,"NO")),"")</f>
        <v/>
      </c>
      <c r="D56" s="65">
        <f>COUNTIFS(Signals!$A:$A,$A56,Signals!$E:$E,"&gt;=0.40",Signals!$E:$E,"&lt;0.50",Signals!$N:$N,"YES")+COUNTIFS(Signals!$A:$A,$A56,Signals!$E:$E,"&gt;=0.40",Signals!$E:$E,"&lt;0.50",Signals!$N:$N,"NO")</f>
        <v/>
      </c>
      <c r="E56" s="66">
        <f>IFERROR(COUNTIFS(Signals!$A:$A,$A56,Signals!$E:$E,"&gt;=0.50",Signals!$E:$E,"&lt;0.60",Signals!$N:$N,"YES")/(COUNTIFS(Signals!$A:$A,$A56,Signals!$E:$E,"&gt;=0.50",Signals!$E:$E,"&lt;0.60",Signals!$N:$N,"YES")+COUNTIFS(Signals!$A:$A,$A56,Signals!$E:$E,"&gt;=0.50",Signals!$E:$E,"&lt;0.60",Signals!$N:$N,"NO")),"")</f>
        <v/>
      </c>
      <c r="F56" s="65">
        <f>COUNTIFS(Signals!$A:$A,$A56,Signals!$E:$E,"&gt;=0.50",Signals!$E:$E,"&lt;0.60",Signals!$N:$N,"YES")+COUNTIFS(Signals!$A:$A,$A56,Signals!$E:$E,"&gt;=0.50",Signals!$E:$E,"&lt;0.60",Signals!$N:$N,"NO")</f>
        <v/>
      </c>
      <c r="G56" s="66">
        <f>IFERROR(COUNTIFS(Signals!$A:$A,$A56,Signals!$E:$E,"&gt;=0.60",Signals!$E:$E,"&lt;0.70",Signals!$N:$N,"YES")/(COUNTIFS(Signals!$A:$A,$A56,Signals!$E:$E,"&gt;=0.60",Signals!$E:$E,"&lt;0.70",Signals!$N:$N,"YES")+COUNTIFS(Signals!$A:$A,$A56,Signals!$E:$E,"&gt;=0.60",Signals!$E:$E,"&lt;0.70",Signals!$N:$N,"NO")),"")</f>
        <v/>
      </c>
      <c r="H56" s="65">
        <f>COUNTIFS(Signals!$A:$A,$A56,Signals!$E:$E,"&gt;=0.60",Signals!$E:$E,"&lt;0.70",Signals!$N:$N,"YES")+COUNTIFS(Signals!$A:$A,$A56,Signals!$E:$E,"&gt;=0.60",Signals!$E:$E,"&lt;0.70",Signals!$N:$N,"NO")</f>
        <v/>
      </c>
      <c r="I56" s="67">
        <f>IF(B56=0,"insufficient data",IF(AND(E56&gt;C56,E56&gt;G56),"✓ YES","NO"))</f>
        <v/>
      </c>
    </row>
    <row r="57" ht="15" customHeight="1">
      <c r="A57" s="90" t="inlineStr">
        <is>
          <t>2026-06-22</t>
        </is>
      </c>
      <c r="B57" s="65">
        <f>COUNTIFS(Signals!$A:$A,$A57,Signals!$N:$N,"YES")+COUNTIFS(Signals!$A:$A,$A57,Signals!$N:$N,"NO")</f>
        <v/>
      </c>
      <c r="C57" s="66">
        <f>IFERROR(COUNTIFS(Signals!$A:$A,$A57,Signals!$E:$E,"&gt;=0.40",Signals!$E:$E,"&lt;0.50",Signals!$N:$N,"YES")/(COUNTIFS(Signals!$A:$A,$A57,Signals!$E:$E,"&gt;=0.40",Signals!$E:$E,"&lt;0.50",Signals!$N:$N,"YES")+COUNTIFS(Signals!$A:$A,$A57,Signals!$E:$E,"&gt;=0.40",Signals!$E:$E,"&lt;0.50",Signals!$N:$N,"NO")),"")</f>
        <v/>
      </c>
      <c r="D57" s="65">
        <f>COUNTIFS(Signals!$A:$A,$A57,Signals!$E:$E,"&gt;=0.40",Signals!$E:$E,"&lt;0.50",Signals!$N:$N,"YES")+COUNTIFS(Signals!$A:$A,$A57,Signals!$E:$E,"&gt;=0.40",Signals!$E:$E,"&lt;0.50",Signals!$N:$N,"NO")</f>
        <v/>
      </c>
      <c r="E57" s="66">
        <f>IFERROR(COUNTIFS(Signals!$A:$A,$A57,Signals!$E:$E,"&gt;=0.50",Signals!$E:$E,"&lt;0.60",Signals!$N:$N,"YES")/(COUNTIFS(Signals!$A:$A,$A57,Signals!$E:$E,"&gt;=0.50",Signals!$E:$E,"&lt;0.60",Signals!$N:$N,"YES")+COUNTIFS(Signals!$A:$A,$A57,Signals!$E:$E,"&gt;=0.50",Signals!$E:$E,"&lt;0.60",Signals!$N:$N,"NO")),"")</f>
        <v/>
      </c>
      <c r="F57" s="65">
        <f>COUNTIFS(Signals!$A:$A,$A57,Signals!$E:$E,"&gt;=0.50",Signals!$E:$E,"&lt;0.60",Signals!$N:$N,"YES")+COUNTIFS(Signals!$A:$A,$A57,Signals!$E:$E,"&gt;=0.50",Signals!$E:$E,"&lt;0.60",Signals!$N:$N,"NO")</f>
        <v/>
      </c>
      <c r="G57" s="66">
        <f>IFERROR(COUNTIFS(Signals!$A:$A,$A57,Signals!$E:$E,"&gt;=0.60",Signals!$E:$E,"&lt;0.70",Signals!$N:$N,"YES")/(COUNTIFS(Signals!$A:$A,$A57,Signals!$E:$E,"&gt;=0.60",Signals!$E:$E,"&lt;0.70",Signals!$N:$N,"YES")+COUNTIFS(Signals!$A:$A,$A57,Signals!$E:$E,"&gt;=0.60",Signals!$E:$E,"&lt;0.70",Signals!$N:$N,"NO")),"")</f>
        <v/>
      </c>
      <c r="H57" s="65">
        <f>COUNTIFS(Signals!$A:$A,$A57,Signals!$E:$E,"&gt;=0.60",Signals!$E:$E,"&lt;0.70",Signals!$N:$N,"YES")+COUNTIFS(Signals!$A:$A,$A57,Signals!$E:$E,"&gt;=0.60",Signals!$E:$E,"&lt;0.70",Signals!$N:$N,"NO")</f>
        <v/>
      </c>
      <c r="I57" s="67">
        <f>IF(B57=0,"insufficient data",IF(AND(E57&gt;C57,E57&gt;G57),"✓ YES","NO"))</f>
        <v/>
      </c>
    </row>
    <row r="58" ht="15" customHeight="1">
      <c r="A58" s="90" t="inlineStr">
        <is>
          <t>2026-06-23</t>
        </is>
      </c>
      <c r="B58" s="65">
        <f>COUNTIFS(Signals!$A:$A,$A58,Signals!$N:$N,"YES")+COUNTIFS(Signals!$A:$A,$A58,Signals!$N:$N,"NO")</f>
        <v/>
      </c>
      <c r="C58" s="66">
        <f>IFERROR(COUNTIFS(Signals!$A:$A,$A58,Signals!$E:$E,"&gt;=0.40",Signals!$E:$E,"&lt;0.50",Signals!$N:$N,"YES")/(COUNTIFS(Signals!$A:$A,$A58,Signals!$E:$E,"&gt;=0.40",Signals!$E:$E,"&lt;0.50",Signals!$N:$N,"YES")+COUNTIFS(Signals!$A:$A,$A58,Signals!$E:$E,"&gt;=0.40",Signals!$E:$E,"&lt;0.50",Signals!$N:$N,"NO")),"")</f>
        <v/>
      </c>
      <c r="D58" s="65">
        <f>COUNTIFS(Signals!$A:$A,$A58,Signals!$E:$E,"&gt;=0.40",Signals!$E:$E,"&lt;0.50",Signals!$N:$N,"YES")+COUNTIFS(Signals!$A:$A,$A58,Signals!$E:$E,"&gt;=0.40",Signals!$E:$E,"&lt;0.50",Signals!$N:$N,"NO")</f>
        <v/>
      </c>
      <c r="E58" s="66">
        <f>IFERROR(COUNTIFS(Signals!$A:$A,$A58,Signals!$E:$E,"&gt;=0.50",Signals!$E:$E,"&lt;0.60",Signals!$N:$N,"YES")/(COUNTIFS(Signals!$A:$A,$A58,Signals!$E:$E,"&gt;=0.50",Signals!$E:$E,"&lt;0.60",Signals!$N:$N,"YES")+COUNTIFS(Signals!$A:$A,$A58,Signals!$E:$E,"&gt;=0.50",Signals!$E:$E,"&lt;0.60",Signals!$N:$N,"NO")),"")</f>
        <v/>
      </c>
      <c r="F58" s="65">
        <f>COUNTIFS(Signals!$A:$A,$A58,Signals!$E:$E,"&gt;=0.50",Signals!$E:$E,"&lt;0.60",Signals!$N:$N,"YES")+COUNTIFS(Signals!$A:$A,$A58,Signals!$E:$E,"&gt;=0.50",Signals!$E:$E,"&lt;0.60",Signals!$N:$N,"NO")</f>
        <v/>
      </c>
      <c r="G58" s="66">
        <f>IFERROR(COUNTIFS(Signals!$A:$A,$A58,Signals!$E:$E,"&gt;=0.60",Signals!$E:$E,"&lt;0.70",Signals!$N:$N,"YES")/(COUNTIFS(Signals!$A:$A,$A58,Signals!$E:$E,"&gt;=0.60",Signals!$E:$E,"&lt;0.70",Signals!$N:$N,"YES")+COUNTIFS(Signals!$A:$A,$A58,Signals!$E:$E,"&gt;=0.60",Signals!$E:$E,"&lt;0.70",Signals!$N:$N,"NO")),"")</f>
        <v/>
      </c>
      <c r="H58" s="65">
        <f>COUNTIFS(Signals!$A:$A,$A58,Signals!$E:$E,"&gt;=0.60",Signals!$E:$E,"&lt;0.70",Signals!$N:$N,"YES")+COUNTIFS(Signals!$A:$A,$A58,Signals!$E:$E,"&gt;=0.60",Signals!$E:$E,"&lt;0.70",Signals!$N:$N,"NO")</f>
        <v/>
      </c>
      <c r="I58" s="67">
        <f>IF(B58=0,"insufficient data",IF(AND(E58&gt;C58,E58&gt;G58),"✓ YES","NO"))</f>
        <v/>
      </c>
    </row>
    <row r="59" ht="15" customHeight="1">
      <c r="A59" s="90" t="inlineStr">
        <is>
          <t>2026-06-24</t>
        </is>
      </c>
      <c r="B59" s="65">
        <f>COUNTIFS(Signals!$A:$A,$A59,Signals!$N:$N,"YES")+COUNTIFS(Signals!$A:$A,$A59,Signals!$N:$N,"NO")</f>
        <v/>
      </c>
      <c r="C59" s="66">
        <f>IFERROR(COUNTIFS(Signals!$A:$A,$A59,Signals!$E:$E,"&gt;=0.40",Signals!$E:$E,"&lt;0.50",Signals!$N:$N,"YES")/(COUNTIFS(Signals!$A:$A,$A59,Signals!$E:$E,"&gt;=0.40",Signals!$E:$E,"&lt;0.50",Signals!$N:$N,"YES")+COUNTIFS(Signals!$A:$A,$A59,Signals!$E:$E,"&gt;=0.40",Signals!$E:$E,"&lt;0.50",Signals!$N:$N,"NO")),"")</f>
        <v/>
      </c>
      <c r="D59" s="65">
        <f>COUNTIFS(Signals!$A:$A,$A59,Signals!$E:$E,"&gt;=0.40",Signals!$E:$E,"&lt;0.50",Signals!$N:$N,"YES")+COUNTIFS(Signals!$A:$A,$A59,Signals!$E:$E,"&gt;=0.40",Signals!$E:$E,"&lt;0.50",Signals!$N:$N,"NO")</f>
        <v/>
      </c>
      <c r="E59" s="66">
        <f>IFERROR(COUNTIFS(Signals!$A:$A,$A59,Signals!$E:$E,"&gt;=0.50",Signals!$E:$E,"&lt;0.60",Signals!$N:$N,"YES")/(COUNTIFS(Signals!$A:$A,$A59,Signals!$E:$E,"&gt;=0.50",Signals!$E:$E,"&lt;0.60",Signals!$N:$N,"YES")+COUNTIFS(Signals!$A:$A,$A59,Signals!$E:$E,"&gt;=0.50",Signals!$E:$E,"&lt;0.60",Signals!$N:$N,"NO")),"")</f>
        <v/>
      </c>
      <c r="F59" s="65">
        <f>COUNTIFS(Signals!$A:$A,$A59,Signals!$E:$E,"&gt;=0.50",Signals!$E:$E,"&lt;0.60",Signals!$N:$N,"YES")+COUNTIFS(Signals!$A:$A,$A59,Signals!$E:$E,"&gt;=0.50",Signals!$E:$E,"&lt;0.60",Signals!$N:$N,"NO")</f>
        <v/>
      </c>
      <c r="G59" s="66">
        <f>IFERROR(COUNTIFS(Signals!$A:$A,$A59,Signals!$E:$E,"&gt;=0.60",Signals!$E:$E,"&lt;0.70",Signals!$N:$N,"YES")/(COUNTIFS(Signals!$A:$A,$A59,Signals!$E:$E,"&gt;=0.60",Signals!$E:$E,"&lt;0.70",Signals!$N:$N,"YES")+COUNTIFS(Signals!$A:$A,$A59,Signals!$E:$E,"&gt;=0.60",Signals!$E:$E,"&lt;0.70",Signals!$N:$N,"NO")),"")</f>
        <v/>
      </c>
      <c r="H59" s="65">
        <f>COUNTIFS(Signals!$A:$A,$A59,Signals!$E:$E,"&gt;=0.60",Signals!$E:$E,"&lt;0.70",Signals!$N:$N,"YES")+COUNTIFS(Signals!$A:$A,$A59,Signals!$E:$E,"&gt;=0.60",Signals!$E:$E,"&lt;0.70",Signals!$N:$N,"NO")</f>
        <v/>
      </c>
      <c r="I59" s="67">
        <f>IF(B59=0,"insufficient data",IF(AND(E59&gt;C59,E59&gt;G59),"✓ YES","NO"))</f>
        <v/>
      </c>
    </row>
    <row r="60" ht="15" customHeight="1">
      <c r="A60" s="90" t="inlineStr">
        <is>
          <t>2026-06-25</t>
        </is>
      </c>
      <c r="B60" s="65">
        <f>COUNTIFS(Signals!$A:$A,$A60,Signals!$N:$N,"YES")+COUNTIFS(Signals!$A:$A,$A60,Signals!$N:$N,"NO")</f>
        <v/>
      </c>
      <c r="C60" s="66">
        <f>IFERROR(COUNTIFS(Signals!$A:$A,$A60,Signals!$E:$E,"&gt;=0.40",Signals!$E:$E,"&lt;0.50",Signals!$N:$N,"YES")/(COUNTIFS(Signals!$A:$A,$A60,Signals!$E:$E,"&gt;=0.40",Signals!$E:$E,"&lt;0.50",Signals!$N:$N,"YES")+COUNTIFS(Signals!$A:$A,$A60,Signals!$E:$E,"&gt;=0.40",Signals!$E:$E,"&lt;0.50",Signals!$N:$N,"NO")),"")</f>
        <v/>
      </c>
      <c r="D60" s="65">
        <f>COUNTIFS(Signals!$A:$A,$A60,Signals!$E:$E,"&gt;=0.40",Signals!$E:$E,"&lt;0.50",Signals!$N:$N,"YES")+COUNTIFS(Signals!$A:$A,$A60,Signals!$E:$E,"&gt;=0.40",Signals!$E:$E,"&lt;0.50",Signals!$N:$N,"NO")</f>
        <v/>
      </c>
      <c r="E60" s="66">
        <f>IFERROR(COUNTIFS(Signals!$A:$A,$A60,Signals!$E:$E,"&gt;=0.50",Signals!$E:$E,"&lt;0.60",Signals!$N:$N,"YES")/(COUNTIFS(Signals!$A:$A,$A60,Signals!$E:$E,"&gt;=0.50",Signals!$E:$E,"&lt;0.60",Signals!$N:$N,"YES")+COUNTIFS(Signals!$A:$A,$A60,Signals!$E:$E,"&gt;=0.50",Signals!$E:$E,"&lt;0.60",Signals!$N:$N,"NO")),"")</f>
        <v/>
      </c>
      <c r="F60" s="65">
        <f>COUNTIFS(Signals!$A:$A,$A60,Signals!$E:$E,"&gt;=0.50",Signals!$E:$E,"&lt;0.60",Signals!$N:$N,"YES")+COUNTIFS(Signals!$A:$A,$A60,Signals!$E:$E,"&gt;=0.50",Signals!$E:$E,"&lt;0.60",Signals!$N:$N,"NO")</f>
        <v/>
      </c>
      <c r="G60" s="66">
        <f>IFERROR(COUNTIFS(Signals!$A:$A,$A60,Signals!$E:$E,"&gt;=0.60",Signals!$E:$E,"&lt;0.70",Signals!$N:$N,"YES")/(COUNTIFS(Signals!$A:$A,$A60,Signals!$E:$E,"&gt;=0.60",Signals!$E:$E,"&lt;0.70",Signals!$N:$N,"YES")+COUNTIFS(Signals!$A:$A,$A60,Signals!$E:$E,"&gt;=0.60",Signals!$E:$E,"&lt;0.70",Signals!$N:$N,"NO")),"")</f>
        <v/>
      </c>
      <c r="H60" s="65">
        <f>COUNTIFS(Signals!$A:$A,$A60,Signals!$E:$E,"&gt;=0.60",Signals!$E:$E,"&lt;0.70",Signals!$N:$N,"YES")+COUNTIFS(Signals!$A:$A,$A60,Signals!$E:$E,"&gt;=0.60",Signals!$E:$E,"&lt;0.70",Signals!$N:$N,"NO")</f>
        <v/>
      </c>
      <c r="I60" s="67">
        <f>IF(B60=0,"insufficient data",IF(AND(E60&gt;C60,E60&gt;G60),"✓ YES","NO"))</f>
        <v/>
      </c>
    </row>
    <row r="61" ht="15" customHeight="1">
      <c r="A61" s="90" t="inlineStr">
        <is>
          <t>2026-06-26</t>
        </is>
      </c>
      <c r="B61" s="65">
        <f>COUNTIFS(Signals!$A:$A,$A61,Signals!$N:$N,"YES")+COUNTIFS(Signals!$A:$A,$A61,Signals!$N:$N,"NO")</f>
        <v/>
      </c>
      <c r="C61" s="66">
        <f>IFERROR(COUNTIFS(Signals!$A:$A,$A61,Signals!$E:$E,"&gt;=0.40",Signals!$E:$E,"&lt;0.50",Signals!$N:$N,"YES")/(COUNTIFS(Signals!$A:$A,$A61,Signals!$E:$E,"&gt;=0.40",Signals!$E:$E,"&lt;0.50",Signals!$N:$N,"YES")+COUNTIFS(Signals!$A:$A,$A61,Signals!$E:$E,"&gt;=0.40",Signals!$E:$E,"&lt;0.50",Signals!$N:$N,"NO")),"")</f>
        <v/>
      </c>
      <c r="D61" s="65">
        <f>COUNTIFS(Signals!$A:$A,$A61,Signals!$E:$E,"&gt;=0.40",Signals!$E:$E,"&lt;0.50",Signals!$N:$N,"YES")+COUNTIFS(Signals!$A:$A,$A61,Signals!$E:$E,"&gt;=0.40",Signals!$E:$E,"&lt;0.50",Signals!$N:$N,"NO")</f>
        <v/>
      </c>
      <c r="E61" s="66">
        <f>IFERROR(COUNTIFS(Signals!$A:$A,$A61,Signals!$E:$E,"&gt;=0.50",Signals!$E:$E,"&lt;0.60",Signals!$N:$N,"YES")/(COUNTIFS(Signals!$A:$A,$A61,Signals!$E:$E,"&gt;=0.50",Signals!$E:$E,"&lt;0.60",Signals!$N:$N,"YES")+COUNTIFS(Signals!$A:$A,$A61,Signals!$E:$E,"&gt;=0.50",Signals!$E:$E,"&lt;0.60",Signals!$N:$N,"NO")),"")</f>
        <v/>
      </c>
      <c r="F61" s="65">
        <f>COUNTIFS(Signals!$A:$A,$A61,Signals!$E:$E,"&gt;=0.50",Signals!$E:$E,"&lt;0.60",Signals!$N:$N,"YES")+COUNTIFS(Signals!$A:$A,$A61,Signals!$E:$E,"&gt;=0.50",Signals!$E:$E,"&lt;0.60",Signals!$N:$N,"NO")</f>
        <v/>
      </c>
      <c r="G61" s="66">
        <f>IFERROR(COUNTIFS(Signals!$A:$A,$A61,Signals!$E:$E,"&gt;=0.60",Signals!$E:$E,"&lt;0.70",Signals!$N:$N,"YES")/(COUNTIFS(Signals!$A:$A,$A61,Signals!$E:$E,"&gt;=0.60",Signals!$E:$E,"&lt;0.70",Signals!$N:$N,"YES")+COUNTIFS(Signals!$A:$A,$A61,Signals!$E:$E,"&gt;=0.60",Signals!$E:$E,"&lt;0.70",Signals!$N:$N,"NO")),"")</f>
        <v/>
      </c>
      <c r="H61" s="65">
        <f>COUNTIFS(Signals!$A:$A,$A61,Signals!$E:$E,"&gt;=0.60",Signals!$E:$E,"&lt;0.70",Signals!$N:$N,"YES")+COUNTIFS(Signals!$A:$A,$A61,Signals!$E:$E,"&gt;=0.60",Signals!$E:$E,"&lt;0.70",Signals!$N:$N,"NO")</f>
        <v/>
      </c>
      <c r="I61" s="67">
        <f>IF(B61=0,"insufficient data",IF(AND(E61&gt;C61,E61&gt;G61),"✓ YES","NO"))</f>
        <v/>
      </c>
    </row>
    <row r="62" ht="15" customHeight="1">
      <c r="A62" s="90" t="inlineStr">
        <is>
          <t>2026-06-29</t>
        </is>
      </c>
      <c r="B62" s="65">
        <f>COUNTIFS(Signals!$A:$A,$A62,Signals!$N:$N,"YES")+COUNTIFS(Signals!$A:$A,$A62,Signals!$N:$N,"NO")</f>
        <v/>
      </c>
      <c r="C62" s="66">
        <f>IFERROR(COUNTIFS(Signals!$A:$A,$A62,Signals!$E:$E,"&gt;=0.40",Signals!$E:$E,"&lt;0.50",Signals!$N:$N,"YES")/(COUNTIFS(Signals!$A:$A,$A62,Signals!$E:$E,"&gt;=0.40",Signals!$E:$E,"&lt;0.50",Signals!$N:$N,"YES")+COUNTIFS(Signals!$A:$A,$A62,Signals!$E:$E,"&gt;=0.40",Signals!$E:$E,"&lt;0.50",Signals!$N:$N,"NO")),"")</f>
        <v/>
      </c>
      <c r="D62" s="65">
        <f>COUNTIFS(Signals!$A:$A,$A62,Signals!$E:$E,"&gt;=0.40",Signals!$E:$E,"&lt;0.50",Signals!$N:$N,"YES")+COUNTIFS(Signals!$A:$A,$A62,Signals!$E:$E,"&gt;=0.40",Signals!$E:$E,"&lt;0.50",Signals!$N:$N,"NO")</f>
        <v/>
      </c>
      <c r="E62" s="66">
        <f>IFERROR(COUNTIFS(Signals!$A:$A,$A62,Signals!$E:$E,"&gt;=0.50",Signals!$E:$E,"&lt;0.60",Signals!$N:$N,"YES")/(COUNTIFS(Signals!$A:$A,$A62,Signals!$E:$E,"&gt;=0.50",Signals!$E:$E,"&lt;0.60",Signals!$N:$N,"YES")+COUNTIFS(Signals!$A:$A,$A62,Signals!$E:$E,"&gt;=0.50",Signals!$E:$E,"&lt;0.60",Signals!$N:$N,"NO")),"")</f>
        <v/>
      </c>
      <c r="F62" s="65">
        <f>COUNTIFS(Signals!$A:$A,$A62,Signals!$E:$E,"&gt;=0.50",Signals!$E:$E,"&lt;0.60",Signals!$N:$N,"YES")+COUNTIFS(Signals!$A:$A,$A62,Signals!$E:$E,"&gt;=0.50",Signals!$E:$E,"&lt;0.60",Signals!$N:$N,"NO")</f>
        <v/>
      </c>
      <c r="G62" s="66">
        <f>IFERROR(COUNTIFS(Signals!$A:$A,$A62,Signals!$E:$E,"&gt;=0.60",Signals!$E:$E,"&lt;0.70",Signals!$N:$N,"YES")/(COUNTIFS(Signals!$A:$A,$A62,Signals!$E:$E,"&gt;=0.60",Signals!$E:$E,"&lt;0.70",Signals!$N:$N,"YES")+COUNTIFS(Signals!$A:$A,$A62,Signals!$E:$E,"&gt;=0.60",Signals!$E:$E,"&lt;0.70",Signals!$N:$N,"NO")),"")</f>
        <v/>
      </c>
      <c r="H62" s="65">
        <f>COUNTIFS(Signals!$A:$A,$A62,Signals!$E:$E,"&gt;=0.60",Signals!$E:$E,"&lt;0.70",Signals!$N:$N,"YES")+COUNTIFS(Signals!$A:$A,$A62,Signals!$E:$E,"&gt;=0.60",Signals!$E:$E,"&lt;0.70",Signals!$N:$N,"NO")</f>
        <v/>
      </c>
      <c r="I62" s="67">
        <f>IF(B62=0,"insufficient data",IF(AND(E62&gt;C62,E62&gt;G62),"✓ YES","NO"))</f>
        <v/>
      </c>
    </row>
    <row r="63" ht="15" customHeight="1">
      <c r="A63" s="90" t="inlineStr">
        <is>
          <t>2026-06-30</t>
        </is>
      </c>
      <c r="B63" s="65">
        <f>COUNTIFS(Signals!$A:$A,$A63,Signals!$N:$N,"YES")+COUNTIFS(Signals!$A:$A,$A63,Signals!$N:$N,"NO")</f>
        <v/>
      </c>
      <c r="C63" s="66">
        <f>IFERROR(COUNTIFS(Signals!$A:$A,$A63,Signals!$E:$E,"&gt;=0.40",Signals!$E:$E,"&lt;0.50",Signals!$N:$N,"YES")/(COUNTIFS(Signals!$A:$A,$A63,Signals!$E:$E,"&gt;=0.40",Signals!$E:$E,"&lt;0.50",Signals!$N:$N,"YES")+COUNTIFS(Signals!$A:$A,$A63,Signals!$E:$E,"&gt;=0.40",Signals!$E:$E,"&lt;0.50",Signals!$N:$N,"NO")),"")</f>
        <v/>
      </c>
      <c r="D63" s="65">
        <f>COUNTIFS(Signals!$A:$A,$A63,Signals!$E:$E,"&gt;=0.40",Signals!$E:$E,"&lt;0.50",Signals!$N:$N,"YES")+COUNTIFS(Signals!$A:$A,$A63,Signals!$E:$E,"&gt;=0.40",Signals!$E:$E,"&lt;0.50",Signals!$N:$N,"NO")</f>
        <v/>
      </c>
      <c r="E63" s="66">
        <f>IFERROR(COUNTIFS(Signals!$A:$A,$A63,Signals!$E:$E,"&gt;=0.50",Signals!$E:$E,"&lt;0.60",Signals!$N:$N,"YES")/(COUNTIFS(Signals!$A:$A,$A63,Signals!$E:$E,"&gt;=0.50",Signals!$E:$E,"&lt;0.60",Signals!$N:$N,"YES")+COUNTIFS(Signals!$A:$A,$A63,Signals!$E:$E,"&gt;=0.50",Signals!$E:$E,"&lt;0.60",Signals!$N:$N,"NO")),"")</f>
        <v/>
      </c>
      <c r="F63" s="65">
        <f>COUNTIFS(Signals!$A:$A,$A63,Signals!$E:$E,"&gt;=0.50",Signals!$E:$E,"&lt;0.60",Signals!$N:$N,"YES")+COUNTIFS(Signals!$A:$A,$A63,Signals!$E:$E,"&gt;=0.50",Signals!$E:$E,"&lt;0.60",Signals!$N:$N,"NO")</f>
        <v/>
      </c>
      <c r="G63" s="66">
        <f>IFERROR(COUNTIFS(Signals!$A:$A,$A63,Signals!$E:$E,"&gt;=0.60",Signals!$E:$E,"&lt;0.70",Signals!$N:$N,"YES")/(COUNTIFS(Signals!$A:$A,$A63,Signals!$E:$E,"&gt;=0.60",Signals!$E:$E,"&lt;0.70",Signals!$N:$N,"YES")+COUNTIFS(Signals!$A:$A,$A63,Signals!$E:$E,"&gt;=0.60",Signals!$E:$E,"&lt;0.70",Signals!$N:$N,"NO")),"")</f>
        <v/>
      </c>
      <c r="H63" s="65">
        <f>COUNTIFS(Signals!$A:$A,$A63,Signals!$E:$E,"&gt;=0.60",Signals!$E:$E,"&lt;0.70",Signals!$N:$N,"YES")+COUNTIFS(Signals!$A:$A,$A63,Signals!$E:$E,"&gt;=0.60",Signals!$E:$E,"&lt;0.70",Signals!$N:$N,"NO")</f>
        <v/>
      </c>
      <c r="I63" s="67">
        <f>IF(B63=0,"insufficient data",IF(AND(E63&gt;C63,E63&gt;G63),"✓ YES","NO"))</f>
        <v/>
      </c>
    </row>
    <row r="64" ht="15" customHeight="1">
      <c r="A64" s="90" t="inlineStr">
        <is>
          <t>2026-07-01</t>
        </is>
      </c>
      <c r="B64" s="65">
        <f>COUNTIFS(Signals!$A:$A,$A64,Signals!$N:$N,"YES")+COUNTIFS(Signals!$A:$A,$A64,Signals!$N:$N,"NO")</f>
        <v/>
      </c>
      <c r="C64" s="66">
        <f>IFERROR(COUNTIFS(Signals!$A:$A,$A64,Signals!$E:$E,"&gt;=0.40",Signals!$E:$E,"&lt;0.50",Signals!$N:$N,"YES")/(COUNTIFS(Signals!$A:$A,$A64,Signals!$E:$E,"&gt;=0.40",Signals!$E:$E,"&lt;0.50",Signals!$N:$N,"YES")+COUNTIFS(Signals!$A:$A,$A64,Signals!$E:$E,"&gt;=0.40",Signals!$E:$E,"&lt;0.50",Signals!$N:$N,"NO")),"")</f>
        <v/>
      </c>
      <c r="D64" s="65">
        <f>COUNTIFS(Signals!$A:$A,$A64,Signals!$E:$E,"&gt;=0.40",Signals!$E:$E,"&lt;0.50",Signals!$N:$N,"YES")+COUNTIFS(Signals!$A:$A,$A64,Signals!$E:$E,"&gt;=0.40",Signals!$E:$E,"&lt;0.50",Signals!$N:$N,"NO")</f>
        <v/>
      </c>
      <c r="E64" s="66">
        <f>IFERROR(COUNTIFS(Signals!$A:$A,$A64,Signals!$E:$E,"&gt;=0.50",Signals!$E:$E,"&lt;0.60",Signals!$N:$N,"YES")/(COUNTIFS(Signals!$A:$A,$A64,Signals!$E:$E,"&gt;=0.50",Signals!$E:$E,"&lt;0.60",Signals!$N:$N,"YES")+COUNTIFS(Signals!$A:$A,$A64,Signals!$E:$E,"&gt;=0.50",Signals!$E:$E,"&lt;0.60",Signals!$N:$N,"NO")),"")</f>
        <v/>
      </c>
      <c r="F64" s="65">
        <f>COUNTIFS(Signals!$A:$A,$A64,Signals!$E:$E,"&gt;=0.50",Signals!$E:$E,"&lt;0.60",Signals!$N:$N,"YES")+COUNTIFS(Signals!$A:$A,$A64,Signals!$E:$E,"&gt;=0.50",Signals!$E:$E,"&lt;0.60",Signals!$N:$N,"NO")</f>
        <v/>
      </c>
      <c r="G64" s="66">
        <f>IFERROR(COUNTIFS(Signals!$A:$A,$A64,Signals!$E:$E,"&gt;=0.60",Signals!$E:$E,"&lt;0.70",Signals!$N:$N,"YES")/(COUNTIFS(Signals!$A:$A,$A64,Signals!$E:$E,"&gt;=0.60",Signals!$E:$E,"&lt;0.70",Signals!$N:$N,"YES")+COUNTIFS(Signals!$A:$A,$A64,Signals!$E:$E,"&gt;=0.60",Signals!$E:$E,"&lt;0.70",Signals!$N:$N,"NO")),"")</f>
        <v/>
      </c>
      <c r="H64" s="65">
        <f>COUNTIFS(Signals!$A:$A,$A64,Signals!$E:$E,"&gt;=0.60",Signals!$E:$E,"&lt;0.70",Signals!$N:$N,"YES")+COUNTIFS(Signals!$A:$A,$A64,Signals!$E:$E,"&gt;=0.60",Signals!$E:$E,"&lt;0.70",Signals!$N:$N,"NO")</f>
        <v/>
      </c>
      <c r="I64" s="67">
        <f>IF(B64=0,"insufficient data",IF(AND(E64&gt;C64,E64&gt;G64),"✓ YES","NO"))</f>
        <v/>
      </c>
    </row>
    <row r="65" ht="15" customHeight="1">
      <c r="A65" s="90" t="inlineStr">
        <is>
          <t>2026-07-02</t>
        </is>
      </c>
      <c r="B65" s="65">
        <f>COUNTIFS(Signals!$A:$A,$A65,Signals!$N:$N,"YES")+COUNTIFS(Signals!$A:$A,$A65,Signals!$N:$N,"NO")</f>
        <v/>
      </c>
      <c r="C65" s="66">
        <f>IFERROR(COUNTIFS(Signals!$A:$A,$A65,Signals!$E:$E,"&gt;=0.40",Signals!$E:$E,"&lt;0.50",Signals!$N:$N,"YES")/(COUNTIFS(Signals!$A:$A,$A65,Signals!$E:$E,"&gt;=0.40",Signals!$E:$E,"&lt;0.50",Signals!$N:$N,"YES")+COUNTIFS(Signals!$A:$A,$A65,Signals!$E:$E,"&gt;=0.40",Signals!$E:$E,"&lt;0.50",Signals!$N:$N,"NO")),"")</f>
        <v/>
      </c>
      <c r="D65" s="65">
        <f>COUNTIFS(Signals!$A:$A,$A65,Signals!$E:$E,"&gt;=0.40",Signals!$E:$E,"&lt;0.50",Signals!$N:$N,"YES")+COUNTIFS(Signals!$A:$A,$A65,Signals!$E:$E,"&gt;=0.40",Signals!$E:$E,"&lt;0.50",Signals!$N:$N,"NO")</f>
        <v/>
      </c>
      <c r="E65" s="66">
        <f>IFERROR(COUNTIFS(Signals!$A:$A,$A65,Signals!$E:$E,"&gt;=0.50",Signals!$E:$E,"&lt;0.60",Signals!$N:$N,"YES")/(COUNTIFS(Signals!$A:$A,$A65,Signals!$E:$E,"&gt;=0.50",Signals!$E:$E,"&lt;0.60",Signals!$N:$N,"YES")+COUNTIFS(Signals!$A:$A,$A65,Signals!$E:$E,"&gt;=0.50",Signals!$E:$E,"&lt;0.60",Signals!$N:$N,"NO")),"")</f>
        <v/>
      </c>
      <c r="F65" s="65">
        <f>COUNTIFS(Signals!$A:$A,$A65,Signals!$E:$E,"&gt;=0.50",Signals!$E:$E,"&lt;0.60",Signals!$N:$N,"YES")+COUNTIFS(Signals!$A:$A,$A65,Signals!$E:$E,"&gt;=0.50",Signals!$E:$E,"&lt;0.60",Signals!$N:$N,"NO")</f>
        <v/>
      </c>
      <c r="G65" s="66">
        <f>IFERROR(COUNTIFS(Signals!$A:$A,$A65,Signals!$E:$E,"&gt;=0.60",Signals!$E:$E,"&lt;0.70",Signals!$N:$N,"YES")/(COUNTIFS(Signals!$A:$A,$A65,Signals!$E:$E,"&gt;=0.60",Signals!$E:$E,"&lt;0.70",Signals!$N:$N,"YES")+COUNTIFS(Signals!$A:$A,$A65,Signals!$E:$E,"&gt;=0.60",Signals!$E:$E,"&lt;0.70",Signals!$N:$N,"NO")),"")</f>
        <v/>
      </c>
      <c r="H65" s="65">
        <f>COUNTIFS(Signals!$A:$A,$A65,Signals!$E:$E,"&gt;=0.60",Signals!$E:$E,"&lt;0.70",Signals!$N:$N,"YES")+COUNTIFS(Signals!$A:$A,$A65,Signals!$E:$E,"&gt;=0.60",Signals!$E:$E,"&lt;0.70",Signals!$N:$N,"NO")</f>
        <v/>
      </c>
      <c r="I65" s="67">
        <f>IF(B65=0,"insufficient data",IF(AND(E65&gt;C65,E65&gt;G65),"✓ YES","NO"))</f>
        <v/>
      </c>
    </row>
    <row r="66" ht="15" customHeight="1">
      <c r="A66" s="90" t="inlineStr">
        <is>
          <t>2026-07-06</t>
        </is>
      </c>
      <c r="B66" s="65">
        <f>COUNTIFS(Signals!$A:$A,$A66,Signals!$N:$N,"YES")+COUNTIFS(Signals!$A:$A,$A66,Signals!$N:$N,"NO")</f>
        <v/>
      </c>
      <c r="C66" s="66">
        <f>IFERROR(COUNTIFS(Signals!$A:$A,$A66,Signals!$E:$E,"&gt;=0.40",Signals!$E:$E,"&lt;0.50",Signals!$N:$N,"YES")/(COUNTIFS(Signals!$A:$A,$A66,Signals!$E:$E,"&gt;=0.40",Signals!$E:$E,"&lt;0.50",Signals!$N:$N,"YES")+COUNTIFS(Signals!$A:$A,$A66,Signals!$E:$E,"&gt;=0.40",Signals!$E:$E,"&lt;0.50",Signals!$N:$N,"NO")),"")</f>
        <v/>
      </c>
      <c r="D66" s="65">
        <f>COUNTIFS(Signals!$A:$A,$A66,Signals!$E:$E,"&gt;=0.40",Signals!$E:$E,"&lt;0.50",Signals!$N:$N,"YES")+COUNTIFS(Signals!$A:$A,$A66,Signals!$E:$E,"&gt;=0.40",Signals!$E:$E,"&lt;0.50",Signals!$N:$N,"NO")</f>
        <v/>
      </c>
      <c r="E66" s="66">
        <f>IFERROR(COUNTIFS(Signals!$A:$A,$A66,Signals!$E:$E,"&gt;=0.50",Signals!$E:$E,"&lt;0.60",Signals!$N:$N,"YES")/(COUNTIFS(Signals!$A:$A,$A66,Signals!$E:$E,"&gt;=0.50",Signals!$E:$E,"&lt;0.60",Signals!$N:$N,"YES")+COUNTIFS(Signals!$A:$A,$A66,Signals!$E:$E,"&gt;=0.50",Signals!$E:$E,"&lt;0.60",Signals!$N:$N,"NO")),"")</f>
        <v/>
      </c>
      <c r="F66" s="65">
        <f>COUNTIFS(Signals!$A:$A,$A66,Signals!$E:$E,"&gt;=0.50",Signals!$E:$E,"&lt;0.60",Signals!$N:$N,"YES")+COUNTIFS(Signals!$A:$A,$A66,Signals!$E:$E,"&gt;=0.50",Signals!$E:$E,"&lt;0.60",Signals!$N:$N,"NO")</f>
        <v/>
      </c>
      <c r="G66" s="66">
        <f>IFERROR(COUNTIFS(Signals!$A:$A,$A66,Signals!$E:$E,"&gt;=0.60",Signals!$E:$E,"&lt;0.70",Signals!$N:$N,"YES")/(COUNTIFS(Signals!$A:$A,$A66,Signals!$E:$E,"&gt;=0.60",Signals!$E:$E,"&lt;0.70",Signals!$N:$N,"YES")+COUNTIFS(Signals!$A:$A,$A66,Signals!$E:$E,"&gt;=0.60",Signals!$E:$E,"&lt;0.70",Signals!$N:$N,"NO")),"")</f>
        <v/>
      </c>
      <c r="H66" s="65">
        <f>COUNTIFS(Signals!$A:$A,$A66,Signals!$E:$E,"&gt;=0.60",Signals!$E:$E,"&lt;0.70",Signals!$N:$N,"YES")+COUNTIFS(Signals!$A:$A,$A66,Signals!$E:$E,"&gt;=0.60",Signals!$E:$E,"&lt;0.70",Signals!$N:$N,"NO")</f>
        <v/>
      </c>
      <c r="I66" s="67">
        <f>IF(B66=0,"insufficient data",IF(AND(E66&gt;C66,E66&gt;G66),"✓ YES","NO"))</f>
        <v/>
      </c>
    </row>
    <row r="67" ht="15" customHeight="1">
      <c r="A67" s="90" t="inlineStr">
        <is>
          <t>2026-07-07</t>
        </is>
      </c>
      <c r="B67" s="65">
        <f>COUNTIFS(Signals!$A:$A,$A67,Signals!$N:$N,"YES")+COUNTIFS(Signals!$A:$A,$A67,Signals!$N:$N,"NO")</f>
        <v/>
      </c>
      <c r="C67" s="66">
        <f>IFERROR(COUNTIFS(Signals!$A:$A,$A67,Signals!$E:$E,"&gt;=0.40",Signals!$E:$E,"&lt;0.50",Signals!$N:$N,"YES")/(COUNTIFS(Signals!$A:$A,$A67,Signals!$E:$E,"&gt;=0.40",Signals!$E:$E,"&lt;0.50",Signals!$N:$N,"YES")+COUNTIFS(Signals!$A:$A,$A67,Signals!$E:$E,"&gt;=0.40",Signals!$E:$E,"&lt;0.50",Signals!$N:$N,"NO")),"")</f>
        <v/>
      </c>
      <c r="D67" s="65">
        <f>COUNTIFS(Signals!$A:$A,$A67,Signals!$E:$E,"&gt;=0.40",Signals!$E:$E,"&lt;0.50",Signals!$N:$N,"YES")+COUNTIFS(Signals!$A:$A,$A67,Signals!$E:$E,"&gt;=0.40",Signals!$E:$E,"&lt;0.50",Signals!$N:$N,"NO")</f>
        <v/>
      </c>
      <c r="E67" s="66">
        <f>IFERROR(COUNTIFS(Signals!$A:$A,$A67,Signals!$E:$E,"&gt;=0.50",Signals!$E:$E,"&lt;0.60",Signals!$N:$N,"YES")/(COUNTIFS(Signals!$A:$A,$A67,Signals!$E:$E,"&gt;=0.50",Signals!$E:$E,"&lt;0.60",Signals!$N:$N,"YES")+COUNTIFS(Signals!$A:$A,$A67,Signals!$E:$E,"&gt;=0.50",Signals!$E:$E,"&lt;0.60",Signals!$N:$N,"NO")),"")</f>
        <v/>
      </c>
      <c r="F67" s="65">
        <f>COUNTIFS(Signals!$A:$A,$A67,Signals!$E:$E,"&gt;=0.50",Signals!$E:$E,"&lt;0.60",Signals!$N:$N,"YES")+COUNTIFS(Signals!$A:$A,$A67,Signals!$E:$E,"&gt;=0.50",Signals!$E:$E,"&lt;0.60",Signals!$N:$N,"NO")</f>
        <v/>
      </c>
      <c r="G67" s="66">
        <f>IFERROR(COUNTIFS(Signals!$A:$A,$A67,Signals!$E:$E,"&gt;=0.60",Signals!$E:$E,"&lt;0.70",Signals!$N:$N,"YES")/(COUNTIFS(Signals!$A:$A,$A67,Signals!$E:$E,"&gt;=0.60",Signals!$E:$E,"&lt;0.70",Signals!$N:$N,"YES")+COUNTIFS(Signals!$A:$A,$A67,Signals!$E:$E,"&gt;=0.60",Signals!$E:$E,"&lt;0.70",Signals!$N:$N,"NO")),"")</f>
        <v/>
      </c>
      <c r="H67" s="65">
        <f>COUNTIFS(Signals!$A:$A,$A67,Signals!$E:$E,"&gt;=0.60",Signals!$E:$E,"&lt;0.70",Signals!$N:$N,"YES")+COUNTIFS(Signals!$A:$A,$A67,Signals!$E:$E,"&gt;=0.60",Signals!$E:$E,"&lt;0.70",Signals!$N:$N,"NO")</f>
        <v/>
      </c>
      <c r="I67" s="67">
        <f>IF(B67=0,"insufficient data",IF(AND(E67&gt;C67,E67&gt;G67),"✓ YES","NO"))</f>
        <v/>
      </c>
    </row>
    <row r="68" ht="15" customHeight="1">
      <c r="A68" s="90" t="inlineStr">
        <is>
          <t>2026-07-08</t>
        </is>
      </c>
      <c r="B68" s="65">
        <f>COUNTIFS(Signals!$A:$A,$A68,Signals!$N:$N,"YES")+COUNTIFS(Signals!$A:$A,$A68,Signals!$N:$N,"NO")</f>
        <v/>
      </c>
      <c r="C68" s="66">
        <f>IFERROR(COUNTIFS(Signals!$A:$A,$A68,Signals!$E:$E,"&gt;=0.40",Signals!$E:$E,"&lt;0.50",Signals!$N:$N,"YES")/(COUNTIFS(Signals!$A:$A,$A68,Signals!$E:$E,"&gt;=0.40",Signals!$E:$E,"&lt;0.50",Signals!$N:$N,"YES")+COUNTIFS(Signals!$A:$A,$A68,Signals!$E:$E,"&gt;=0.40",Signals!$E:$E,"&lt;0.50",Signals!$N:$N,"NO")),"")</f>
        <v/>
      </c>
      <c r="D68" s="65">
        <f>COUNTIFS(Signals!$A:$A,$A68,Signals!$E:$E,"&gt;=0.40",Signals!$E:$E,"&lt;0.50",Signals!$N:$N,"YES")+COUNTIFS(Signals!$A:$A,$A68,Signals!$E:$E,"&gt;=0.40",Signals!$E:$E,"&lt;0.50",Signals!$N:$N,"NO")</f>
        <v/>
      </c>
      <c r="E68" s="66">
        <f>IFERROR(COUNTIFS(Signals!$A:$A,$A68,Signals!$E:$E,"&gt;=0.50",Signals!$E:$E,"&lt;0.60",Signals!$N:$N,"YES")/(COUNTIFS(Signals!$A:$A,$A68,Signals!$E:$E,"&gt;=0.50",Signals!$E:$E,"&lt;0.60",Signals!$N:$N,"YES")+COUNTIFS(Signals!$A:$A,$A68,Signals!$E:$E,"&gt;=0.50",Signals!$E:$E,"&lt;0.60",Signals!$N:$N,"NO")),"")</f>
        <v/>
      </c>
      <c r="F68" s="65">
        <f>COUNTIFS(Signals!$A:$A,$A68,Signals!$E:$E,"&gt;=0.50",Signals!$E:$E,"&lt;0.60",Signals!$N:$N,"YES")+COUNTIFS(Signals!$A:$A,$A68,Signals!$E:$E,"&gt;=0.50",Signals!$E:$E,"&lt;0.60",Signals!$N:$N,"NO")</f>
        <v/>
      </c>
      <c r="G68" s="66">
        <f>IFERROR(COUNTIFS(Signals!$A:$A,$A68,Signals!$E:$E,"&gt;=0.60",Signals!$E:$E,"&lt;0.70",Signals!$N:$N,"YES")/(COUNTIFS(Signals!$A:$A,$A68,Signals!$E:$E,"&gt;=0.60",Signals!$E:$E,"&lt;0.70",Signals!$N:$N,"YES")+COUNTIFS(Signals!$A:$A,$A68,Signals!$E:$E,"&gt;=0.60",Signals!$E:$E,"&lt;0.70",Signals!$N:$N,"NO")),"")</f>
        <v/>
      </c>
      <c r="H68" s="65">
        <f>COUNTIFS(Signals!$A:$A,$A68,Signals!$E:$E,"&gt;=0.60",Signals!$E:$E,"&lt;0.70",Signals!$N:$N,"YES")+COUNTIFS(Signals!$A:$A,$A68,Signals!$E:$E,"&gt;=0.60",Signals!$E:$E,"&lt;0.70",Signals!$N:$N,"NO")</f>
        <v/>
      </c>
      <c r="I68" s="67">
        <f>IF(B68=0,"insufficient data",IF(AND(E68&gt;C68,E68&gt;G68),"✓ YES","NO"))</f>
        <v/>
      </c>
    </row>
    <row r="69" ht="15" customHeight="1">
      <c r="A69" s="90" t="inlineStr">
        <is>
          <t>2026-07-09</t>
        </is>
      </c>
      <c r="B69" s="65">
        <f>COUNTIFS(Signals!$A:$A,$A69,Signals!$N:$N,"YES")+COUNTIFS(Signals!$A:$A,$A69,Signals!$N:$N,"NO")</f>
        <v/>
      </c>
      <c r="C69" s="66">
        <f>IFERROR(COUNTIFS(Signals!$A:$A,$A69,Signals!$E:$E,"&gt;=0.40",Signals!$E:$E,"&lt;0.50",Signals!$N:$N,"YES")/(COUNTIFS(Signals!$A:$A,$A69,Signals!$E:$E,"&gt;=0.40",Signals!$E:$E,"&lt;0.50",Signals!$N:$N,"YES")+COUNTIFS(Signals!$A:$A,$A69,Signals!$E:$E,"&gt;=0.40",Signals!$E:$E,"&lt;0.50",Signals!$N:$N,"NO")),"")</f>
        <v/>
      </c>
      <c r="D69" s="65">
        <f>COUNTIFS(Signals!$A:$A,$A69,Signals!$E:$E,"&gt;=0.40",Signals!$E:$E,"&lt;0.50",Signals!$N:$N,"YES")+COUNTIFS(Signals!$A:$A,$A69,Signals!$E:$E,"&gt;=0.40",Signals!$E:$E,"&lt;0.50",Signals!$N:$N,"NO")</f>
        <v/>
      </c>
      <c r="E69" s="66">
        <f>IFERROR(COUNTIFS(Signals!$A:$A,$A69,Signals!$E:$E,"&gt;=0.50",Signals!$E:$E,"&lt;0.60",Signals!$N:$N,"YES")/(COUNTIFS(Signals!$A:$A,$A69,Signals!$E:$E,"&gt;=0.50",Signals!$E:$E,"&lt;0.60",Signals!$N:$N,"YES")+COUNTIFS(Signals!$A:$A,$A69,Signals!$E:$E,"&gt;=0.50",Signals!$E:$E,"&lt;0.60",Signals!$N:$N,"NO")),"")</f>
        <v/>
      </c>
      <c r="F69" s="65">
        <f>COUNTIFS(Signals!$A:$A,$A69,Signals!$E:$E,"&gt;=0.50",Signals!$E:$E,"&lt;0.60",Signals!$N:$N,"YES")+COUNTIFS(Signals!$A:$A,$A69,Signals!$E:$E,"&gt;=0.50",Signals!$E:$E,"&lt;0.60",Signals!$N:$N,"NO")</f>
        <v/>
      </c>
      <c r="G69" s="66">
        <f>IFERROR(COUNTIFS(Signals!$A:$A,$A69,Signals!$E:$E,"&gt;=0.60",Signals!$E:$E,"&lt;0.70",Signals!$N:$N,"YES")/(COUNTIFS(Signals!$A:$A,$A69,Signals!$E:$E,"&gt;=0.60",Signals!$E:$E,"&lt;0.70",Signals!$N:$N,"YES")+COUNTIFS(Signals!$A:$A,$A69,Signals!$E:$E,"&gt;=0.60",Signals!$E:$E,"&lt;0.70",Signals!$N:$N,"NO")),"")</f>
        <v/>
      </c>
      <c r="H69" s="65">
        <f>COUNTIFS(Signals!$A:$A,$A69,Signals!$E:$E,"&gt;=0.60",Signals!$E:$E,"&lt;0.70",Signals!$N:$N,"YES")+COUNTIFS(Signals!$A:$A,$A69,Signals!$E:$E,"&gt;=0.60",Signals!$E:$E,"&lt;0.70",Signals!$N:$N,"NO")</f>
        <v/>
      </c>
      <c r="I69" s="67">
        <f>IF(B69=0,"insufficient data",IF(AND(E69&gt;C69,E69&gt;G69),"✓ YES","NO"))</f>
        <v/>
      </c>
    </row>
    <row r="70" ht="15" customHeight="1">
      <c r="A70" s="90" t="inlineStr">
        <is>
          <t>2026-07-10</t>
        </is>
      </c>
      <c r="B70" s="65">
        <f>COUNTIFS(Signals!$A:$A,$A70,Signals!$N:$N,"YES")+COUNTIFS(Signals!$A:$A,$A70,Signals!$N:$N,"NO")</f>
        <v/>
      </c>
      <c r="C70" s="66">
        <f>IFERROR(COUNTIFS(Signals!$A:$A,$A70,Signals!$E:$E,"&gt;=0.40",Signals!$E:$E,"&lt;0.50",Signals!$N:$N,"YES")/(COUNTIFS(Signals!$A:$A,$A70,Signals!$E:$E,"&gt;=0.40",Signals!$E:$E,"&lt;0.50",Signals!$N:$N,"YES")+COUNTIFS(Signals!$A:$A,$A70,Signals!$E:$E,"&gt;=0.40",Signals!$E:$E,"&lt;0.50",Signals!$N:$N,"NO")),"")</f>
        <v/>
      </c>
      <c r="D70" s="65">
        <f>COUNTIFS(Signals!$A:$A,$A70,Signals!$E:$E,"&gt;=0.40",Signals!$E:$E,"&lt;0.50",Signals!$N:$N,"YES")+COUNTIFS(Signals!$A:$A,$A70,Signals!$E:$E,"&gt;=0.40",Signals!$E:$E,"&lt;0.50",Signals!$N:$N,"NO")</f>
        <v/>
      </c>
      <c r="E70" s="66">
        <f>IFERROR(COUNTIFS(Signals!$A:$A,$A70,Signals!$E:$E,"&gt;=0.50",Signals!$E:$E,"&lt;0.60",Signals!$N:$N,"YES")/(COUNTIFS(Signals!$A:$A,$A70,Signals!$E:$E,"&gt;=0.50",Signals!$E:$E,"&lt;0.60",Signals!$N:$N,"YES")+COUNTIFS(Signals!$A:$A,$A70,Signals!$E:$E,"&gt;=0.50",Signals!$E:$E,"&lt;0.60",Signals!$N:$N,"NO")),"")</f>
        <v/>
      </c>
      <c r="F70" s="65">
        <f>COUNTIFS(Signals!$A:$A,$A70,Signals!$E:$E,"&gt;=0.50",Signals!$E:$E,"&lt;0.60",Signals!$N:$N,"YES")+COUNTIFS(Signals!$A:$A,$A70,Signals!$E:$E,"&gt;=0.50",Signals!$E:$E,"&lt;0.60",Signals!$N:$N,"NO")</f>
        <v/>
      </c>
      <c r="G70" s="66">
        <f>IFERROR(COUNTIFS(Signals!$A:$A,$A70,Signals!$E:$E,"&gt;=0.60",Signals!$E:$E,"&lt;0.70",Signals!$N:$N,"YES")/(COUNTIFS(Signals!$A:$A,$A70,Signals!$E:$E,"&gt;=0.60",Signals!$E:$E,"&lt;0.70",Signals!$N:$N,"YES")+COUNTIFS(Signals!$A:$A,$A70,Signals!$E:$E,"&gt;=0.60",Signals!$E:$E,"&lt;0.70",Signals!$N:$N,"NO")),"")</f>
        <v/>
      </c>
      <c r="H70" s="65">
        <f>COUNTIFS(Signals!$A:$A,$A70,Signals!$E:$E,"&gt;=0.60",Signals!$E:$E,"&lt;0.70",Signals!$N:$N,"YES")+COUNTIFS(Signals!$A:$A,$A70,Signals!$E:$E,"&gt;=0.60",Signals!$E:$E,"&lt;0.70",Signals!$N:$N,"NO")</f>
        <v/>
      </c>
      <c r="I70" s="67">
        <f>IF(B70=0,"insufficient data",IF(AND(E70&gt;C70,E70&gt;G70),"✓ YES","NO"))</f>
        <v/>
      </c>
    </row>
    <row r="71" ht="15" customHeight="1">
      <c r="A71" s="90" t="inlineStr">
        <is>
          <t>2026-07-13</t>
        </is>
      </c>
      <c r="B71" s="65">
        <f>COUNTIFS(Signals!$A:$A,$A71,Signals!$N:$N,"YES")+COUNTIFS(Signals!$A:$A,$A71,Signals!$N:$N,"NO")</f>
        <v/>
      </c>
      <c r="C71" s="66">
        <f>IFERROR(COUNTIFS(Signals!$A:$A,$A71,Signals!$E:$E,"&gt;=0.40",Signals!$E:$E,"&lt;0.50",Signals!$N:$N,"YES")/(COUNTIFS(Signals!$A:$A,$A71,Signals!$E:$E,"&gt;=0.40",Signals!$E:$E,"&lt;0.50",Signals!$N:$N,"YES")+COUNTIFS(Signals!$A:$A,$A71,Signals!$E:$E,"&gt;=0.40",Signals!$E:$E,"&lt;0.50",Signals!$N:$N,"NO")),"")</f>
        <v/>
      </c>
      <c r="D71" s="65">
        <f>COUNTIFS(Signals!$A:$A,$A71,Signals!$E:$E,"&gt;=0.40",Signals!$E:$E,"&lt;0.50",Signals!$N:$N,"YES")+COUNTIFS(Signals!$A:$A,$A71,Signals!$E:$E,"&gt;=0.40",Signals!$E:$E,"&lt;0.50",Signals!$N:$N,"NO")</f>
        <v/>
      </c>
      <c r="E71" s="66">
        <f>IFERROR(COUNTIFS(Signals!$A:$A,$A71,Signals!$E:$E,"&gt;=0.50",Signals!$E:$E,"&lt;0.60",Signals!$N:$N,"YES")/(COUNTIFS(Signals!$A:$A,$A71,Signals!$E:$E,"&gt;=0.50",Signals!$E:$E,"&lt;0.60",Signals!$N:$N,"YES")+COUNTIFS(Signals!$A:$A,$A71,Signals!$E:$E,"&gt;=0.50",Signals!$E:$E,"&lt;0.60",Signals!$N:$N,"NO")),"")</f>
        <v/>
      </c>
      <c r="F71" s="65">
        <f>COUNTIFS(Signals!$A:$A,$A71,Signals!$E:$E,"&gt;=0.50",Signals!$E:$E,"&lt;0.60",Signals!$N:$N,"YES")+COUNTIFS(Signals!$A:$A,$A71,Signals!$E:$E,"&gt;=0.50",Signals!$E:$E,"&lt;0.60",Signals!$N:$N,"NO")</f>
        <v/>
      </c>
      <c r="G71" s="66">
        <f>IFERROR(COUNTIFS(Signals!$A:$A,$A71,Signals!$E:$E,"&gt;=0.60",Signals!$E:$E,"&lt;0.70",Signals!$N:$N,"YES")/(COUNTIFS(Signals!$A:$A,$A71,Signals!$E:$E,"&gt;=0.60",Signals!$E:$E,"&lt;0.70",Signals!$N:$N,"YES")+COUNTIFS(Signals!$A:$A,$A71,Signals!$E:$E,"&gt;=0.60",Signals!$E:$E,"&lt;0.70",Signals!$N:$N,"NO")),"")</f>
        <v/>
      </c>
      <c r="H71" s="65">
        <f>COUNTIFS(Signals!$A:$A,$A71,Signals!$E:$E,"&gt;=0.60",Signals!$E:$E,"&lt;0.70",Signals!$N:$N,"YES")+COUNTIFS(Signals!$A:$A,$A71,Signals!$E:$E,"&gt;=0.60",Signals!$E:$E,"&lt;0.70",Signals!$N:$N,"NO")</f>
        <v/>
      </c>
      <c r="I71" s="67">
        <f>IF(B71=0,"insufficient data",IF(AND(E71&gt;C71,E71&gt;G71),"✓ YES","NO"))</f>
        <v/>
      </c>
    </row>
    <row r="72" ht="15" customHeight="1">
      <c r="A72" s="90" t="inlineStr">
        <is>
          <t>2026-07-14</t>
        </is>
      </c>
      <c r="B72" s="65">
        <f>COUNTIFS(Signals!$A:$A,$A72,Signals!$N:$N,"YES")+COUNTIFS(Signals!$A:$A,$A72,Signals!$N:$N,"NO")</f>
        <v/>
      </c>
      <c r="C72" s="66">
        <f>IFERROR(COUNTIFS(Signals!$A:$A,$A72,Signals!$E:$E,"&gt;=0.40",Signals!$E:$E,"&lt;0.50",Signals!$N:$N,"YES")/(COUNTIFS(Signals!$A:$A,$A72,Signals!$E:$E,"&gt;=0.40",Signals!$E:$E,"&lt;0.50",Signals!$N:$N,"YES")+COUNTIFS(Signals!$A:$A,$A72,Signals!$E:$E,"&gt;=0.40",Signals!$E:$E,"&lt;0.50",Signals!$N:$N,"NO")),"")</f>
        <v/>
      </c>
      <c r="D72" s="65">
        <f>COUNTIFS(Signals!$A:$A,$A72,Signals!$E:$E,"&gt;=0.40",Signals!$E:$E,"&lt;0.50",Signals!$N:$N,"YES")+COUNTIFS(Signals!$A:$A,$A72,Signals!$E:$E,"&gt;=0.40",Signals!$E:$E,"&lt;0.50",Signals!$N:$N,"NO")</f>
        <v/>
      </c>
      <c r="E72" s="66">
        <f>IFERROR(COUNTIFS(Signals!$A:$A,$A72,Signals!$E:$E,"&gt;=0.50",Signals!$E:$E,"&lt;0.60",Signals!$N:$N,"YES")/(COUNTIFS(Signals!$A:$A,$A72,Signals!$E:$E,"&gt;=0.50",Signals!$E:$E,"&lt;0.60",Signals!$N:$N,"YES")+COUNTIFS(Signals!$A:$A,$A72,Signals!$E:$E,"&gt;=0.50",Signals!$E:$E,"&lt;0.60",Signals!$N:$N,"NO")),"")</f>
        <v/>
      </c>
      <c r="F72" s="65">
        <f>COUNTIFS(Signals!$A:$A,$A72,Signals!$E:$E,"&gt;=0.50",Signals!$E:$E,"&lt;0.60",Signals!$N:$N,"YES")+COUNTIFS(Signals!$A:$A,$A72,Signals!$E:$E,"&gt;=0.50",Signals!$E:$E,"&lt;0.60",Signals!$N:$N,"NO")</f>
        <v/>
      </c>
      <c r="G72" s="66">
        <f>IFERROR(COUNTIFS(Signals!$A:$A,$A72,Signals!$E:$E,"&gt;=0.60",Signals!$E:$E,"&lt;0.70",Signals!$N:$N,"YES")/(COUNTIFS(Signals!$A:$A,$A72,Signals!$E:$E,"&gt;=0.60",Signals!$E:$E,"&lt;0.70",Signals!$N:$N,"YES")+COUNTIFS(Signals!$A:$A,$A72,Signals!$E:$E,"&gt;=0.60",Signals!$E:$E,"&lt;0.70",Signals!$N:$N,"NO")),"")</f>
        <v/>
      </c>
      <c r="H72" s="65">
        <f>COUNTIFS(Signals!$A:$A,$A72,Signals!$E:$E,"&gt;=0.60",Signals!$E:$E,"&lt;0.70",Signals!$N:$N,"YES")+COUNTIFS(Signals!$A:$A,$A72,Signals!$E:$E,"&gt;=0.60",Signals!$E:$E,"&lt;0.70",Signals!$N:$N,"NO")</f>
        <v/>
      </c>
      <c r="I72" s="67">
        <f>IF(B72=0,"insufficient data",IF(AND(E72&gt;C72,E72&gt;G72),"✓ YES","NO"))</f>
        <v/>
      </c>
    </row>
    <row r="73" ht="15" customHeight="1">
      <c r="A73" s="90" t="inlineStr">
        <is>
          <t>2026-07-15</t>
        </is>
      </c>
      <c r="B73" s="65">
        <f>COUNTIFS(Signals!$A:$A,$A73,Signals!$N:$N,"YES")+COUNTIFS(Signals!$A:$A,$A73,Signals!$N:$N,"NO")</f>
        <v/>
      </c>
      <c r="C73" s="66">
        <f>IFERROR(COUNTIFS(Signals!$A:$A,$A73,Signals!$E:$E,"&gt;=0.40",Signals!$E:$E,"&lt;0.50",Signals!$N:$N,"YES")/(COUNTIFS(Signals!$A:$A,$A73,Signals!$E:$E,"&gt;=0.40",Signals!$E:$E,"&lt;0.50",Signals!$N:$N,"YES")+COUNTIFS(Signals!$A:$A,$A73,Signals!$E:$E,"&gt;=0.40",Signals!$E:$E,"&lt;0.50",Signals!$N:$N,"NO")),"")</f>
        <v/>
      </c>
      <c r="D73" s="65">
        <f>COUNTIFS(Signals!$A:$A,$A73,Signals!$E:$E,"&gt;=0.40",Signals!$E:$E,"&lt;0.50",Signals!$N:$N,"YES")+COUNTIFS(Signals!$A:$A,$A73,Signals!$E:$E,"&gt;=0.40",Signals!$E:$E,"&lt;0.50",Signals!$N:$N,"NO")</f>
        <v/>
      </c>
      <c r="E73" s="66">
        <f>IFERROR(COUNTIFS(Signals!$A:$A,$A73,Signals!$E:$E,"&gt;=0.50",Signals!$E:$E,"&lt;0.60",Signals!$N:$N,"YES")/(COUNTIFS(Signals!$A:$A,$A73,Signals!$E:$E,"&gt;=0.50",Signals!$E:$E,"&lt;0.60",Signals!$N:$N,"YES")+COUNTIFS(Signals!$A:$A,$A73,Signals!$E:$E,"&gt;=0.50",Signals!$E:$E,"&lt;0.60",Signals!$N:$N,"NO")),"")</f>
        <v/>
      </c>
      <c r="F73" s="65">
        <f>COUNTIFS(Signals!$A:$A,$A73,Signals!$E:$E,"&gt;=0.50",Signals!$E:$E,"&lt;0.60",Signals!$N:$N,"YES")+COUNTIFS(Signals!$A:$A,$A73,Signals!$E:$E,"&gt;=0.50",Signals!$E:$E,"&lt;0.60",Signals!$N:$N,"NO")</f>
        <v/>
      </c>
      <c r="G73" s="66">
        <f>IFERROR(COUNTIFS(Signals!$A:$A,$A73,Signals!$E:$E,"&gt;=0.60",Signals!$E:$E,"&lt;0.70",Signals!$N:$N,"YES")/(COUNTIFS(Signals!$A:$A,$A73,Signals!$E:$E,"&gt;=0.60",Signals!$E:$E,"&lt;0.70",Signals!$N:$N,"YES")+COUNTIFS(Signals!$A:$A,$A73,Signals!$E:$E,"&gt;=0.60",Signals!$E:$E,"&lt;0.70",Signals!$N:$N,"NO")),"")</f>
        <v/>
      </c>
      <c r="H73" s="65">
        <f>COUNTIFS(Signals!$A:$A,$A73,Signals!$E:$E,"&gt;=0.60",Signals!$E:$E,"&lt;0.70",Signals!$N:$N,"YES")+COUNTIFS(Signals!$A:$A,$A73,Signals!$E:$E,"&gt;=0.60",Signals!$E:$E,"&lt;0.70",Signals!$N:$N,"NO")</f>
        <v/>
      </c>
      <c r="I73" s="67">
        <f>IF(B73=0,"insufficient data",IF(AND(E73&gt;C73,E73&gt;G73),"✓ YES","NO"))</f>
        <v/>
      </c>
    </row>
    <row r="74" ht="15" customHeight="1">
      <c r="A74" s="90" t="inlineStr">
        <is>
          <t>2026-07-16</t>
        </is>
      </c>
      <c r="B74" s="65">
        <f>COUNTIFS(Signals!$A:$A,$A74,Signals!$N:$N,"YES")+COUNTIFS(Signals!$A:$A,$A74,Signals!$N:$N,"NO")</f>
        <v/>
      </c>
      <c r="C74" s="66">
        <f>IFERROR(COUNTIFS(Signals!$A:$A,$A74,Signals!$E:$E,"&gt;=0.40",Signals!$E:$E,"&lt;0.50",Signals!$N:$N,"YES")/(COUNTIFS(Signals!$A:$A,$A74,Signals!$E:$E,"&gt;=0.40",Signals!$E:$E,"&lt;0.50",Signals!$N:$N,"YES")+COUNTIFS(Signals!$A:$A,$A74,Signals!$E:$E,"&gt;=0.40",Signals!$E:$E,"&lt;0.50",Signals!$N:$N,"NO")),"")</f>
        <v/>
      </c>
      <c r="D74" s="65">
        <f>COUNTIFS(Signals!$A:$A,$A74,Signals!$E:$E,"&gt;=0.40",Signals!$E:$E,"&lt;0.50",Signals!$N:$N,"YES")+COUNTIFS(Signals!$A:$A,$A74,Signals!$E:$E,"&gt;=0.40",Signals!$E:$E,"&lt;0.50",Signals!$N:$N,"NO")</f>
        <v/>
      </c>
      <c r="E74" s="66">
        <f>IFERROR(COUNTIFS(Signals!$A:$A,$A74,Signals!$E:$E,"&gt;=0.50",Signals!$E:$E,"&lt;0.60",Signals!$N:$N,"YES")/(COUNTIFS(Signals!$A:$A,$A74,Signals!$E:$E,"&gt;=0.50",Signals!$E:$E,"&lt;0.60",Signals!$N:$N,"YES")+COUNTIFS(Signals!$A:$A,$A74,Signals!$E:$E,"&gt;=0.50",Signals!$E:$E,"&lt;0.60",Signals!$N:$N,"NO")),"")</f>
        <v/>
      </c>
      <c r="F74" s="65">
        <f>COUNTIFS(Signals!$A:$A,$A74,Signals!$E:$E,"&gt;=0.50",Signals!$E:$E,"&lt;0.60",Signals!$N:$N,"YES")+COUNTIFS(Signals!$A:$A,$A74,Signals!$E:$E,"&gt;=0.50",Signals!$E:$E,"&lt;0.60",Signals!$N:$N,"NO")</f>
        <v/>
      </c>
      <c r="G74" s="66">
        <f>IFERROR(COUNTIFS(Signals!$A:$A,$A74,Signals!$E:$E,"&gt;=0.60",Signals!$E:$E,"&lt;0.70",Signals!$N:$N,"YES")/(COUNTIFS(Signals!$A:$A,$A74,Signals!$E:$E,"&gt;=0.60",Signals!$E:$E,"&lt;0.70",Signals!$N:$N,"YES")+COUNTIFS(Signals!$A:$A,$A74,Signals!$E:$E,"&gt;=0.60",Signals!$E:$E,"&lt;0.70",Signals!$N:$N,"NO")),"")</f>
        <v/>
      </c>
      <c r="H74" s="65">
        <f>COUNTIFS(Signals!$A:$A,$A74,Signals!$E:$E,"&gt;=0.60",Signals!$E:$E,"&lt;0.70",Signals!$N:$N,"YES")+COUNTIFS(Signals!$A:$A,$A74,Signals!$E:$E,"&gt;=0.60",Signals!$E:$E,"&lt;0.70",Signals!$N:$N,"NO")</f>
        <v/>
      </c>
      <c r="I74" s="67">
        <f>IF(B74=0,"insufficient data",IF(AND(E74&gt;C74,E74&gt;G74),"✓ YES","NO"))</f>
        <v/>
      </c>
    </row>
    <row r="75" ht="15" customHeight="1">
      <c r="A75" s="90" t="inlineStr">
        <is>
          <t>2026-07-17</t>
        </is>
      </c>
      <c r="B75" s="65">
        <f>COUNTIFS(Signals!$A:$A,$A75,Signals!$N:$N,"YES")+COUNTIFS(Signals!$A:$A,$A75,Signals!$N:$N,"NO")</f>
        <v/>
      </c>
      <c r="C75" s="66">
        <f>IFERROR(COUNTIFS(Signals!$A:$A,$A75,Signals!$E:$E,"&gt;=0.40",Signals!$E:$E,"&lt;0.50",Signals!$N:$N,"YES")/(COUNTIFS(Signals!$A:$A,$A75,Signals!$E:$E,"&gt;=0.40",Signals!$E:$E,"&lt;0.50",Signals!$N:$N,"YES")+COUNTIFS(Signals!$A:$A,$A75,Signals!$E:$E,"&gt;=0.40",Signals!$E:$E,"&lt;0.50",Signals!$N:$N,"NO")),"")</f>
        <v/>
      </c>
      <c r="D75" s="65">
        <f>COUNTIFS(Signals!$A:$A,$A75,Signals!$E:$E,"&gt;=0.40",Signals!$E:$E,"&lt;0.50",Signals!$N:$N,"YES")+COUNTIFS(Signals!$A:$A,$A75,Signals!$E:$E,"&gt;=0.40",Signals!$E:$E,"&lt;0.50",Signals!$N:$N,"NO")</f>
        <v/>
      </c>
      <c r="E75" s="66">
        <f>IFERROR(COUNTIFS(Signals!$A:$A,$A75,Signals!$E:$E,"&gt;=0.50",Signals!$E:$E,"&lt;0.60",Signals!$N:$N,"YES")/(COUNTIFS(Signals!$A:$A,$A75,Signals!$E:$E,"&gt;=0.50",Signals!$E:$E,"&lt;0.60",Signals!$N:$N,"YES")+COUNTIFS(Signals!$A:$A,$A75,Signals!$E:$E,"&gt;=0.50",Signals!$E:$E,"&lt;0.60",Signals!$N:$N,"NO")),"")</f>
        <v/>
      </c>
      <c r="F75" s="65">
        <f>COUNTIFS(Signals!$A:$A,$A75,Signals!$E:$E,"&gt;=0.50",Signals!$E:$E,"&lt;0.60",Signals!$N:$N,"YES")+COUNTIFS(Signals!$A:$A,$A75,Signals!$E:$E,"&gt;=0.50",Signals!$E:$E,"&lt;0.60",Signals!$N:$N,"NO")</f>
        <v/>
      </c>
      <c r="G75" s="66">
        <f>IFERROR(COUNTIFS(Signals!$A:$A,$A75,Signals!$E:$E,"&gt;=0.60",Signals!$E:$E,"&lt;0.70",Signals!$N:$N,"YES")/(COUNTIFS(Signals!$A:$A,$A75,Signals!$E:$E,"&gt;=0.60",Signals!$E:$E,"&lt;0.70",Signals!$N:$N,"YES")+COUNTIFS(Signals!$A:$A,$A75,Signals!$E:$E,"&gt;=0.60",Signals!$E:$E,"&lt;0.70",Signals!$N:$N,"NO")),"")</f>
        <v/>
      </c>
      <c r="H75" s="65">
        <f>COUNTIFS(Signals!$A:$A,$A75,Signals!$E:$E,"&gt;=0.60",Signals!$E:$E,"&lt;0.70",Signals!$N:$N,"YES")+COUNTIFS(Signals!$A:$A,$A75,Signals!$E:$E,"&gt;=0.60",Signals!$E:$E,"&lt;0.70",Signals!$N:$N,"NO")</f>
        <v/>
      </c>
      <c r="I75" s="67">
        <f>IF(B75=0,"insufficient data",IF(AND(E75&gt;C75,E75&gt;G75),"✓ YES","NO"))</f>
        <v/>
      </c>
    </row>
    <row r="76" ht="15" customHeight="1">
      <c r="A76" s="90" t="inlineStr">
        <is>
          <t>2026-07-20</t>
        </is>
      </c>
      <c r="B76" s="65">
        <f>COUNTIFS(Signals!$A:$A,$A76,Signals!$N:$N,"YES")+COUNTIFS(Signals!$A:$A,$A76,Signals!$N:$N,"NO")</f>
        <v/>
      </c>
      <c r="C76" s="66">
        <f>IFERROR(COUNTIFS(Signals!$A:$A,$A76,Signals!$E:$E,"&gt;=0.40",Signals!$E:$E,"&lt;0.50",Signals!$N:$N,"YES")/(COUNTIFS(Signals!$A:$A,$A76,Signals!$E:$E,"&gt;=0.40",Signals!$E:$E,"&lt;0.50",Signals!$N:$N,"YES")+COUNTIFS(Signals!$A:$A,$A76,Signals!$E:$E,"&gt;=0.40",Signals!$E:$E,"&lt;0.50",Signals!$N:$N,"NO")),"")</f>
        <v/>
      </c>
      <c r="D76" s="65">
        <f>COUNTIFS(Signals!$A:$A,$A76,Signals!$E:$E,"&gt;=0.40",Signals!$E:$E,"&lt;0.50",Signals!$N:$N,"YES")+COUNTIFS(Signals!$A:$A,$A76,Signals!$E:$E,"&gt;=0.40",Signals!$E:$E,"&lt;0.50",Signals!$N:$N,"NO")</f>
        <v/>
      </c>
      <c r="E76" s="66">
        <f>IFERROR(COUNTIFS(Signals!$A:$A,$A76,Signals!$E:$E,"&gt;=0.50",Signals!$E:$E,"&lt;0.60",Signals!$N:$N,"YES")/(COUNTIFS(Signals!$A:$A,$A76,Signals!$E:$E,"&gt;=0.50",Signals!$E:$E,"&lt;0.60",Signals!$N:$N,"YES")+COUNTIFS(Signals!$A:$A,$A76,Signals!$E:$E,"&gt;=0.50",Signals!$E:$E,"&lt;0.60",Signals!$N:$N,"NO")),"")</f>
        <v/>
      </c>
      <c r="F76" s="65">
        <f>COUNTIFS(Signals!$A:$A,$A76,Signals!$E:$E,"&gt;=0.50",Signals!$E:$E,"&lt;0.60",Signals!$N:$N,"YES")+COUNTIFS(Signals!$A:$A,$A76,Signals!$E:$E,"&gt;=0.50",Signals!$E:$E,"&lt;0.60",Signals!$N:$N,"NO")</f>
        <v/>
      </c>
      <c r="G76" s="66">
        <f>IFERROR(COUNTIFS(Signals!$A:$A,$A76,Signals!$E:$E,"&gt;=0.60",Signals!$E:$E,"&lt;0.70",Signals!$N:$N,"YES")/(COUNTIFS(Signals!$A:$A,$A76,Signals!$E:$E,"&gt;=0.60",Signals!$E:$E,"&lt;0.70",Signals!$N:$N,"YES")+COUNTIFS(Signals!$A:$A,$A76,Signals!$E:$E,"&gt;=0.60",Signals!$E:$E,"&lt;0.70",Signals!$N:$N,"NO")),"")</f>
        <v/>
      </c>
      <c r="H76" s="65">
        <f>COUNTIFS(Signals!$A:$A,$A76,Signals!$E:$E,"&gt;=0.60",Signals!$E:$E,"&lt;0.70",Signals!$N:$N,"YES")+COUNTIFS(Signals!$A:$A,$A76,Signals!$E:$E,"&gt;=0.60",Signals!$E:$E,"&lt;0.70",Signals!$N:$N,"NO")</f>
        <v/>
      </c>
      <c r="I76" s="67">
        <f>IF(B76=0,"insufficient data",IF(AND(E76&gt;C76,E76&gt;G76),"✓ YES","NO"))</f>
        <v/>
      </c>
    </row>
    <row r="77" ht="15" customHeight="1">
      <c r="A77" s="90" t="inlineStr">
        <is>
          <t>2026-07-21</t>
        </is>
      </c>
      <c r="B77" s="65">
        <f>COUNTIFS(Signals!$A:$A,$A77,Signals!$N:$N,"YES")+COUNTIFS(Signals!$A:$A,$A77,Signals!$N:$N,"NO")</f>
        <v/>
      </c>
      <c r="C77" s="66">
        <f>IFERROR(COUNTIFS(Signals!$A:$A,$A77,Signals!$E:$E,"&gt;=0.40",Signals!$E:$E,"&lt;0.50",Signals!$N:$N,"YES")/(COUNTIFS(Signals!$A:$A,$A77,Signals!$E:$E,"&gt;=0.40",Signals!$E:$E,"&lt;0.50",Signals!$N:$N,"YES")+COUNTIFS(Signals!$A:$A,$A77,Signals!$E:$E,"&gt;=0.40",Signals!$E:$E,"&lt;0.50",Signals!$N:$N,"NO")),"")</f>
        <v/>
      </c>
      <c r="D77" s="65">
        <f>COUNTIFS(Signals!$A:$A,$A77,Signals!$E:$E,"&gt;=0.40",Signals!$E:$E,"&lt;0.50",Signals!$N:$N,"YES")+COUNTIFS(Signals!$A:$A,$A77,Signals!$E:$E,"&gt;=0.40",Signals!$E:$E,"&lt;0.50",Signals!$N:$N,"NO")</f>
        <v/>
      </c>
      <c r="E77" s="66">
        <f>IFERROR(COUNTIFS(Signals!$A:$A,$A77,Signals!$E:$E,"&gt;=0.50",Signals!$E:$E,"&lt;0.60",Signals!$N:$N,"YES")/(COUNTIFS(Signals!$A:$A,$A77,Signals!$E:$E,"&gt;=0.50",Signals!$E:$E,"&lt;0.60",Signals!$N:$N,"YES")+COUNTIFS(Signals!$A:$A,$A77,Signals!$E:$E,"&gt;=0.50",Signals!$E:$E,"&lt;0.60",Signals!$N:$N,"NO")),"")</f>
        <v/>
      </c>
      <c r="F77" s="65">
        <f>COUNTIFS(Signals!$A:$A,$A77,Signals!$E:$E,"&gt;=0.50",Signals!$E:$E,"&lt;0.60",Signals!$N:$N,"YES")+COUNTIFS(Signals!$A:$A,$A77,Signals!$E:$E,"&gt;=0.50",Signals!$E:$E,"&lt;0.60",Signals!$N:$N,"NO")</f>
        <v/>
      </c>
      <c r="G77" s="66">
        <f>IFERROR(COUNTIFS(Signals!$A:$A,$A77,Signals!$E:$E,"&gt;=0.60",Signals!$E:$E,"&lt;0.70",Signals!$N:$N,"YES")/(COUNTIFS(Signals!$A:$A,$A77,Signals!$E:$E,"&gt;=0.60",Signals!$E:$E,"&lt;0.70",Signals!$N:$N,"YES")+COUNTIFS(Signals!$A:$A,$A77,Signals!$E:$E,"&gt;=0.60",Signals!$E:$E,"&lt;0.70",Signals!$N:$N,"NO")),"")</f>
        <v/>
      </c>
      <c r="H77" s="65">
        <f>COUNTIFS(Signals!$A:$A,$A77,Signals!$E:$E,"&gt;=0.60",Signals!$E:$E,"&lt;0.70",Signals!$N:$N,"YES")+COUNTIFS(Signals!$A:$A,$A77,Signals!$E:$E,"&gt;=0.60",Signals!$E:$E,"&lt;0.70",Signals!$N:$N,"NO")</f>
        <v/>
      </c>
      <c r="I77" s="67">
        <f>IF(B77=0,"insufficient data",IF(AND(E77&gt;C77,E77&gt;G77),"✓ YES","NO"))</f>
        <v/>
      </c>
    </row>
    <row r="78" ht="15" customHeight="1">
      <c r="A78" s="90" t="inlineStr">
        <is>
          <t>2026-07-22</t>
        </is>
      </c>
      <c r="B78" s="65">
        <f>COUNTIFS(Signals!$A:$A,$A78,Signals!$N:$N,"YES")+COUNTIFS(Signals!$A:$A,$A78,Signals!$N:$N,"NO")</f>
        <v/>
      </c>
      <c r="C78" s="66">
        <f>IFERROR(COUNTIFS(Signals!$A:$A,$A78,Signals!$E:$E,"&gt;=0.40",Signals!$E:$E,"&lt;0.50",Signals!$N:$N,"YES")/(COUNTIFS(Signals!$A:$A,$A78,Signals!$E:$E,"&gt;=0.40",Signals!$E:$E,"&lt;0.50",Signals!$N:$N,"YES")+COUNTIFS(Signals!$A:$A,$A78,Signals!$E:$E,"&gt;=0.40",Signals!$E:$E,"&lt;0.50",Signals!$N:$N,"NO")),"")</f>
        <v/>
      </c>
      <c r="D78" s="65">
        <f>COUNTIFS(Signals!$A:$A,$A78,Signals!$E:$E,"&gt;=0.40",Signals!$E:$E,"&lt;0.50",Signals!$N:$N,"YES")+COUNTIFS(Signals!$A:$A,$A78,Signals!$E:$E,"&gt;=0.40",Signals!$E:$E,"&lt;0.50",Signals!$N:$N,"NO")</f>
        <v/>
      </c>
      <c r="E78" s="66">
        <f>IFERROR(COUNTIFS(Signals!$A:$A,$A78,Signals!$E:$E,"&gt;=0.50",Signals!$E:$E,"&lt;0.60",Signals!$N:$N,"YES")/(COUNTIFS(Signals!$A:$A,$A78,Signals!$E:$E,"&gt;=0.50",Signals!$E:$E,"&lt;0.60",Signals!$N:$N,"YES")+COUNTIFS(Signals!$A:$A,$A78,Signals!$E:$E,"&gt;=0.50",Signals!$E:$E,"&lt;0.60",Signals!$N:$N,"NO")),"")</f>
        <v/>
      </c>
      <c r="F78" s="65">
        <f>COUNTIFS(Signals!$A:$A,$A78,Signals!$E:$E,"&gt;=0.50",Signals!$E:$E,"&lt;0.60",Signals!$N:$N,"YES")+COUNTIFS(Signals!$A:$A,$A78,Signals!$E:$E,"&gt;=0.50",Signals!$E:$E,"&lt;0.60",Signals!$N:$N,"NO")</f>
        <v/>
      </c>
      <c r="G78" s="66">
        <f>IFERROR(COUNTIFS(Signals!$A:$A,$A78,Signals!$E:$E,"&gt;=0.60",Signals!$E:$E,"&lt;0.70",Signals!$N:$N,"YES")/(COUNTIFS(Signals!$A:$A,$A78,Signals!$E:$E,"&gt;=0.60",Signals!$E:$E,"&lt;0.70",Signals!$N:$N,"YES")+COUNTIFS(Signals!$A:$A,$A78,Signals!$E:$E,"&gt;=0.60",Signals!$E:$E,"&lt;0.70",Signals!$N:$N,"NO")),"")</f>
        <v/>
      </c>
      <c r="H78" s="65">
        <f>COUNTIFS(Signals!$A:$A,$A78,Signals!$E:$E,"&gt;=0.60",Signals!$E:$E,"&lt;0.70",Signals!$N:$N,"YES")+COUNTIFS(Signals!$A:$A,$A78,Signals!$E:$E,"&gt;=0.60",Signals!$E:$E,"&lt;0.70",Signals!$N:$N,"NO")</f>
        <v/>
      </c>
      <c r="I78" s="67">
        <f>IF(B78=0,"insufficient data",IF(AND(E78&gt;C78,E78&gt;G78),"✓ YES","NO"))</f>
        <v/>
      </c>
    </row>
    <row r="79" ht="15" customHeight="1">
      <c r="A79" s="90" t="inlineStr">
        <is>
          <t>2026-07-23</t>
        </is>
      </c>
      <c r="B79" s="65">
        <f>COUNTIFS(Signals!$A:$A,$A79,Signals!$N:$N,"YES")+COUNTIFS(Signals!$A:$A,$A79,Signals!$N:$N,"NO")</f>
        <v/>
      </c>
      <c r="C79" s="66">
        <f>IFERROR(COUNTIFS(Signals!$A:$A,$A79,Signals!$E:$E,"&gt;=0.40",Signals!$E:$E,"&lt;0.50",Signals!$N:$N,"YES")/(COUNTIFS(Signals!$A:$A,$A79,Signals!$E:$E,"&gt;=0.40",Signals!$E:$E,"&lt;0.50",Signals!$N:$N,"YES")+COUNTIFS(Signals!$A:$A,$A79,Signals!$E:$E,"&gt;=0.40",Signals!$E:$E,"&lt;0.50",Signals!$N:$N,"NO")),"")</f>
        <v/>
      </c>
      <c r="D79" s="65">
        <f>COUNTIFS(Signals!$A:$A,$A79,Signals!$E:$E,"&gt;=0.40",Signals!$E:$E,"&lt;0.50",Signals!$N:$N,"YES")+COUNTIFS(Signals!$A:$A,$A79,Signals!$E:$E,"&gt;=0.40",Signals!$E:$E,"&lt;0.50",Signals!$N:$N,"NO")</f>
        <v/>
      </c>
      <c r="E79" s="66">
        <f>IFERROR(COUNTIFS(Signals!$A:$A,$A79,Signals!$E:$E,"&gt;=0.50",Signals!$E:$E,"&lt;0.60",Signals!$N:$N,"YES")/(COUNTIFS(Signals!$A:$A,$A79,Signals!$E:$E,"&gt;=0.50",Signals!$E:$E,"&lt;0.60",Signals!$N:$N,"YES")+COUNTIFS(Signals!$A:$A,$A79,Signals!$E:$E,"&gt;=0.50",Signals!$E:$E,"&lt;0.60",Signals!$N:$N,"NO")),"")</f>
        <v/>
      </c>
      <c r="F79" s="65">
        <f>COUNTIFS(Signals!$A:$A,$A79,Signals!$E:$E,"&gt;=0.50",Signals!$E:$E,"&lt;0.60",Signals!$N:$N,"YES")+COUNTIFS(Signals!$A:$A,$A79,Signals!$E:$E,"&gt;=0.50",Signals!$E:$E,"&lt;0.60",Signals!$N:$N,"NO")</f>
        <v/>
      </c>
      <c r="G79" s="66">
        <f>IFERROR(COUNTIFS(Signals!$A:$A,$A79,Signals!$E:$E,"&gt;=0.60",Signals!$E:$E,"&lt;0.70",Signals!$N:$N,"YES")/(COUNTIFS(Signals!$A:$A,$A79,Signals!$E:$E,"&gt;=0.60",Signals!$E:$E,"&lt;0.70",Signals!$N:$N,"YES")+COUNTIFS(Signals!$A:$A,$A79,Signals!$E:$E,"&gt;=0.60",Signals!$E:$E,"&lt;0.70",Signals!$N:$N,"NO")),"")</f>
        <v/>
      </c>
      <c r="H79" s="65">
        <f>COUNTIFS(Signals!$A:$A,$A79,Signals!$E:$E,"&gt;=0.60",Signals!$E:$E,"&lt;0.70",Signals!$N:$N,"YES")+COUNTIFS(Signals!$A:$A,$A79,Signals!$E:$E,"&gt;=0.60",Signals!$E:$E,"&lt;0.70",Signals!$N:$N,"NO")</f>
        <v/>
      </c>
      <c r="I79" s="67">
        <f>IF(B79=0,"insufficient data",IF(AND(E79&gt;C79,E79&gt;G79),"✓ YES","NO"))</f>
        <v/>
      </c>
    </row>
    <row r="80" ht="15" customHeight="1">
      <c r="A80" s="90" t="inlineStr">
        <is>
          <t>2026-07-24</t>
        </is>
      </c>
      <c r="B80" s="65">
        <f>COUNTIFS(Signals!$A:$A,$A80,Signals!$N:$N,"YES")+COUNTIFS(Signals!$A:$A,$A80,Signals!$N:$N,"NO")</f>
        <v/>
      </c>
      <c r="C80" s="66">
        <f>IFERROR(COUNTIFS(Signals!$A:$A,$A80,Signals!$E:$E,"&gt;=0.40",Signals!$E:$E,"&lt;0.50",Signals!$N:$N,"YES")/(COUNTIFS(Signals!$A:$A,$A80,Signals!$E:$E,"&gt;=0.40",Signals!$E:$E,"&lt;0.50",Signals!$N:$N,"YES")+COUNTIFS(Signals!$A:$A,$A80,Signals!$E:$E,"&gt;=0.40",Signals!$E:$E,"&lt;0.50",Signals!$N:$N,"NO")),"")</f>
        <v/>
      </c>
      <c r="D80" s="65">
        <f>COUNTIFS(Signals!$A:$A,$A80,Signals!$E:$E,"&gt;=0.40",Signals!$E:$E,"&lt;0.50",Signals!$N:$N,"YES")+COUNTIFS(Signals!$A:$A,$A80,Signals!$E:$E,"&gt;=0.40",Signals!$E:$E,"&lt;0.50",Signals!$N:$N,"NO")</f>
        <v/>
      </c>
      <c r="E80" s="66">
        <f>IFERROR(COUNTIFS(Signals!$A:$A,$A80,Signals!$E:$E,"&gt;=0.50",Signals!$E:$E,"&lt;0.60",Signals!$N:$N,"YES")/(COUNTIFS(Signals!$A:$A,$A80,Signals!$E:$E,"&gt;=0.50",Signals!$E:$E,"&lt;0.60",Signals!$N:$N,"YES")+COUNTIFS(Signals!$A:$A,$A80,Signals!$E:$E,"&gt;=0.50",Signals!$E:$E,"&lt;0.60",Signals!$N:$N,"NO")),"")</f>
        <v/>
      </c>
      <c r="F80" s="65">
        <f>COUNTIFS(Signals!$A:$A,$A80,Signals!$E:$E,"&gt;=0.50",Signals!$E:$E,"&lt;0.60",Signals!$N:$N,"YES")+COUNTIFS(Signals!$A:$A,$A80,Signals!$E:$E,"&gt;=0.50",Signals!$E:$E,"&lt;0.60",Signals!$N:$N,"NO")</f>
        <v/>
      </c>
      <c r="G80" s="66">
        <f>IFERROR(COUNTIFS(Signals!$A:$A,$A80,Signals!$E:$E,"&gt;=0.60",Signals!$E:$E,"&lt;0.70",Signals!$N:$N,"YES")/(COUNTIFS(Signals!$A:$A,$A80,Signals!$E:$E,"&gt;=0.60",Signals!$E:$E,"&lt;0.70",Signals!$N:$N,"YES")+COUNTIFS(Signals!$A:$A,$A80,Signals!$E:$E,"&gt;=0.60",Signals!$E:$E,"&lt;0.70",Signals!$N:$N,"NO")),"")</f>
        <v/>
      </c>
      <c r="H80" s="65">
        <f>COUNTIFS(Signals!$A:$A,$A80,Signals!$E:$E,"&gt;=0.60",Signals!$E:$E,"&lt;0.70",Signals!$N:$N,"YES")+COUNTIFS(Signals!$A:$A,$A80,Signals!$E:$E,"&gt;=0.60",Signals!$E:$E,"&lt;0.70",Signals!$N:$N,"NO")</f>
        <v/>
      </c>
      <c r="I80" s="67">
        <f>IF(B80=0,"insufficient data",IF(AND(E80&gt;C80,E80&gt;G80),"✓ YES","NO"))</f>
        <v/>
      </c>
    </row>
    <row r="81" ht="15" customHeight="1">
      <c r="A81" s="90" t="inlineStr">
        <is>
          <t>2026-07-27</t>
        </is>
      </c>
      <c r="B81" s="65">
        <f>COUNTIFS(Signals!$A:$A,$A81,Signals!$N:$N,"YES")+COUNTIFS(Signals!$A:$A,$A81,Signals!$N:$N,"NO")</f>
        <v/>
      </c>
      <c r="C81" s="66">
        <f>IFERROR(COUNTIFS(Signals!$A:$A,$A81,Signals!$E:$E,"&gt;=0.40",Signals!$E:$E,"&lt;0.50",Signals!$N:$N,"YES")/(COUNTIFS(Signals!$A:$A,$A81,Signals!$E:$E,"&gt;=0.40",Signals!$E:$E,"&lt;0.50",Signals!$N:$N,"YES")+COUNTIFS(Signals!$A:$A,$A81,Signals!$E:$E,"&gt;=0.40",Signals!$E:$E,"&lt;0.50",Signals!$N:$N,"NO")),"")</f>
        <v/>
      </c>
      <c r="D81" s="65">
        <f>COUNTIFS(Signals!$A:$A,$A81,Signals!$E:$E,"&gt;=0.40",Signals!$E:$E,"&lt;0.50",Signals!$N:$N,"YES")+COUNTIFS(Signals!$A:$A,$A81,Signals!$E:$E,"&gt;=0.40",Signals!$E:$E,"&lt;0.50",Signals!$N:$N,"NO")</f>
        <v/>
      </c>
      <c r="E81" s="66">
        <f>IFERROR(COUNTIFS(Signals!$A:$A,$A81,Signals!$E:$E,"&gt;=0.50",Signals!$E:$E,"&lt;0.60",Signals!$N:$N,"YES")/(COUNTIFS(Signals!$A:$A,$A81,Signals!$E:$E,"&gt;=0.50",Signals!$E:$E,"&lt;0.60",Signals!$N:$N,"YES")+COUNTIFS(Signals!$A:$A,$A81,Signals!$E:$E,"&gt;=0.50",Signals!$E:$E,"&lt;0.60",Signals!$N:$N,"NO")),"")</f>
        <v/>
      </c>
      <c r="F81" s="65">
        <f>COUNTIFS(Signals!$A:$A,$A81,Signals!$E:$E,"&gt;=0.50",Signals!$E:$E,"&lt;0.60",Signals!$N:$N,"YES")+COUNTIFS(Signals!$A:$A,$A81,Signals!$E:$E,"&gt;=0.50",Signals!$E:$E,"&lt;0.60",Signals!$N:$N,"NO")</f>
        <v/>
      </c>
      <c r="G81" s="66">
        <f>IFERROR(COUNTIFS(Signals!$A:$A,$A81,Signals!$E:$E,"&gt;=0.60",Signals!$E:$E,"&lt;0.70",Signals!$N:$N,"YES")/(COUNTIFS(Signals!$A:$A,$A81,Signals!$E:$E,"&gt;=0.60",Signals!$E:$E,"&lt;0.70",Signals!$N:$N,"YES")+COUNTIFS(Signals!$A:$A,$A81,Signals!$E:$E,"&gt;=0.60",Signals!$E:$E,"&lt;0.70",Signals!$N:$N,"NO")),"")</f>
        <v/>
      </c>
      <c r="H81" s="65">
        <f>COUNTIFS(Signals!$A:$A,$A81,Signals!$E:$E,"&gt;=0.60",Signals!$E:$E,"&lt;0.70",Signals!$N:$N,"YES")+COUNTIFS(Signals!$A:$A,$A81,Signals!$E:$E,"&gt;=0.60",Signals!$E:$E,"&lt;0.70",Signals!$N:$N,"NO")</f>
        <v/>
      </c>
      <c r="I81" s="67">
        <f>IF(B81=0,"insufficient data",IF(AND(E81&gt;C81,E81&gt;G81),"✓ YES","NO"))</f>
        <v/>
      </c>
    </row>
    <row r="82" ht="15" customHeight="1">
      <c r="A82" s="90" t="inlineStr">
        <is>
          <t>2026-07-28</t>
        </is>
      </c>
      <c r="B82" s="65">
        <f>COUNTIFS(Signals!$A:$A,$A82,Signals!$N:$N,"YES")+COUNTIFS(Signals!$A:$A,$A82,Signals!$N:$N,"NO")</f>
        <v/>
      </c>
      <c r="C82" s="66">
        <f>IFERROR(COUNTIFS(Signals!$A:$A,$A82,Signals!$E:$E,"&gt;=0.40",Signals!$E:$E,"&lt;0.50",Signals!$N:$N,"YES")/(COUNTIFS(Signals!$A:$A,$A82,Signals!$E:$E,"&gt;=0.40",Signals!$E:$E,"&lt;0.50",Signals!$N:$N,"YES")+COUNTIFS(Signals!$A:$A,$A82,Signals!$E:$E,"&gt;=0.40",Signals!$E:$E,"&lt;0.50",Signals!$N:$N,"NO")),"")</f>
        <v/>
      </c>
      <c r="D82" s="65">
        <f>COUNTIFS(Signals!$A:$A,$A82,Signals!$E:$E,"&gt;=0.40",Signals!$E:$E,"&lt;0.50",Signals!$N:$N,"YES")+COUNTIFS(Signals!$A:$A,$A82,Signals!$E:$E,"&gt;=0.40",Signals!$E:$E,"&lt;0.50",Signals!$N:$N,"NO")</f>
        <v/>
      </c>
      <c r="E82" s="66">
        <f>IFERROR(COUNTIFS(Signals!$A:$A,$A82,Signals!$E:$E,"&gt;=0.50",Signals!$E:$E,"&lt;0.60",Signals!$N:$N,"YES")/(COUNTIFS(Signals!$A:$A,$A82,Signals!$E:$E,"&gt;=0.50",Signals!$E:$E,"&lt;0.60",Signals!$N:$N,"YES")+COUNTIFS(Signals!$A:$A,$A82,Signals!$E:$E,"&gt;=0.50",Signals!$E:$E,"&lt;0.60",Signals!$N:$N,"NO")),"")</f>
        <v/>
      </c>
      <c r="F82" s="65">
        <f>COUNTIFS(Signals!$A:$A,$A82,Signals!$E:$E,"&gt;=0.50",Signals!$E:$E,"&lt;0.60",Signals!$N:$N,"YES")+COUNTIFS(Signals!$A:$A,$A82,Signals!$E:$E,"&gt;=0.50",Signals!$E:$E,"&lt;0.60",Signals!$N:$N,"NO")</f>
        <v/>
      </c>
      <c r="G82" s="66">
        <f>IFERROR(COUNTIFS(Signals!$A:$A,$A82,Signals!$E:$E,"&gt;=0.60",Signals!$E:$E,"&lt;0.70",Signals!$N:$N,"YES")/(COUNTIFS(Signals!$A:$A,$A82,Signals!$E:$E,"&gt;=0.60",Signals!$E:$E,"&lt;0.70",Signals!$N:$N,"YES")+COUNTIFS(Signals!$A:$A,$A82,Signals!$E:$E,"&gt;=0.60",Signals!$E:$E,"&lt;0.70",Signals!$N:$N,"NO")),"")</f>
        <v/>
      </c>
      <c r="H82" s="65">
        <f>COUNTIFS(Signals!$A:$A,$A82,Signals!$E:$E,"&gt;=0.60",Signals!$E:$E,"&lt;0.70",Signals!$N:$N,"YES")+COUNTIFS(Signals!$A:$A,$A82,Signals!$E:$E,"&gt;=0.60",Signals!$E:$E,"&lt;0.70",Signals!$N:$N,"NO")</f>
        <v/>
      </c>
      <c r="I82" s="67">
        <f>IF(B82=0,"insufficient data",IF(AND(E82&gt;C82,E82&gt;G82),"✓ YES","NO"))</f>
        <v/>
      </c>
    </row>
    <row r="83" ht="15" customHeight="1">
      <c r="A83" s="90" t="inlineStr">
        <is>
          <t>2026-07-29</t>
        </is>
      </c>
      <c r="B83" s="65">
        <f>COUNTIFS(Signals!$A:$A,$A83,Signals!$N:$N,"YES")+COUNTIFS(Signals!$A:$A,$A83,Signals!$N:$N,"NO")</f>
        <v/>
      </c>
      <c r="C83" s="66">
        <f>IFERROR(COUNTIFS(Signals!$A:$A,$A83,Signals!$E:$E,"&gt;=0.40",Signals!$E:$E,"&lt;0.50",Signals!$N:$N,"YES")/(COUNTIFS(Signals!$A:$A,$A83,Signals!$E:$E,"&gt;=0.40",Signals!$E:$E,"&lt;0.50",Signals!$N:$N,"YES")+COUNTIFS(Signals!$A:$A,$A83,Signals!$E:$E,"&gt;=0.40",Signals!$E:$E,"&lt;0.50",Signals!$N:$N,"NO")),"")</f>
        <v/>
      </c>
      <c r="D83" s="65">
        <f>COUNTIFS(Signals!$A:$A,$A83,Signals!$E:$E,"&gt;=0.40",Signals!$E:$E,"&lt;0.50",Signals!$N:$N,"YES")+COUNTIFS(Signals!$A:$A,$A83,Signals!$E:$E,"&gt;=0.40",Signals!$E:$E,"&lt;0.50",Signals!$N:$N,"NO")</f>
        <v/>
      </c>
      <c r="E83" s="66">
        <f>IFERROR(COUNTIFS(Signals!$A:$A,$A83,Signals!$E:$E,"&gt;=0.50",Signals!$E:$E,"&lt;0.60",Signals!$N:$N,"YES")/(COUNTIFS(Signals!$A:$A,$A83,Signals!$E:$E,"&gt;=0.50",Signals!$E:$E,"&lt;0.60",Signals!$N:$N,"YES")+COUNTIFS(Signals!$A:$A,$A83,Signals!$E:$E,"&gt;=0.50",Signals!$E:$E,"&lt;0.60",Signals!$N:$N,"NO")),"")</f>
        <v/>
      </c>
      <c r="F83" s="65">
        <f>COUNTIFS(Signals!$A:$A,$A83,Signals!$E:$E,"&gt;=0.50",Signals!$E:$E,"&lt;0.60",Signals!$N:$N,"YES")+COUNTIFS(Signals!$A:$A,$A83,Signals!$E:$E,"&gt;=0.50",Signals!$E:$E,"&lt;0.60",Signals!$N:$N,"NO")</f>
        <v/>
      </c>
      <c r="G83" s="66">
        <f>IFERROR(COUNTIFS(Signals!$A:$A,$A83,Signals!$E:$E,"&gt;=0.60",Signals!$E:$E,"&lt;0.70",Signals!$N:$N,"YES")/(COUNTIFS(Signals!$A:$A,$A83,Signals!$E:$E,"&gt;=0.60",Signals!$E:$E,"&lt;0.70",Signals!$N:$N,"YES")+COUNTIFS(Signals!$A:$A,$A83,Signals!$E:$E,"&gt;=0.60",Signals!$E:$E,"&lt;0.70",Signals!$N:$N,"NO")),"")</f>
        <v/>
      </c>
      <c r="H83" s="65">
        <f>COUNTIFS(Signals!$A:$A,$A83,Signals!$E:$E,"&gt;=0.60",Signals!$E:$E,"&lt;0.70",Signals!$N:$N,"YES")+COUNTIFS(Signals!$A:$A,$A83,Signals!$E:$E,"&gt;=0.60",Signals!$E:$E,"&lt;0.70",Signals!$N:$N,"NO")</f>
        <v/>
      </c>
      <c r="I83" s="67">
        <f>IF(B83=0,"insufficient data",IF(AND(E83&gt;C83,E83&gt;G83),"✓ YES","NO"))</f>
        <v/>
      </c>
    </row>
    <row r="84" ht="15" customHeight="1">
      <c r="A84" s="90" t="inlineStr">
        <is>
          <t>2026-07-30</t>
        </is>
      </c>
      <c r="B84" s="65">
        <f>COUNTIFS(Signals!$A:$A,$A84,Signals!$N:$N,"YES")+COUNTIFS(Signals!$A:$A,$A84,Signals!$N:$N,"NO")</f>
        <v/>
      </c>
      <c r="C84" s="66">
        <f>IFERROR(COUNTIFS(Signals!$A:$A,$A84,Signals!$E:$E,"&gt;=0.40",Signals!$E:$E,"&lt;0.50",Signals!$N:$N,"YES")/(COUNTIFS(Signals!$A:$A,$A84,Signals!$E:$E,"&gt;=0.40",Signals!$E:$E,"&lt;0.50",Signals!$N:$N,"YES")+COUNTIFS(Signals!$A:$A,$A84,Signals!$E:$E,"&gt;=0.40",Signals!$E:$E,"&lt;0.50",Signals!$N:$N,"NO")),"")</f>
        <v/>
      </c>
      <c r="D84" s="65">
        <f>COUNTIFS(Signals!$A:$A,$A84,Signals!$E:$E,"&gt;=0.40",Signals!$E:$E,"&lt;0.50",Signals!$N:$N,"YES")+COUNTIFS(Signals!$A:$A,$A84,Signals!$E:$E,"&gt;=0.40",Signals!$E:$E,"&lt;0.50",Signals!$N:$N,"NO")</f>
        <v/>
      </c>
      <c r="E84" s="66">
        <f>IFERROR(COUNTIFS(Signals!$A:$A,$A84,Signals!$E:$E,"&gt;=0.50",Signals!$E:$E,"&lt;0.60",Signals!$N:$N,"YES")/(COUNTIFS(Signals!$A:$A,$A84,Signals!$E:$E,"&gt;=0.50",Signals!$E:$E,"&lt;0.60",Signals!$N:$N,"YES")+COUNTIFS(Signals!$A:$A,$A84,Signals!$E:$E,"&gt;=0.50",Signals!$E:$E,"&lt;0.60",Signals!$N:$N,"NO")),"")</f>
        <v/>
      </c>
      <c r="F84" s="65">
        <f>COUNTIFS(Signals!$A:$A,$A84,Signals!$E:$E,"&gt;=0.50",Signals!$E:$E,"&lt;0.60",Signals!$N:$N,"YES")+COUNTIFS(Signals!$A:$A,$A84,Signals!$E:$E,"&gt;=0.50",Signals!$E:$E,"&lt;0.60",Signals!$N:$N,"NO")</f>
        <v/>
      </c>
      <c r="G84" s="66">
        <f>IFERROR(COUNTIFS(Signals!$A:$A,$A84,Signals!$E:$E,"&gt;=0.60",Signals!$E:$E,"&lt;0.70",Signals!$N:$N,"YES")/(COUNTIFS(Signals!$A:$A,$A84,Signals!$E:$E,"&gt;=0.60",Signals!$E:$E,"&lt;0.70",Signals!$N:$N,"YES")+COUNTIFS(Signals!$A:$A,$A84,Signals!$E:$E,"&gt;=0.60",Signals!$E:$E,"&lt;0.70",Signals!$N:$N,"NO")),"")</f>
        <v/>
      </c>
      <c r="H84" s="65">
        <f>COUNTIFS(Signals!$A:$A,$A84,Signals!$E:$E,"&gt;=0.60",Signals!$E:$E,"&lt;0.70",Signals!$N:$N,"YES")+COUNTIFS(Signals!$A:$A,$A84,Signals!$E:$E,"&gt;=0.60",Signals!$E:$E,"&lt;0.70",Signals!$N:$N,"NO")</f>
        <v/>
      </c>
      <c r="I84" s="67">
        <f>IF(B84=0,"insufficient data",IF(AND(E84&gt;C84,E84&gt;G84),"✓ YES","NO"))</f>
        <v/>
      </c>
    </row>
    <row r="85" ht="15" customHeight="1">
      <c r="A85" s="90" t="inlineStr">
        <is>
          <t>2026-07-31</t>
        </is>
      </c>
      <c r="B85" s="65">
        <f>COUNTIFS(Signals!$A:$A,$A85,Signals!$N:$N,"YES")+COUNTIFS(Signals!$A:$A,$A85,Signals!$N:$N,"NO")</f>
        <v/>
      </c>
      <c r="C85" s="66">
        <f>IFERROR(COUNTIFS(Signals!$A:$A,$A85,Signals!$E:$E,"&gt;=0.40",Signals!$E:$E,"&lt;0.50",Signals!$N:$N,"YES")/(COUNTIFS(Signals!$A:$A,$A85,Signals!$E:$E,"&gt;=0.40",Signals!$E:$E,"&lt;0.50",Signals!$N:$N,"YES")+COUNTIFS(Signals!$A:$A,$A85,Signals!$E:$E,"&gt;=0.40",Signals!$E:$E,"&lt;0.50",Signals!$N:$N,"NO")),"")</f>
        <v/>
      </c>
      <c r="D85" s="65">
        <f>COUNTIFS(Signals!$A:$A,$A85,Signals!$E:$E,"&gt;=0.40",Signals!$E:$E,"&lt;0.50",Signals!$N:$N,"YES")+COUNTIFS(Signals!$A:$A,$A85,Signals!$E:$E,"&gt;=0.40",Signals!$E:$E,"&lt;0.50",Signals!$N:$N,"NO")</f>
        <v/>
      </c>
      <c r="E85" s="66">
        <f>IFERROR(COUNTIFS(Signals!$A:$A,$A85,Signals!$E:$E,"&gt;=0.50",Signals!$E:$E,"&lt;0.60",Signals!$N:$N,"YES")/(COUNTIFS(Signals!$A:$A,$A85,Signals!$E:$E,"&gt;=0.50",Signals!$E:$E,"&lt;0.60",Signals!$N:$N,"YES")+COUNTIFS(Signals!$A:$A,$A85,Signals!$E:$E,"&gt;=0.50",Signals!$E:$E,"&lt;0.60",Signals!$N:$N,"NO")),"")</f>
        <v/>
      </c>
      <c r="F85" s="65">
        <f>COUNTIFS(Signals!$A:$A,$A85,Signals!$E:$E,"&gt;=0.50",Signals!$E:$E,"&lt;0.60",Signals!$N:$N,"YES")+COUNTIFS(Signals!$A:$A,$A85,Signals!$E:$E,"&gt;=0.50",Signals!$E:$E,"&lt;0.60",Signals!$N:$N,"NO")</f>
        <v/>
      </c>
      <c r="G85" s="66">
        <f>IFERROR(COUNTIFS(Signals!$A:$A,$A85,Signals!$E:$E,"&gt;=0.60",Signals!$E:$E,"&lt;0.70",Signals!$N:$N,"YES")/(COUNTIFS(Signals!$A:$A,$A85,Signals!$E:$E,"&gt;=0.60",Signals!$E:$E,"&lt;0.70",Signals!$N:$N,"YES")+COUNTIFS(Signals!$A:$A,$A85,Signals!$E:$E,"&gt;=0.60",Signals!$E:$E,"&lt;0.70",Signals!$N:$N,"NO")),"")</f>
        <v/>
      </c>
      <c r="H85" s="65">
        <f>COUNTIFS(Signals!$A:$A,$A85,Signals!$E:$E,"&gt;=0.60",Signals!$E:$E,"&lt;0.70",Signals!$N:$N,"YES")+COUNTIFS(Signals!$A:$A,$A85,Signals!$E:$E,"&gt;=0.60",Signals!$E:$E,"&lt;0.70",Signals!$N:$N,"NO")</f>
        <v/>
      </c>
      <c r="I85" s="67">
        <f>IF(B85=0,"insufficient data",IF(AND(E85&gt;C85,E85&gt;G85),"✓ YES","NO"))</f>
        <v/>
      </c>
    </row>
    <row r="86" ht="15" customHeight="1">
      <c r="A86" s="90" t="inlineStr">
        <is>
          <t>2026-08-03</t>
        </is>
      </c>
      <c r="B86" s="65">
        <f>COUNTIFS(Signals!$A:$A,$A86,Signals!$N:$N,"YES")+COUNTIFS(Signals!$A:$A,$A86,Signals!$N:$N,"NO")</f>
        <v/>
      </c>
      <c r="C86" s="66">
        <f>IFERROR(COUNTIFS(Signals!$A:$A,$A86,Signals!$E:$E,"&gt;=0.40",Signals!$E:$E,"&lt;0.50",Signals!$N:$N,"YES")/(COUNTIFS(Signals!$A:$A,$A86,Signals!$E:$E,"&gt;=0.40",Signals!$E:$E,"&lt;0.50",Signals!$N:$N,"YES")+COUNTIFS(Signals!$A:$A,$A86,Signals!$E:$E,"&gt;=0.40",Signals!$E:$E,"&lt;0.50",Signals!$N:$N,"NO")),"")</f>
        <v/>
      </c>
      <c r="D86" s="65">
        <f>COUNTIFS(Signals!$A:$A,$A86,Signals!$E:$E,"&gt;=0.40",Signals!$E:$E,"&lt;0.50",Signals!$N:$N,"YES")+COUNTIFS(Signals!$A:$A,$A86,Signals!$E:$E,"&gt;=0.40",Signals!$E:$E,"&lt;0.50",Signals!$N:$N,"NO")</f>
        <v/>
      </c>
      <c r="E86" s="66">
        <f>IFERROR(COUNTIFS(Signals!$A:$A,$A86,Signals!$E:$E,"&gt;=0.50",Signals!$E:$E,"&lt;0.60",Signals!$N:$N,"YES")/(COUNTIFS(Signals!$A:$A,$A86,Signals!$E:$E,"&gt;=0.50",Signals!$E:$E,"&lt;0.60",Signals!$N:$N,"YES")+COUNTIFS(Signals!$A:$A,$A86,Signals!$E:$E,"&gt;=0.50",Signals!$E:$E,"&lt;0.60",Signals!$N:$N,"NO")),"")</f>
        <v/>
      </c>
      <c r="F86" s="65">
        <f>COUNTIFS(Signals!$A:$A,$A86,Signals!$E:$E,"&gt;=0.50",Signals!$E:$E,"&lt;0.60",Signals!$N:$N,"YES")+COUNTIFS(Signals!$A:$A,$A86,Signals!$E:$E,"&gt;=0.50",Signals!$E:$E,"&lt;0.60",Signals!$N:$N,"NO")</f>
        <v/>
      </c>
      <c r="G86" s="66">
        <f>IFERROR(COUNTIFS(Signals!$A:$A,$A86,Signals!$E:$E,"&gt;=0.60",Signals!$E:$E,"&lt;0.70",Signals!$N:$N,"YES")/(COUNTIFS(Signals!$A:$A,$A86,Signals!$E:$E,"&gt;=0.60",Signals!$E:$E,"&lt;0.70",Signals!$N:$N,"YES")+COUNTIFS(Signals!$A:$A,$A86,Signals!$E:$E,"&gt;=0.60",Signals!$E:$E,"&lt;0.70",Signals!$N:$N,"NO")),"")</f>
        <v/>
      </c>
      <c r="H86" s="65">
        <f>COUNTIFS(Signals!$A:$A,$A86,Signals!$E:$E,"&gt;=0.60",Signals!$E:$E,"&lt;0.70",Signals!$N:$N,"YES")+COUNTIFS(Signals!$A:$A,$A86,Signals!$E:$E,"&gt;=0.60",Signals!$E:$E,"&lt;0.70",Signals!$N:$N,"NO")</f>
        <v/>
      </c>
      <c r="I86" s="67">
        <f>IF(B86=0,"insufficient data",IF(AND(E86&gt;C86,E86&gt;G86),"✓ YES","NO"))</f>
        <v/>
      </c>
    </row>
    <row r="87" ht="15" customHeight="1">
      <c r="A87" s="90" t="inlineStr">
        <is>
          <t>2026-08-04</t>
        </is>
      </c>
      <c r="B87" s="65">
        <f>COUNTIFS(Signals!$A:$A,$A87,Signals!$N:$N,"YES")+COUNTIFS(Signals!$A:$A,$A87,Signals!$N:$N,"NO")</f>
        <v/>
      </c>
      <c r="C87" s="66">
        <f>IFERROR(COUNTIFS(Signals!$A:$A,$A87,Signals!$E:$E,"&gt;=0.40",Signals!$E:$E,"&lt;0.50",Signals!$N:$N,"YES")/(COUNTIFS(Signals!$A:$A,$A87,Signals!$E:$E,"&gt;=0.40",Signals!$E:$E,"&lt;0.50",Signals!$N:$N,"YES")+COUNTIFS(Signals!$A:$A,$A87,Signals!$E:$E,"&gt;=0.40",Signals!$E:$E,"&lt;0.50",Signals!$N:$N,"NO")),"")</f>
        <v/>
      </c>
      <c r="D87" s="65">
        <f>COUNTIFS(Signals!$A:$A,$A87,Signals!$E:$E,"&gt;=0.40",Signals!$E:$E,"&lt;0.50",Signals!$N:$N,"YES")+COUNTIFS(Signals!$A:$A,$A87,Signals!$E:$E,"&gt;=0.40",Signals!$E:$E,"&lt;0.50",Signals!$N:$N,"NO")</f>
        <v/>
      </c>
      <c r="E87" s="66">
        <f>IFERROR(COUNTIFS(Signals!$A:$A,$A87,Signals!$E:$E,"&gt;=0.50",Signals!$E:$E,"&lt;0.60",Signals!$N:$N,"YES")/(COUNTIFS(Signals!$A:$A,$A87,Signals!$E:$E,"&gt;=0.50",Signals!$E:$E,"&lt;0.60",Signals!$N:$N,"YES")+COUNTIFS(Signals!$A:$A,$A87,Signals!$E:$E,"&gt;=0.50",Signals!$E:$E,"&lt;0.60",Signals!$N:$N,"NO")),"")</f>
        <v/>
      </c>
      <c r="F87" s="65">
        <f>COUNTIFS(Signals!$A:$A,$A87,Signals!$E:$E,"&gt;=0.50",Signals!$E:$E,"&lt;0.60",Signals!$N:$N,"YES")+COUNTIFS(Signals!$A:$A,$A87,Signals!$E:$E,"&gt;=0.50",Signals!$E:$E,"&lt;0.60",Signals!$N:$N,"NO")</f>
        <v/>
      </c>
      <c r="G87" s="66">
        <f>IFERROR(COUNTIFS(Signals!$A:$A,$A87,Signals!$E:$E,"&gt;=0.60",Signals!$E:$E,"&lt;0.70",Signals!$N:$N,"YES")/(COUNTIFS(Signals!$A:$A,$A87,Signals!$E:$E,"&gt;=0.60",Signals!$E:$E,"&lt;0.70",Signals!$N:$N,"YES")+COUNTIFS(Signals!$A:$A,$A87,Signals!$E:$E,"&gt;=0.60",Signals!$E:$E,"&lt;0.70",Signals!$N:$N,"NO")),"")</f>
        <v/>
      </c>
      <c r="H87" s="65">
        <f>COUNTIFS(Signals!$A:$A,$A87,Signals!$E:$E,"&gt;=0.60",Signals!$E:$E,"&lt;0.70",Signals!$N:$N,"YES")+COUNTIFS(Signals!$A:$A,$A87,Signals!$E:$E,"&gt;=0.60",Signals!$E:$E,"&lt;0.70",Signals!$N:$N,"NO")</f>
        <v/>
      </c>
      <c r="I87" s="67">
        <f>IF(B87=0,"insufficient data",IF(AND(E87&gt;C87,E87&gt;G87),"✓ YES","NO"))</f>
        <v/>
      </c>
    </row>
    <row r="88" ht="15" customHeight="1">
      <c r="A88" s="90" t="inlineStr">
        <is>
          <t>2026-08-05</t>
        </is>
      </c>
      <c r="B88" s="65">
        <f>COUNTIFS(Signals!$A:$A,$A88,Signals!$N:$N,"YES")+COUNTIFS(Signals!$A:$A,$A88,Signals!$N:$N,"NO")</f>
        <v/>
      </c>
      <c r="C88" s="66">
        <f>IFERROR(COUNTIFS(Signals!$A:$A,$A88,Signals!$E:$E,"&gt;=0.40",Signals!$E:$E,"&lt;0.50",Signals!$N:$N,"YES")/(COUNTIFS(Signals!$A:$A,$A88,Signals!$E:$E,"&gt;=0.40",Signals!$E:$E,"&lt;0.50",Signals!$N:$N,"YES")+COUNTIFS(Signals!$A:$A,$A88,Signals!$E:$E,"&gt;=0.40",Signals!$E:$E,"&lt;0.50",Signals!$N:$N,"NO")),"")</f>
        <v/>
      </c>
      <c r="D88" s="65">
        <f>COUNTIFS(Signals!$A:$A,$A88,Signals!$E:$E,"&gt;=0.40",Signals!$E:$E,"&lt;0.50",Signals!$N:$N,"YES")+COUNTIFS(Signals!$A:$A,$A88,Signals!$E:$E,"&gt;=0.40",Signals!$E:$E,"&lt;0.50",Signals!$N:$N,"NO")</f>
        <v/>
      </c>
      <c r="E88" s="66">
        <f>IFERROR(COUNTIFS(Signals!$A:$A,$A88,Signals!$E:$E,"&gt;=0.50",Signals!$E:$E,"&lt;0.60",Signals!$N:$N,"YES")/(COUNTIFS(Signals!$A:$A,$A88,Signals!$E:$E,"&gt;=0.50",Signals!$E:$E,"&lt;0.60",Signals!$N:$N,"YES")+COUNTIFS(Signals!$A:$A,$A88,Signals!$E:$E,"&gt;=0.50",Signals!$E:$E,"&lt;0.60",Signals!$N:$N,"NO")),"")</f>
        <v/>
      </c>
      <c r="F88" s="65">
        <f>COUNTIFS(Signals!$A:$A,$A88,Signals!$E:$E,"&gt;=0.50",Signals!$E:$E,"&lt;0.60",Signals!$N:$N,"YES")+COUNTIFS(Signals!$A:$A,$A88,Signals!$E:$E,"&gt;=0.50",Signals!$E:$E,"&lt;0.60",Signals!$N:$N,"NO")</f>
        <v/>
      </c>
      <c r="G88" s="66">
        <f>IFERROR(COUNTIFS(Signals!$A:$A,$A88,Signals!$E:$E,"&gt;=0.60",Signals!$E:$E,"&lt;0.70",Signals!$N:$N,"YES")/(COUNTIFS(Signals!$A:$A,$A88,Signals!$E:$E,"&gt;=0.60",Signals!$E:$E,"&lt;0.70",Signals!$N:$N,"YES")+COUNTIFS(Signals!$A:$A,$A88,Signals!$E:$E,"&gt;=0.60",Signals!$E:$E,"&lt;0.70",Signals!$N:$N,"NO")),"")</f>
        <v/>
      </c>
      <c r="H88" s="65">
        <f>COUNTIFS(Signals!$A:$A,$A88,Signals!$E:$E,"&gt;=0.60",Signals!$E:$E,"&lt;0.70",Signals!$N:$N,"YES")+COUNTIFS(Signals!$A:$A,$A88,Signals!$E:$E,"&gt;=0.60",Signals!$E:$E,"&lt;0.70",Signals!$N:$N,"NO")</f>
        <v/>
      </c>
      <c r="I88" s="67">
        <f>IF(B88=0,"insufficient data",IF(AND(E88&gt;C88,E88&gt;G88),"✓ YES","NO"))</f>
        <v/>
      </c>
    </row>
    <row r="89" ht="15" customHeight="1">
      <c r="A89" s="90" t="inlineStr">
        <is>
          <t>2026-08-06</t>
        </is>
      </c>
      <c r="B89" s="65">
        <f>COUNTIFS(Signals!$A:$A,$A89,Signals!$N:$N,"YES")+COUNTIFS(Signals!$A:$A,$A89,Signals!$N:$N,"NO")</f>
        <v/>
      </c>
      <c r="C89" s="66">
        <f>IFERROR(COUNTIFS(Signals!$A:$A,$A89,Signals!$E:$E,"&gt;=0.40",Signals!$E:$E,"&lt;0.50",Signals!$N:$N,"YES")/(COUNTIFS(Signals!$A:$A,$A89,Signals!$E:$E,"&gt;=0.40",Signals!$E:$E,"&lt;0.50",Signals!$N:$N,"YES")+COUNTIFS(Signals!$A:$A,$A89,Signals!$E:$E,"&gt;=0.40",Signals!$E:$E,"&lt;0.50",Signals!$N:$N,"NO")),"")</f>
        <v/>
      </c>
      <c r="D89" s="65">
        <f>COUNTIFS(Signals!$A:$A,$A89,Signals!$E:$E,"&gt;=0.40",Signals!$E:$E,"&lt;0.50",Signals!$N:$N,"YES")+COUNTIFS(Signals!$A:$A,$A89,Signals!$E:$E,"&gt;=0.40",Signals!$E:$E,"&lt;0.50",Signals!$N:$N,"NO")</f>
        <v/>
      </c>
      <c r="E89" s="66">
        <f>IFERROR(COUNTIFS(Signals!$A:$A,$A89,Signals!$E:$E,"&gt;=0.50",Signals!$E:$E,"&lt;0.60",Signals!$N:$N,"YES")/(COUNTIFS(Signals!$A:$A,$A89,Signals!$E:$E,"&gt;=0.50",Signals!$E:$E,"&lt;0.60",Signals!$N:$N,"YES")+COUNTIFS(Signals!$A:$A,$A89,Signals!$E:$E,"&gt;=0.50",Signals!$E:$E,"&lt;0.60",Signals!$N:$N,"NO")),"")</f>
        <v/>
      </c>
      <c r="F89" s="65">
        <f>COUNTIFS(Signals!$A:$A,$A89,Signals!$E:$E,"&gt;=0.50",Signals!$E:$E,"&lt;0.60",Signals!$N:$N,"YES")+COUNTIFS(Signals!$A:$A,$A89,Signals!$E:$E,"&gt;=0.50",Signals!$E:$E,"&lt;0.60",Signals!$N:$N,"NO")</f>
        <v/>
      </c>
      <c r="G89" s="66">
        <f>IFERROR(COUNTIFS(Signals!$A:$A,$A89,Signals!$E:$E,"&gt;=0.60",Signals!$E:$E,"&lt;0.70",Signals!$N:$N,"YES")/(COUNTIFS(Signals!$A:$A,$A89,Signals!$E:$E,"&gt;=0.60",Signals!$E:$E,"&lt;0.70",Signals!$N:$N,"YES")+COUNTIFS(Signals!$A:$A,$A89,Signals!$E:$E,"&gt;=0.60",Signals!$E:$E,"&lt;0.70",Signals!$N:$N,"NO")),"")</f>
        <v/>
      </c>
      <c r="H89" s="65">
        <f>COUNTIFS(Signals!$A:$A,$A89,Signals!$E:$E,"&gt;=0.60",Signals!$E:$E,"&lt;0.70",Signals!$N:$N,"YES")+COUNTIFS(Signals!$A:$A,$A89,Signals!$E:$E,"&gt;=0.60",Signals!$E:$E,"&lt;0.70",Signals!$N:$N,"NO")</f>
        <v/>
      </c>
      <c r="I89" s="67">
        <f>IF(B89=0,"insufficient data",IF(AND(E89&gt;C89,E89&gt;G89),"✓ YES","NO"))</f>
        <v/>
      </c>
    </row>
    <row r="90" ht="15" customHeight="1">
      <c r="A90" s="90" t="inlineStr">
        <is>
          <t>2026-08-07</t>
        </is>
      </c>
      <c r="B90" s="65">
        <f>COUNTIFS(Signals!$A:$A,$A90,Signals!$N:$N,"YES")+COUNTIFS(Signals!$A:$A,$A90,Signals!$N:$N,"NO")</f>
        <v/>
      </c>
      <c r="C90" s="66">
        <f>IFERROR(COUNTIFS(Signals!$A:$A,$A90,Signals!$E:$E,"&gt;=0.40",Signals!$E:$E,"&lt;0.50",Signals!$N:$N,"YES")/(COUNTIFS(Signals!$A:$A,$A90,Signals!$E:$E,"&gt;=0.40",Signals!$E:$E,"&lt;0.50",Signals!$N:$N,"YES")+COUNTIFS(Signals!$A:$A,$A90,Signals!$E:$E,"&gt;=0.40",Signals!$E:$E,"&lt;0.50",Signals!$N:$N,"NO")),"")</f>
        <v/>
      </c>
      <c r="D90" s="65">
        <f>COUNTIFS(Signals!$A:$A,$A90,Signals!$E:$E,"&gt;=0.40",Signals!$E:$E,"&lt;0.50",Signals!$N:$N,"YES")+COUNTIFS(Signals!$A:$A,$A90,Signals!$E:$E,"&gt;=0.40",Signals!$E:$E,"&lt;0.50",Signals!$N:$N,"NO")</f>
        <v/>
      </c>
      <c r="E90" s="66">
        <f>IFERROR(COUNTIFS(Signals!$A:$A,$A90,Signals!$E:$E,"&gt;=0.50",Signals!$E:$E,"&lt;0.60",Signals!$N:$N,"YES")/(COUNTIFS(Signals!$A:$A,$A90,Signals!$E:$E,"&gt;=0.50",Signals!$E:$E,"&lt;0.60",Signals!$N:$N,"YES")+COUNTIFS(Signals!$A:$A,$A90,Signals!$E:$E,"&gt;=0.50",Signals!$E:$E,"&lt;0.60",Signals!$N:$N,"NO")),"")</f>
        <v/>
      </c>
      <c r="F90" s="65">
        <f>COUNTIFS(Signals!$A:$A,$A90,Signals!$E:$E,"&gt;=0.50",Signals!$E:$E,"&lt;0.60",Signals!$N:$N,"YES")+COUNTIFS(Signals!$A:$A,$A90,Signals!$E:$E,"&gt;=0.50",Signals!$E:$E,"&lt;0.60",Signals!$N:$N,"NO")</f>
        <v/>
      </c>
      <c r="G90" s="66">
        <f>IFERROR(COUNTIFS(Signals!$A:$A,$A90,Signals!$E:$E,"&gt;=0.60",Signals!$E:$E,"&lt;0.70",Signals!$N:$N,"YES")/(COUNTIFS(Signals!$A:$A,$A90,Signals!$E:$E,"&gt;=0.60",Signals!$E:$E,"&lt;0.70",Signals!$N:$N,"YES")+COUNTIFS(Signals!$A:$A,$A90,Signals!$E:$E,"&gt;=0.60",Signals!$E:$E,"&lt;0.70",Signals!$N:$N,"NO")),"")</f>
        <v/>
      </c>
      <c r="H90" s="65">
        <f>COUNTIFS(Signals!$A:$A,$A90,Signals!$E:$E,"&gt;=0.60",Signals!$E:$E,"&lt;0.70",Signals!$N:$N,"YES")+COUNTIFS(Signals!$A:$A,$A90,Signals!$E:$E,"&gt;=0.60",Signals!$E:$E,"&lt;0.70",Signals!$N:$N,"NO")</f>
        <v/>
      </c>
      <c r="I90" s="67">
        <f>IF(B90=0,"insufficient data",IF(AND(E90&gt;C90,E90&gt;G90),"✓ YES","NO"))</f>
        <v/>
      </c>
    </row>
    <row r="91" ht="15" customHeight="1">
      <c r="A91" s="90" t="inlineStr">
        <is>
          <t>2026-08-10</t>
        </is>
      </c>
      <c r="B91" s="65">
        <f>COUNTIFS(Signals!$A:$A,$A91,Signals!$N:$N,"YES")+COUNTIFS(Signals!$A:$A,$A91,Signals!$N:$N,"NO")</f>
        <v/>
      </c>
      <c r="C91" s="66">
        <f>IFERROR(COUNTIFS(Signals!$A:$A,$A91,Signals!$E:$E,"&gt;=0.40",Signals!$E:$E,"&lt;0.50",Signals!$N:$N,"YES")/(COUNTIFS(Signals!$A:$A,$A91,Signals!$E:$E,"&gt;=0.40",Signals!$E:$E,"&lt;0.50",Signals!$N:$N,"YES")+COUNTIFS(Signals!$A:$A,$A91,Signals!$E:$E,"&gt;=0.40",Signals!$E:$E,"&lt;0.50",Signals!$N:$N,"NO")),"")</f>
        <v/>
      </c>
      <c r="D91" s="65">
        <f>COUNTIFS(Signals!$A:$A,$A91,Signals!$E:$E,"&gt;=0.40",Signals!$E:$E,"&lt;0.50",Signals!$N:$N,"YES")+COUNTIFS(Signals!$A:$A,$A91,Signals!$E:$E,"&gt;=0.40",Signals!$E:$E,"&lt;0.50",Signals!$N:$N,"NO")</f>
        <v/>
      </c>
      <c r="E91" s="66">
        <f>IFERROR(COUNTIFS(Signals!$A:$A,$A91,Signals!$E:$E,"&gt;=0.50",Signals!$E:$E,"&lt;0.60",Signals!$N:$N,"YES")/(COUNTIFS(Signals!$A:$A,$A91,Signals!$E:$E,"&gt;=0.50",Signals!$E:$E,"&lt;0.60",Signals!$N:$N,"YES")+COUNTIFS(Signals!$A:$A,$A91,Signals!$E:$E,"&gt;=0.50",Signals!$E:$E,"&lt;0.60",Signals!$N:$N,"NO")),"")</f>
        <v/>
      </c>
      <c r="F91" s="65">
        <f>COUNTIFS(Signals!$A:$A,$A91,Signals!$E:$E,"&gt;=0.50",Signals!$E:$E,"&lt;0.60",Signals!$N:$N,"YES")+COUNTIFS(Signals!$A:$A,$A91,Signals!$E:$E,"&gt;=0.50",Signals!$E:$E,"&lt;0.60",Signals!$N:$N,"NO")</f>
        <v/>
      </c>
      <c r="G91" s="66">
        <f>IFERROR(COUNTIFS(Signals!$A:$A,$A91,Signals!$E:$E,"&gt;=0.60",Signals!$E:$E,"&lt;0.70",Signals!$N:$N,"YES")/(COUNTIFS(Signals!$A:$A,$A91,Signals!$E:$E,"&gt;=0.60",Signals!$E:$E,"&lt;0.70",Signals!$N:$N,"YES")+COUNTIFS(Signals!$A:$A,$A91,Signals!$E:$E,"&gt;=0.60",Signals!$E:$E,"&lt;0.70",Signals!$N:$N,"NO")),"")</f>
        <v/>
      </c>
      <c r="H91" s="65">
        <f>COUNTIFS(Signals!$A:$A,$A91,Signals!$E:$E,"&gt;=0.60",Signals!$E:$E,"&lt;0.70",Signals!$N:$N,"YES")+COUNTIFS(Signals!$A:$A,$A91,Signals!$E:$E,"&gt;=0.60",Signals!$E:$E,"&lt;0.70",Signals!$N:$N,"NO")</f>
        <v/>
      </c>
      <c r="I91" s="67">
        <f>IF(B91=0,"insufficient data",IF(AND(E91&gt;C91,E91&gt;G91),"✓ YES","NO"))</f>
        <v/>
      </c>
    </row>
    <row r="92" ht="15" customHeight="1">
      <c r="A92" s="90" t="inlineStr">
        <is>
          <t>2026-08-11</t>
        </is>
      </c>
      <c r="B92" s="65">
        <f>COUNTIFS(Signals!$A:$A,$A92,Signals!$N:$N,"YES")+COUNTIFS(Signals!$A:$A,$A92,Signals!$N:$N,"NO")</f>
        <v/>
      </c>
      <c r="C92" s="66">
        <f>IFERROR(COUNTIFS(Signals!$A:$A,$A92,Signals!$E:$E,"&gt;=0.40",Signals!$E:$E,"&lt;0.50",Signals!$N:$N,"YES")/(COUNTIFS(Signals!$A:$A,$A92,Signals!$E:$E,"&gt;=0.40",Signals!$E:$E,"&lt;0.50",Signals!$N:$N,"YES")+COUNTIFS(Signals!$A:$A,$A92,Signals!$E:$E,"&gt;=0.40",Signals!$E:$E,"&lt;0.50",Signals!$N:$N,"NO")),"")</f>
        <v/>
      </c>
      <c r="D92" s="65">
        <f>COUNTIFS(Signals!$A:$A,$A92,Signals!$E:$E,"&gt;=0.40",Signals!$E:$E,"&lt;0.50",Signals!$N:$N,"YES")+COUNTIFS(Signals!$A:$A,$A92,Signals!$E:$E,"&gt;=0.40",Signals!$E:$E,"&lt;0.50",Signals!$N:$N,"NO")</f>
        <v/>
      </c>
      <c r="E92" s="66">
        <f>IFERROR(COUNTIFS(Signals!$A:$A,$A92,Signals!$E:$E,"&gt;=0.50",Signals!$E:$E,"&lt;0.60",Signals!$N:$N,"YES")/(COUNTIFS(Signals!$A:$A,$A92,Signals!$E:$E,"&gt;=0.50",Signals!$E:$E,"&lt;0.60",Signals!$N:$N,"YES")+COUNTIFS(Signals!$A:$A,$A92,Signals!$E:$E,"&gt;=0.50",Signals!$E:$E,"&lt;0.60",Signals!$N:$N,"NO")),"")</f>
        <v/>
      </c>
      <c r="F92" s="65">
        <f>COUNTIFS(Signals!$A:$A,$A92,Signals!$E:$E,"&gt;=0.50",Signals!$E:$E,"&lt;0.60",Signals!$N:$N,"YES")+COUNTIFS(Signals!$A:$A,$A92,Signals!$E:$E,"&gt;=0.50",Signals!$E:$E,"&lt;0.60",Signals!$N:$N,"NO")</f>
        <v/>
      </c>
      <c r="G92" s="66">
        <f>IFERROR(COUNTIFS(Signals!$A:$A,$A92,Signals!$E:$E,"&gt;=0.60",Signals!$E:$E,"&lt;0.70",Signals!$N:$N,"YES")/(COUNTIFS(Signals!$A:$A,$A92,Signals!$E:$E,"&gt;=0.60",Signals!$E:$E,"&lt;0.70",Signals!$N:$N,"YES")+COUNTIFS(Signals!$A:$A,$A92,Signals!$E:$E,"&gt;=0.60",Signals!$E:$E,"&lt;0.70",Signals!$N:$N,"NO")),"")</f>
        <v/>
      </c>
      <c r="H92" s="65">
        <f>COUNTIFS(Signals!$A:$A,$A92,Signals!$E:$E,"&gt;=0.60",Signals!$E:$E,"&lt;0.70",Signals!$N:$N,"YES")+COUNTIFS(Signals!$A:$A,$A92,Signals!$E:$E,"&gt;=0.60",Signals!$E:$E,"&lt;0.70",Signals!$N:$N,"NO")</f>
        <v/>
      </c>
      <c r="I92" s="67">
        <f>IF(B92=0,"insufficient data",IF(AND(E92&gt;C92,E92&gt;G92),"✓ YES","NO"))</f>
        <v/>
      </c>
    </row>
    <row r="94" ht="45" customHeight="1">
      <c r="A94" s="68" t="inlineStr">
        <is>
          <t>ACROSS PHASE 3-A COHORTS</t>
        </is>
      </c>
      <c r="B94" s="65">
        <f>SUM(B53:B92)</f>
        <v/>
      </c>
      <c r="I94" s="67">
        <f>COUNTIF(I53:I92,"✓ YES") &amp; " of " &amp; (COUNTIF(I53:I92,"✓ YES")+COUNTIF(I53:I92,"NO")) &amp; " hold (cohorts w/ +5d data)"</f>
        <v/>
      </c>
    </row>
    <row r="96" ht="27.75" customHeight="1">
      <c r="A96" s="90" t="inlineStr">
        <is>
          <t>• Phase 3-A cohorts auto-populate as you paste signals and fill +5d prices. Same GO/NO-GO: 50-59% should lead. Section 1 (Phase 2) above is frozen/certified.</t>
        </is>
      </c>
      <c r="B96" s="70" t="n"/>
      <c r="C96" s="70" t="n"/>
      <c r="D96" s="70" t="n"/>
      <c r="E96" s="70" t="n"/>
      <c r="F96" s="70" t="n"/>
      <c r="G96" s="70" t="n"/>
      <c r="H96" s="70" t="n"/>
      <c r="I96" s="71" t="n"/>
    </row>
  </sheetData>
  <mergeCells count="7">
    <mergeCell ref="A29:I29"/>
    <mergeCell ref="A2:I2"/>
    <mergeCell ref="A51:I51"/>
    <mergeCell ref="A36:I36"/>
    <mergeCell ref="A1:I1"/>
    <mergeCell ref="A4:I4"/>
    <mergeCell ref="A96:I96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zoomScaleNormal="100" workbookViewId="0">
      <selection activeCell="A7" sqref="A7"/>
    </sheetView>
  </sheetViews>
  <sheetFormatPr baseColWidth="8" defaultColWidth="8.7109375" defaultRowHeight="15"/>
  <cols>
    <col width="24" customWidth="1" min="1" max="1"/>
    <col width="90" customWidth="1" min="2" max="2"/>
  </cols>
  <sheetData>
    <row r="1" ht="18.75" customHeight="1">
      <c r="A1" s="86" t="inlineStr">
        <is>
          <t>How to Use This Tracker</t>
        </is>
      </c>
    </row>
    <row r="2" ht="15" customHeight="1">
      <c r="A2" s="3" t="n"/>
      <c r="B2" s="72" t="n"/>
    </row>
    <row r="3" ht="30" customHeight="1">
      <c r="A3" s="3" t="inlineStr">
        <is>
          <t>Goal</t>
        </is>
      </c>
      <c r="B3" s="72" t="inlineStr">
        <is>
          <t>Determine whether Claude's signals have predictive value before advancing to Phase 3 (paper trading).</t>
        </is>
      </c>
    </row>
    <row r="4" ht="15" customHeight="1">
      <c r="A4" s="3" t="n"/>
      <c r="B4" s="72" t="n"/>
    </row>
    <row r="5" ht="15.75" customHeight="1">
      <c r="A5" s="84" t="inlineStr">
        <is>
          <t>Workflow</t>
        </is>
      </c>
    </row>
    <row r="6" ht="15" customHeight="1">
      <c r="A6" s="3" t="inlineStr">
        <is>
          <t>1. Daily</t>
        </is>
      </c>
      <c r="B6" s="72" t="inlineStr">
        <is>
          <t>Run bot, run analyzer. New signals get added manually to the Signals tab.</t>
        </is>
      </c>
    </row>
    <row r="7" ht="15" customHeight="1">
      <c r="A7" s="3" t="inlineStr">
        <is>
          <t>2. +5 days later</t>
        </is>
      </c>
      <c r="B7" s="72" t="inlineStr">
        <is>
          <t>Look up the actual price for each ticker that day. Enter it in the yellow 'Price +5d' column.</t>
        </is>
      </c>
    </row>
    <row r="8" ht="15" customHeight="1">
      <c r="A8" s="3" t="inlineStr">
        <is>
          <t>3. +10 days later</t>
        </is>
      </c>
      <c r="B8" s="72" t="inlineStr">
        <is>
          <t>Same — fill in 'Price +10d' column.</t>
        </is>
      </c>
    </row>
    <row r="9" ht="15" customHeight="1">
      <c r="A9" s="3" t="inlineStr">
        <is>
          <t>4. +20 days later</t>
        </is>
      </c>
      <c r="B9" s="72" t="inlineStr">
        <is>
          <t>Same — fill in 'Price +20d' column.</t>
        </is>
      </c>
    </row>
    <row r="10" ht="15" customHeight="1">
      <c r="A10" s="3" t="inlineStr">
        <is>
          <t>5. Watch Dashboard</t>
        </is>
      </c>
      <c r="B10" s="72" t="inlineStr">
        <is>
          <t>Returns and hit-rates auto-calculate. Patterns emerge after ~20+ data points.</t>
        </is>
      </c>
    </row>
    <row r="11" ht="15" customHeight="1">
      <c r="A11" s="3" t="n"/>
      <c r="B11" s="72" t="n"/>
    </row>
    <row r="12" ht="15.75" customHeight="1">
      <c r="A12" s="84" t="inlineStr">
        <is>
          <t>Color Code</t>
        </is>
      </c>
    </row>
    <row r="13" ht="15" customHeight="1">
      <c r="A13" s="3" t="inlineStr">
        <is>
          <t>Yellow cells</t>
        </is>
      </c>
      <c r="B13" s="72" t="inlineStr">
        <is>
          <t>Manual entry — you fill these in over time.</t>
        </is>
      </c>
    </row>
    <row r="14" ht="15" customHeight="1">
      <c r="A14" s="3" t="inlineStr">
        <is>
          <t>Gray cells</t>
        </is>
      </c>
      <c r="B14" s="72" t="inlineStr">
        <is>
          <t>Auto-calculated formulas — don't edit.</t>
        </is>
      </c>
    </row>
    <row r="15" ht="15" customHeight="1">
      <c r="A15" s="3" t="inlineStr">
        <is>
          <t>Green YES cell</t>
        </is>
      </c>
      <c r="B15" s="72" t="inlineStr">
        <is>
          <t>Claude's signal was directionally correct.</t>
        </is>
      </c>
    </row>
    <row r="16" ht="15" customHeight="1">
      <c r="A16" s="3" t="inlineStr">
        <is>
          <t>Red NO cell</t>
        </is>
      </c>
      <c r="B16" s="72" t="inlineStr">
        <is>
          <t>Claude's signal was directionally wrong.</t>
        </is>
      </c>
    </row>
    <row r="17" ht="15" customHeight="1">
      <c r="A17" s="3" t="n"/>
      <c r="B17" s="72" t="n"/>
    </row>
    <row r="18" ht="15.75" customHeight="1">
      <c r="A18" s="84" t="inlineStr">
        <is>
          <t>Hit-Rate Logic</t>
        </is>
      </c>
    </row>
    <row r="19" ht="15" customHeight="1">
      <c r="A19" s="3" t="inlineStr">
        <is>
          <t>HOLD signal</t>
        </is>
      </c>
      <c r="B19" s="72" t="inlineStr">
        <is>
          <t>Counted RIGHT if absolute 5-day return &lt; 3% (i.e., stock stayed flat as predicted).</t>
        </is>
      </c>
    </row>
    <row r="20" ht="15" customHeight="1">
      <c r="A20" s="3" t="inlineStr">
        <is>
          <t>BUY signal</t>
        </is>
      </c>
      <c r="B20" s="72" t="inlineStr">
        <is>
          <t>Counted RIGHT if 5-day return &gt; 0%.</t>
        </is>
      </c>
    </row>
    <row r="21" ht="15" customHeight="1">
      <c r="A21" s="3" t="inlineStr">
        <is>
          <t>SELL signal</t>
        </is>
      </c>
      <c r="B21" s="72" t="inlineStr">
        <is>
          <t>Counted RIGHT if 5-day return &lt; 0%.</t>
        </is>
      </c>
    </row>
    <row r="22" ht="15" customHeight="1">
      <c r="A22" s="3" t="n"/>
      <c r="B22" s="72" t="n"/>
    </row>
    <row r="23" ht="15.75" customHeight="1">
      <c r="A23" s="84" t="inlineStr">
        <is>
          <t>Decision Criteria</t>
        </is>
      </c>
    </row>
    <row r="24" ht="15" customHeight="1">
      <c r="A24" s="3" t="inlineStr">
        <is>
          <t>After 3 weeks of data</t>
        </is>
      </c>
      <c r="B24" s="72" t="inlineStr">
        <is>
          <t>Look at Dashboard. Three key tests:</t>
        </is>
      </c>
    </row>
    <row r="25" ht="15" customHeight="1">
      <c r="A25" s="3" t="inlineStr">
        <is>
          <t>Test 1</t>
        </is>
      </c>
      <c r="B25" s="72" t="inlineStr">
        <is>
          <t>Does hit-rate at 70%+ confidence exceed hit-rate at 40-50% confidence?</t>
        </is>
      </c>
    </row>
    <row r="26" ht="15" customHeight="1">
      <c r="A26" s="3" t="inlineStr">
        <is>
          <t>Test 2</t>
        </is>
      </c>
      <c r="B26" s="72" t="inlineStr">
        <is>
          <t>Does HIGH data quality outperform MEDIUM/LOW?</t>
        </is>
      </c>
    </row>
    <row r="27" ht="15" customHeight="1">
      <c r="A27" s="3" t="inlineStr">
        <is>
          <t>Test 3</t>
        </is>
      </c>
      <c r="B27" s="72" t="inlineStr">
        <is>
          <t>Do at least a few BUY/SELL signals appear, not just HOLDs?</t>
        </is>
      </c>
    </row>
    <row r="28" ht="15" customHeight="1">
      <c r="A28" s="3" t="inlineStr">
        <is>
          <t>If yes to all three</t>
        </is>
      </c>
      <c r="B28" s="72" t="inlineStr">
        <is>
          <t>Advance to Phase 3 (paper trading).</t>
        </is>
      </c>
    </row>
    <row r="29" ht="15" customHeight="1">
      <c r="A29" s="3" t="inlineStr">
        <is>
          <t>If no</t>
        </is>
      </c>
      <c r="B29" s="72" t="inlineStr">
        <is>
          <t>Review prompts, news sources, or risk engine thresholds before advancing.</t>
        </is>
      </c>
    </row>
    <row r="30" ht="15" customHeight="1">
      <c r="A30" s="3" t="n"/>
      <c r="B30" s="72" t="n"/>
    </row>
    <row r="31" ht="15.75" customHeight="1">
      <c r="A31" s="84" t="inlineStr">
        <is>
          <t>Important</t>
        </is>
      </c>
    </row>
    <row r="32" ht="15" customHeight="1">
      <c r="A32" s="3" t="inlineStr">
        <is>
          <t>Honest scoring</t>
        </is>
      </c>
      <c r="B32" s="72" t="inlineStr">
        <is>
          <t>Don't fudge the 'right/wrong' calls. The whole point is empirical evidence.</t>
        </is>
      </c>
    </row>
    <row r="33" ht="15" customHeight="1">
      <c r="A33" s="3" t="inlineStr">
        <is>
          <t>Sample size</t>
        </is>
      </c>
      <c r="B33" s="72" t="inlineStr">
        <is>
          <t>Don't conclude anything from &lt; 30 outcome data points. Statistical noise dominates.</t>
        </is>
      </c>
    </row>
    <row r="34" ht="15" customHeight="1">
      <c r="A34" s="3" t="inlineStr">
        <is>
          <t>Phase discipline</t>
        </is>
      </c>
      <c r="B34" s="72" t="inlineStr">
        <is>
          <t>Resist changing prompts or thresholds mid-experiment. Tune AFTER you have data.</t>
        </is>
      </c>
    </row>
  </sheetData>
  <mergeCells count="6">
    <mergeCell ref="A5:B5"/>
    <mergeCell ref="A1:B1"/>
    <mergeCell ref="A23:B23"/>
    <mergeCell ref="A18:B18"/>
    <mergeCell ref="A31:B31"/>
    <mergeCell ref="A12:B1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31" t="inlineStr">
        <is>
          <t>Guardrail Compression Trace — cumulative +5d hit rate by confidence band</t>
        </is>
      </c>
    </row>
    <row r="2">
      <c r="A2" s="132" t="inlineStr">
        <is>
          <t>Auto-generated by guardrail_trace.py · source: Signals tab · as of 2026-06-15. The 50-59% band must lead 60-69%.</t>
        </is>
      </c>
    </row>
    <row r="4">
      <c r="A4" s="133" t="inlineStr">
        <is>
          <t>Cohort</t>
        </is>
      </c>
      <c r="B4" s="133" t="inlineStr">
        <is>
          <t>50-59 (coh)</t>
        </is>
      </c>
      <c r="C4" s="133" t="inlineStr">
        <is>
          <t>60-69 (coh)</t>
        </is>
      </c>
      <c r="D4" s="133" t="inlineStr">
        <is>
          <t>cum 50-59</t>
        </is>
      </c>
      <c r="E4" s="133" t="inlineStr">
        <is>
          <t>cum 60-69</t>
        </is>
      </c>
      <c r="F4" s="133" t="inlineStr">
        <is>
          <t>cum 40-49</t>
        </is>
      </c>
      <c r="G4" s="133" t="inlineStr">
        <is>
          <t>lead gap (pt)</t>
        </is>
      </c>
    </row>
    <row r="5">
      <c r="A5" s="134" t="n">
        <v>46160</v>
      </c>
      <c r="B5" s="135" t="inlineStr">
        <is>
          <t>8/14</t>
        </is>
      </c>
      <c r="C5" s="135" t="inlineStr">
        <is>
          <t>2/4</t>
        </is>
      </c>
      <c r="D5" s="136" t="n">
        <v>0.5714285714285714</v>
      </c>
      <c r="E5" s="136" t="n">
        <v>0.5</v>
      </c>
      <c r="F5" s="136" t="n">
        <v>0.3333333333333333</v>
      </c>
      <c r="G5" s="137" t="n">
        <v>7.1</v>
      </c>
    </row>
    <row r="6">
      <c r="A6" s="134" t="n">
        <v>46161</v>
      </c>
      <c r="B6" s="135" t="inlineStr">
        <is>
          <t>5/10</t>
        </is>
      </c>
      <c r="C6" s="135" t="inlineStr">
        <is>
          <t>1/7</t>
        </is>
      </c>
      <c r="D6" s="136" t="n">
        <v>0.5416666666666666</v>
      </c>
      <c r="E6" s="136" t="n">
        <v>0.2727272727272727</v>
      </c>
      <c r="F6" s="136" t="n">
        <v>0.3846153846153846</v>
      </c>
      <c r="G6" s="137" t="n">
        <v>26.9</v>
      </c>
    </row>
    <row r="7">
      <c r="A7" s="134" t="n">
        <v>46162</v>
      </c>
      <c r="B7" s="135" t="inlineStr">
        <is>
          <t>3/7</t>
        </is>
      </c>
      <c r="C7" s="135" t="inlineStr">
        <is>
          <t>1/3</t>
        </is>
      </c>
      <c r="D7" s="136" t="n">
        <v>0.5161290322580645</v>
      </c>
      <c r="E7" s="136" t="n">
        <v>0.2857142857142857</v>
      </c>
      <c r="F7" s="136" t="n">
        <v>0.3703703703703703</v>
      </c>
      <c r="G7" s="137" t="n">
        <v>23</v>
      </c>
    </row>
    <row r="8">
      <c r="A8" s="134" t="n">
        <v>46163</v>
      </c>
      <c r="B8" s="135" t="inlineStr">
        <is>
          <t>5/12</t>
        </is>
      </c>
      <c r="C8" s="135" t="inlineStr">
        <is>
          <t>2/3</t>
        </is>
      </c>
      <c r="D8" s="136" t="n">
        <v>0.4883720930232558</v>
      </c>
      <c r="E8" s="136" t="n">
        <v>0.3529411764705883</v>
      </c>
      <c r="F8" s="136" t="n">
        <v>0.3611111111111111</v>
      </c>
      <c r="G8" s="137" t="n">
        <v>13.5</v>
      </c>
    </row>
    <row r="9">
      <c r="A9" s="134" t="n">
        <v>46164</v>
      </c>
      <c r="B9" s="135" t="inlineStr">
        <is>
          <t>6/12</t>
        </is>
      </c>
      <c r="C9" s="135" t="inlineStr">
        <is>
          <t>2/4</t>
        </is>
      </c>
      <c r="D9" s="136" t="n">
        <v>0.4909090909090909</v>
      </c>
      <c r="E9" s="136" t="n">
        <v>0.3809523809523809</v>
      </c>
      <c r="F9" s="136" t="n">
        <v>0.3636363636363636</v>
      </c>
      <c r="G9" s="137" t="n">
        <v>11</v>
      </c>
    </row>
    <row r="10">
      <c r="A10" s="134" t="n">
        <v>46168</v>
      </c>
      <c r="B10" s="135" t="inlineStr">
        <is>
          <t>9/14</t>
        </is>
      </c>
      <c r="C10" s="135" t="inlineStr">
        <is>
          <t>2/4</t>
        </is>
      </c>
      <c r="D10" s="136" t="n">
        <v>0.5217391304347826</v>
      </c>
      <c r="E10" s="136" t="n">
        <v>0.4</v>
      </c>
      <c r="F10" s="136" t="n">
        <v>0.42</v>
      </c>
      <c r="G10" s="137" t="n">
        <v>12.2</v>
      </c>
    </row>
    <row r="11">
      <c r="A11" s="134" t="n">
        <v>46169</v>
      </c>
      <c r="B11" s="135" t="inlineStr">
        <is>
          <t>11/13</t>
        </is>
      </c>
      <c r="C11" s="135" t="inlineStr">
        <is>
          <t>4/5</t>
        </is>
      </c>
      <c r="D11" s="136" t="n">
        <v>0.573170731707317</v>
      </c>
      <c r="E11" s="136" t="n">
        <v>0.4666666666666667</v>
      </c>
      <c r="F11" s="136" t="n">
        <v>0.4464285714285715</v>
      </c>
      <c r="G11" s="137" t="n">
        <v>10.7</v>
      </c>
    </row>
    <row r="12">
      <c r="A12" s="134" t="n">
        <v>46170</v>
      </c>
      <c r="B12" s="135" t="inlineStr">
        <is>
          <t>10/13</t>
        </is>
      </c>
      <c r="C12" s="135" t="inlineStr">
        <is>
          <t>1/2</t>
        </is>
      </c>
      <c r="D12" s="136" t="n">
        <v>0.6</v>
      </c>
      <c r="E12" s="136" t="n">
        <v>0.46875</v>
      </c>
      <c r="F12" s="136" t="n">
        <v>0.4615384615384616</v>
      </c>
      <c r="G12" s="137" t="n">
        <v>13.1</v>
      </c>
    </row>
    <row r="13">
      <c r="A13" s="134" t="n">
        <v>46171</v>
      </c>
      <c r="B13" s="135" t="inlineStr">
        <is>
          <t>8/11</t>
        </is>
      </c>
      <c r="C13" s="135" t="inlineStr">
        <is>
          <t>4/6</t>
        </is>
      </c>
      <c r="D13" s="136" t="n">
        <v>0.6132075471698113</v>
      </c>
      <c r="E13" s="136" t="n">
        <v>0.5</v>
      </c>
      <c r="F13" s="136" t="n">
        <v>0.4305555555555556</v>
      </c>
      <c r="G13" s="137" t="n">
        <v>11.3</v>
      </c>
    </row>
    <row r="14">
      <c r="A14" s="134" t="n">
        <v>46174</v>
      </c>
      <c r="B14" s="135" t="inlineStr">
        <is>
          <t>6/8</t>
        </is>
      </c>
      <c r="C14" s="135" t="inlineStr">
        <is>
          <t>3/6</t>
        </is>
      </c>
      <c r="D14" s="136" t="n">
        <v>0.6228070175438597</v>
      </c>
      <c r="E14" s="136" t="n">
        <v>0.5</v>
      </c>
      <c r="F14" s="136" t="n">
        <v>0.4358974358974359</v>
      </c>
      <c r="G14" s="137" t="n">
        <v>12.3</v>
      </c>
    </row>
    <row r="15">
      <c r="A15" s="134" t="n">
        <v>46175</v>
      </c>
      <c r="B15" s="135" t="inlineStr">
        <is>
          <t>3/10</t>
        </is>
      </c>
      <c r="C15" s="135" t="inlineStr">
        <is>
          <t>2/3</t>
        </is>
      </c>
      <c r="D15" s="136" t="n">
        <v>0.5967741935483871</v>
      </c>
      <c r="E15" s="136" t="n">
        <v>0.5106382978723404</v>
      </c>
      <c r="F15" s="136" t="n">
        <v>0.4302325581395349</v>
      </c>
      <c r="G15" s="137" t="n">
        <v>8.6</v>
      </c>
    </row>
    <row r="16">
      <c r="A16" s="134" t="n">
        <v>46176</v>
      </c>
      <c r="B16" s="135" t="inlineStr">
        <is>
          <t>4/11</t>
        </is>
      </c>
      <c r="C16" s="135" t="inlineStr">
        <is>
          <t>1/5</t>
        </is>
      </c>
      <c r="D16" s="136" t="n">
        <v>0.5777777777777777</v>
      </c>
      <c r="E16" s="136" t="n">
        <v>0.4807692307692308</v>
      </c>
      <c r="F16" s="136" t="n">
        <v>0.4065934065934066</v>
      </c>
      <c r="G16" s="137" t="n">
        <v>9.699999999999999</v>
      </c>
    </row>
    <row r="17">
      <c r="A17" s="134" t="n">
        <v>46177</v>
      </c>
      <c r="B17" s="135" t="inlineStr">
        <is>
          <t>7/13</t>
        </is>
      </c>
      <c r="C17" s="135" t="inlineStr">
        <is>
          <t>2/4</t>
        </is>
      </c>
      <c r="D17" s="136" t="n">
        <v>0.5743243243243243</v>
      </c>
      <c r="E17" s="136" t="n">
        <v>0.4821428571428572</v>
      </c>
      <c r="F17" s="136" t="n">
        <v>0.40625</v>
      </c>
      <c r="G17" s="137" t="n">
        <v>9.199999999999999</v>
      </c>
    </row>
    <row r="18">
      <c r="A18" s="134" t="n">
        <v>46178</v>
      </c>
      <c r="B18" s="135" t="inlineStr">
        <is>
          <t>7/11</t>
        </is>
      </c>
      <c r="C18" s="135" t="inlineStr">
        <is>
          <t>2/5</t>
        </is>
      </c>
      <c r="D18" s="136" t="n">
        <v>0.5786163522012578</v>
      </c>
      <c r="E18" s="136" t="n">
        <v>0.4754098360655737</v>
      </c>
      <c r="F18" s="136" t="n">
        <v>0.4423076923076923</v>
      </c>
      <c r="G18" s="137" t="n">
        <v>10.3</v>
      </c>
    </row>
    <row r="19">
      <c r="A19" s="134" t="n">
        <v>46181</v>
      </c>
      <c r="B19" s="135" t="inlineStr">
        <is>
          <t>8/11</t>
        </is>
      </c>
      <c r="C19" s="135" t="inlineStr">
        <is>
          <t>3/5</t>
        </is>
      </c>
      <c r="D19" s="136" t="n">
        <v>0.5882352941176471</v>
      </c>
      <c r="E19" s="136" t="n">
        <v>0.4848484848484849</v>
      </c>
      <c r="F19" s="136" t="n">
        <v>0.4375</v>
      </c>
      <c r="G19" s="137" t="n">
        <v>10.3</v>
      </c>
    </row>
    <row r="20">
      <c r="A20" s="134" t="n">
        <v>46182</v>
      </c>
      <c r="B20" s="135" t="inlineStr">
        <is>
          <t>8/12</t>
        </is>
      </c>
      <c r="C20" s="135" t="inlineStr">
        <is>
          <t>3/4</t>
        </is>
      </c>
      <c r="D20" s="136" t="n">
        <v>0.5934065934065934</v>
      </c>
      <c r="E20" s="136" t="n">
        <v>0.5</v>
      </c>
      <c r="F20" s="136" t="n">
        <v>0.4444444444444444</v>
      </c>
      <c r="G20" s="137" t="n">
        <v>9.300000000000001</v>
      </c>
    </row>
    <row r="21">
      <c r="A21" s="134" t="n">
        <v>46183</v>
      </c>
      <c r="B21" s="135" t="inlineStr">
        <is>
          <t>7/12</t>
        </is>
      </c>
      <c r="C21" s="135" t="inlineStr">
        <is>
          <t>2/3</t>
        </is>
      </c>
      <c r="D21" s="136" t="n">
        <v>0.5927835051546392</v>
      </c>
      <c r="E21" s="136" t="n">
        <v>0.5068493150684932</v>
      </c>
      <c r="F21" s="136" t="n">
        <v>0.4603174603174603</v>
      </c>
      <c r="G21" s="137" t="n">
        <v>8.6</v>
      </c>
    </row>
    <row r="22">
      <c r="A22" s="134" t="n">
        <v>46184</v>
      </c>
      <c r="B22" s="135" t="inlineStr">
        <is>
          <t>6/12</t>
        </is>
      </c>
      <c r="C22" s="135" t="inlineStr">
        <is>
          <t>2/3</t>
        </is>
      </c>
      <c r="D22" s="136" t="n">
        <v>0.587378640776699</v>
      </c>
      <c r="E22" s="136" t="n">
        <v>0.5131578947368421</v>
      </c>
      <c r="F22" s="136" t="n">
        <v>0.4477611940298508</v>
      </c>
      <c r="G22" s="137" t="n">
        <v>7.4</v>
      </c>
    </row>
    <row r="23">
      <c r="A23" s="134" t="n">
        <v>46185</v>
      </c>
      <c r="B23" s="135" t="inlineStr">
        <is>
          <t>6/10</t>
        </is>
      </c>
      <c r="C23" s="135" t="inlineStr">
        <is>
          <t>2/5</t>
        </is>
      </c>
      <c r="D23" s="136" t="n">
        <v>0.5879629629629629</v>
      </c>
      <c r="E23" s="136" t="n">
        <v>0.5061728395061729</v>
      </c>
      <c r="F23" s="136" t="n">
        <v>0.45</v>
      </c>
      <c r="G23" s="137" t="n">
        <v>8.199999999999999</v>
      </c>
    </row>
    <row r="24">
      <c r="A24" s="134" t="n">
        <v>46188</v>
      </c>
      <c r="B24" s="135" t="inlineStr">
        <is>
          <t>6/15</t>
        </is>
      </c>
      <c r="C24" s="135" t="inlineStr">
        <is>
          <t>3/6</t>
        </is>
      </c>
      <c r="D24" s="136" t="n">
        <v>0.5757575757575758</v>
      </c>
      <c r="E24" s="136" t="n">
        <v>0.5057471264367817</v>
      </c>
      <c r="F24" s="136" t="n">
        <v>0.4507042253521127</v>
      </c>
      <c r="G24" s="137" t="n">
        <v>7</v>
      </c>
    </row>
    <row r="26">
      <c r="A26" s="138" t="inlineStr">
        <is>
          <t>As of 2026-06-15</t>
        </is>
      </c>
    </row>
    <row r="27">
      <c r="A27" t="inlineStr">
        <is>
          <t>50-59% 57.6%   ·   60-69% 50.6%   ·   40-49% 45.1%</t>
        </is>
      </c>
    </row>
    <row r="28">
      <c r="A28" t="inlineStr">
        <is>
          <t>lead (50-59 over 60-69): +7.0pt    ·    drift from certified 61.3%: -3.7pt</t>
        </is>
      </c>
    </row>
    <row r="29">
      <c r="A29" t="inlineStr">
        <is>
          <t>lead gap, last 3 cohorts: roughly flat (+7.4pt → +7.0pt)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2026-05-20T15:28:37Z</dcterms:created>
  <dcterms:modified xsi:type="dcterms:W3CDTF">2026-06-23T22:31:41Z</dcterms:modified>
  <cp:lastModifiedBy>robert wood</cp:lastModifiedBy>
  <cp:revision>0</cp:revision>
</cp:coreProperties>
</file>