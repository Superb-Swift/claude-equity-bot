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ar-Miss BU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%;[Red]-0.0%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000000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808080"/>
      <sz val="9"/>
    </font>
    <font>
      <name val="Arial"/>
      <b val="1"/>
      <color rgb="00000000"/>
      <sz val="9"/>
    </font>
    <font>
      <name val="Arial"/>
      <b val="1"/>
      <color rgb="001F4E78"/>
      <sz val="10"/>
    </font>
    <font>
      <name val="Arial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9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" fontId="7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7" customWidth="1" min="4" max="4"/>
    <col width="9" customWidth="1" min="5" max="5"/>
    <col width="13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4" customWidth="1" min="14" max="14"/>
    <col width="30" customWidth="1" min="15" max="15"/>
    <col width="10" customWidth="1" min="16" max="16"/>
  </cols>
  <sheetData>
    <row r="1">
      <c r="A1" s="1" t="inlineStr">
        <is>
          <t>Near-Miss BUY Signals — Threshold Calibration Cohort (auto-generated)</t>
        </is>
      </c>
    </row>
    <row r="2">
      <c r="A2" s="2" t="inlineStr">
        <is>
          <t>AUTO-GENERATED from the Signals tab — do not hand-edit. BUY signals rejected by the 70% threshold (60–69% confidence). Prices/returns are sourced from Signals; +Nd dates are trading-day offsets.</t>
        </is>
      </c>
    </row>
    <row r="4">
      <c r="A4" s="3" t="inlineStr">
        <is>
          <t>Signal Date</t>
        </is>
      </c>
      <c r="B4" s="3" t="inlineStr">
        <is>
          <t>Ticker</t>
        </is>
      </c>
      <c r="C4" s="3" t="inlineStr">
        <is>
          <t>Account</t>
        </is>
      </c>
      <c r="D4" s="3" t="inlineStr">
        <is>
          <t>Conf %</t>
        </is>
      </c>
      <c r="E4" s="3" t="inlineStr">
        <is>
          <t>Data Quality</t>
        </is>
      </c>
      <c r="F4" s="3" t="inlineStr">
        <is>
          <t>Price at Signal</t>
        </is>
      </c>
      <c r="G4" s="3" t="inlineStr">
        <is>
          <t>+5d Date</t>
        </is>
      </c>
      <c r="H4" s="3" t="inlineStr">
        <is>
          <t>+10d Date</t>
        </is>
      </c>
      <c r="I4" s="3" t="inlineStr">
        <is>
          <t>Price +5d</t>
        </is>
      </c>
      <c r="J4" s="3" t="inlineStr">
        <is>
          <t>Price +10d</t>
        </is>
      </c>
      <c r="K4" s="3" t="inlineStr">
        <is>
          <t>Return +5d</t>
        </is>
      </c>
      <c r="L4" s="3" t="inlineStr">
        <is>
          <t>Return +10d</t>
        </is>
      </c>
      <c r="M4" s="3" t="inlineStr">
        <is>
          <t>Was Claude Right? (5d)</t>
        </is>
      </c>
      <c r="N4" s="3" t="inlineStr">
        <is>
          <t>Was Claude Right? (10d)</t>
        </is>
      </c>
      <c r="O4" s="3" t="inlineStr">
        <is>
          <t>Notes</t>
        </is>
      </c>
      <c r="P4" s="3" t="inlineStr">
        <is>
          <t>Segment</t>
        </is>
      </c>
    </row>
    <row r="5">
      <c r="A5" s="4" t="n">
        <v>46161</v>
      </c>
      <c r="B5" s="5" t="inlineStr">
        <is>
          <t>NVDA</t>
        </is>
      </c>
      <c r="C5" s="6" t="inlineStr">
        <is>
          <t>Scout</t>
        </is>
      </c>
      <c r="D5" s="7" t="n">
        <v>0.62</v>
      </c>
      <c r="E5" s="8" t="inlineStr">
        <is>
          <t>MEDIUM</t>
        </is>
      </c>
      <c r="F5" s="9" t="n">
        <v>220.58</v>
      </c>
      <c r="G5" s="4" t="n">
        <v>46169</v>
      </c>
      <c r="H5" s="4" t="n">
        <v>46176</v>
      </c>
      <c r="I5" s="9" t="n">
        <v>212.6</v>
      </c>
      <c r="J5" s="9" t="n">
        <v>214.75</v>
      </c>
      <c r="K5" s="10">
        <f>IF(I5&lt;&gt;"",I5/F5-1,"")</f>
        <v/>
      </c>
      <c r="L5" s="10">
        <f>IF(J5&lt;&gt;"",J5/F5-1,"")</f>
        <v/>
      </c>
      <c r="M5" s="8">
        <f>IF(K5&lt;&gt;"",IF(K5&gt;0,"YES","NO"),"")</f>
        <v/>
      </c>
      <c r="N5" s="8">
        <f>IF(L5&lt;&gt;"",IF(L5&gt;0,"YES","NO"),"")</f>
        <v/>
      </c>
      <c r="O5" s="6" t="inlineStr">
        <is>
          <t>First BUY signal. Rejected: 62% &lt; 70% threshold</t>
        </is>
      </c>
      <c r="P5" s="11" t="inlineStr">
        <is>
          <t>LOCKED</t>
        </is>
      </c>
    </row>
    <row r="6">
      <c r="A6" s="4" t="n">
        <v>46163</v>
      </c>
      <c r="B6" s="5" t="inlineStr">
        <is>
          <t>SCHD</t>
        </is>
      </c>
      <c r="C6" s="6" t="inlineStr">
        <is>
          <t>Roth IRA</t>
        </is>
      </c>
      <c r="D6" s="7" t="n">
        <v>0.68</v>
      </c>
      <c r="E6" s="8" t="inlineStr">
        <is>
          <t>HIGH</t>
        </is>
      </c>
      <c r="F6" s="9" t="n">
        <v>32.109</v>
      </c>
      <c r="G6" s="4" t="n">
        <v>46171</v>
      </c>
      <c r="H6" s="4" t="n">
        <v>46178</v>
      </c>
      <c r="I6" s="9" t="n">
        <v>32.5</v>
      </c>
      <c r="J6" s="9" t="n">
        <v>32.3</v>
      </c>
      <c r="K6" s="10">
        <f>IF(I6&lt;&gt;"",I6/F6-1,"")</f>
        <v/>
      </c>
      <c r="L6" s="10">
        <f>IF(J6&lt;&gt;"",J6/F6-1,"")</f>
        <v/>
      </c>
      <c r="M6" s="8">
        <f>IF(K6&lt;&gt;"",IF(K6&gt;0,"YES","NO"),"")</f>
        <v/>
      </c>
      <c r="N6" s="8">
        <f>IF(L6&lt;&gt;"",IF(L6&gt;0,"YES","NO"),"")</f>
        <v/>
      </c>
      <c r="O6" s="6" t="inlineStr"/>
      <c r="P6" s="11" t="inlineStr">
        <is>
          <t>LOCKED</t>
        </is>
      </c>
    </row>
    <row r="7">
      <c r="A7" s="4" t="n">
        <v>46164</v>
      </c>
      <c r="B7" s="5" t="inlineStr">
        <is>
          <t>NVDA</t>
        </is>
      </c>
      <c r="C7" s="6" t="inlineStr">
        <is>
          <t>Scout</t>
        </is>
      </c>
      <c r="D7" s="7" t="n">
        <v>0.62</v>
      </c>
      <c r="E7" s="8" t="inlineStr">
        <is>
          <t>MEDIUM</t>
        </is>
      </c>
      <c r="F7" s="9" t="n">
        <v>216.765</v>
      </c>
      <c r="G7" s="4" t="n">
        <v>46174</v>
      </c>
      <c r="H7" s="4" t="n">
        <v>46181</v>
      </c>
      <c r="I7" s="9" t="n">
        <v>224.36</v>
      </c>
      <c r="J7" s="9" t="n">
        <v>208.64</v>
      </c>
      <c r="K7" s="10">
        <f>IF(I7&lt;&gt;"",I7/F7-1,"")</f>
        <v/>
      </c>
      <c r="L7" s="10">
        <f>IF(J7&lt;&gt;"",J7/F7-1,"")</f>
        <v/>
      </c>
      <c r="M7" s="8">
        <f>IF(K7&lt;&gt;"",IF(K7&gt;0,"YES","NO"),"")</f>
        <v/>
      </c>
      <c r="N7" s="8">
        <f>IF(L7&lt;&gt;"",IF(L7&gt;0,"YES","NO"),"")</f>
        <v/>
      </c>
      <c r="O7" s="6" t="inlineStr"/>
      <c r="P7" s="11" t="inlineStr">
        <is>
          <t>LOCKED</t>
        </is>
      </c>
    </row>
    <row r="8">
      <c r="A8" s="4" t="n">
        <v>46168</v>
      </c>
      <c r="B8" s="5" t="inlineStr">
        <is>
          <t>VTI</t>
        </is>
      </c>
      <c r="C8" s="6" t="inlineStr">
        <is>
          <t>Scout</t>
        </is>
      </c>
      <c r="D8" s="7" t="n">
        <v>0.68</v>
      </c>
      <c r="E8" s="8" t="inlineStr">
        <is>
          <t>HIGH</t>
        </is>
      </c>
      <c r="F8" s="9" t="n">
        <v>370.15</v>
      </c>
      <c r="G8" s="4" t="n">
        <v>46175</v>
      </c>
      <c r="H8" s="4" t="n">
        <v>46182</v>
      </c>
      <c r="I8" s="9" t="n">
        <v>374.36</v>
      </c>
      <c r="J8" s="9" t="n">
        <v>363.67</v>
      </c>
      <c r="K8" s="10">
        <f>IF(I8&lt;&gt;"",I8/F8-1,"")</f>
        <v/>
      </c>
      <c r="L8" s="10">
        <f>IF(J8&lt;&gt;"",J8/F8-1,"")</f>
        <v/>
      </c>
      <c r="M8" s="8">
        <f>IF(K8&lt;&gt;"",IF(K8&gt;0,"YES","NO"),"")</f>
        <v/>
      </c>
      <c r="N8" s="8">
        <f>IF(L8&lt;&gt;"",IF(L8&gt;0,"YES","NO"),"")</f>
        <v/>
      </c>
      <c r="O8" s="6" t="inlineStr"/>
      <c r="P8" s="11" t="inlineStr">
        <is>
          <t>LOCKED</t>
        </is>
      </c>
    </row>
    <row r="9">
      <c r="A9" s="4" t="n">
        <v>46169</v>
      </c>
      <c r="B9" s="5" t="inlineStr">
        <is>
          <t>NVDA</t>
        </is>
      </c>
      <c r="C9" s="6" t="inlineStr">
        <is>
          <t>Scout</t>
        </is>
      </c>
      <c r="D9" s="7" t="n">
        <v>0.63</v>
      </c>
      <c r="E9" s="8" t="inlineStr">
        <is>
          <t>MEDIUM</t>
        </is>
      </c>
      <c r="F9" s="9" t="n">
        <v>209.84</v>
      </c>
      <c r="G9" s="4" t="n">
        <v>46176</v>
      </c>
      <c r="H9" s="4" t="n">
        <v>46183</v>
      </c>
      <c r="I9" s="9" t="n">
        <v>214.75</v>
      </c>
      <c r="J9" s="9" t="n">
        <v>200.42</v>
      </c>
      <c r="K9" s="10">
        <f>IF(I9&lt;&gt;"",I9/F9-1,"")</f>
        <v/>
      </c>
      <c r="L9" s="10">
        <f>IF(J9&lt;&gt;"",J9/F9-1,"")</f>
        <v/>
      </c>
      <c r="M9" s="8">
        <f>IF(K9&lt;&gt;"",IF(K9&gt;0,"YES","NO"),"")</f>
        <v/>
      </c>
      <c r="N9" s="8">
        <f>IF(L9&lt;&gt;"",IF(L9&gt;0,"YES","NO"),"")</f>
        <v/>
      </c>
      <c r="O9" s="6" t="inlineStr"/>
      <c r="P9" s="11" t="inlineStr">
        <is>
          <t>LOCKED</t>
        </is>
      </c>
    </row>
    <row r="10">
      <c r="A10" s="4" t="n">
        <v>46171</v>
      </c>
      <c r="B10" s="5" t="inlineStr">
        <is>
          <t>NVDA</t>
        </is>
      </c>
      <c r="C10" s="6" t="inlineStr">
        <is>
          <t>Scout</t>
        </is>
      </c>
      <c r="D10" s="7" t="n">
        <v>0.68</v>
      </c>
      <c r="E10" s="8" t="inlineStr">
        <is>
          <t>MEDIUM</t>
        </is>
      </c>
      <c r="F10" s="9" t="n">
        <v>215.95</v>
      </c>
      <c r="G10" s="4" t="n">
        <v>46178</v>
      </c>
      <c r="H10" s="4" t="n">
        <v>46185</v>
      </c>
      <c r="I10" s="9" t="n">
        <v>205.1</v>
      </c>
      <c r="J10" s="9" t="n">
        <v>205.19</v>
      </c>
      <c r="K10" s="10">
        <f>IF(I10&lt;&gt;"",I10/F10-1,"")</f>
        <v/>
      </c>
      <c r="L10" s="10">
        <f>IF(J10&lt;&gt;"",J10/F10-1,"")</f>
        <v/>
      </c>
      <c r="M10" s="8">
        <f>IF(K10&lt;&gt;"",IF(K10&gt;0,"YES","NO"),"")</f>
        <v/>
      </c>
      <c r="N10" s="8">
        <f>IF(L10&lt;&gt;"",IF(L10&gt;0,"YES","NO"),"")</f>
        <v/>
      </c>
      <c r="O10" s="6" t="inlineStr"/>
      <c r="P10" s="11" t="inlineStr">
        <is>
          <t>LOCKED</t>
        </is>
      </c>
    </row>
    <row r="11">
      <c r="A11" s="4" t="n">
        <v>46174</v>
      </c>
      <c r="B11" s="5" t="inlineStr">
        <is>
          <t>NVDA</t>
        </is>
      </c>
      <c r="C11" s="6" t="inlineStr">
        <is>
          <t>Scout</t>
        </is>
      </c>
      <c r="D11" s="7" t="n">
        <v>0.68</v>
      </c>
      <c r="E11" s="8" t="inlineStr">
        <is>
          <t>MEDIUM</t>
        </is>
      </c>
      <c r="F11" s="9" t="n">
        <v>221.585</v>
      </c>
      <c r="G11" s="4" t="n">
        <v>46181</v>
      </c>
      <c r="H11" s="4" t="n">
        <v>46188</v>
      </c>
      <c r="I11" s="9" t="n">
        <v>208.64</v>
      </c>
      <c r="J11" s="9" t="n">
        <v>212.45</v>
      </c>
      <c r="K11" s="10">
        <f>IF(I11&lt;&gt;"",I11/F11-1,"")</f>
        <v/>
      </c>
      <c r="L11" s="10">
        <f>IF(J11&lt;&gt;"",J11/F11-1,"")</f>
        <v/>
      </c>
      <c r="M11" s="8">
        <f>IF(K11&lt;&gt;"",IF(K11&gt;0,"YES","NO"),"")</f>
        <v/>
      </c>
      <c r="N11" s="8">
        <f>IF(L11&lt;&gt;"",IF(L11&gt;0,"YES","NO"),"")</f>
        <v/>
      </c>
      <c r="O11" s="6" t="inlineStr"/>
      <c r="P11" s="11" t="inlineStr">
        <is>
          <t>LOCKED</t>
        </is>
      </c>
    </row>
    <row r="12">
      <c r="A12" s="12" t="n">
        <v>46175</v>
      </c>
      <c r="B12" s="13" t="inlineStr">
        <is>
          <t>NVDA</t>
        </is>
      </c>
      <c r="C12" s="14" t="inlineStr">
        <is>
          <t>Scout</t>
        </is>
      </c>
      <c r="D12" s="15" t="n">
        <v>0.68</v>
      </c>
      <c r="E12" s="16" t="inlineStr">
        <is>
          <t>MEDIUM</t>
        </is>
      </c>
      <c r="F12" s="17" t="n">
        <v>227.93</v>
      </c>
      <c r="G12" s="12" t="n">
        <v>46182</v>
      </c>
      <c r="H12" s="12" t="n">
        <v>46189</v>
      </c>
      <c r="I12" s="17" t="n">
        <v>208.19</v>
      </c>
      <c r="J12" s="17" t="n">
        <v>207.41</v>
      </c>
      <c r="K12" s="18">
        <f>IF(I12&lt;&gt;"",I12/F12-1,"")</f>
        <v/>
      </c>
      <c r="L12" s="18">
        <f>IF(J12&lt;&gt;"",J12/F12-1,"")</f>
        <v/>
      </c>
      <c r="M12" s="16">
        <f>IF(K12&lt;&gt;"",IF(K12&gt;0,"YES","NO"),"")</f>
        <v/>
      </c>
      <c r="N12" s="16">
        <f>IF(L12&lt;&gt;"",IF(L12&gt;0,"YES","NO"),"")</f>
        <v/>
      </c>
      <c r="O12" s="14" t="inlineStr"/>
      <c r="P12" s="19" t="inlineStr">
        <is>
          <t>EXTENDED</t>
        </is>
      </c>
    </row>
    <row r="13">
      <c r="A13" s="12" t="n">
        <v>46176</v>
      </c>
      <c r="B13" s="13" t="inlineStr">
        <is>
          <t>GLD</t>
        </is>
      </c>
      <c r="C13" s="14" t="inlineStr">
        <is>
          <t>Scout</t>
        </is>
      </c>
      <c r="D13" s="15" t="n">
        <v>0.62</v>
      </c>
      <c r="E13" s="16" t="inlineStr">
        <is>
          <t>MEDIUM</t>
        </is>
      </c>
      <c r="F13" s="17" t="n">
        <v>408.5</v>
      </c>
      <c r="G13" s="12" t="n">
        <v>46183</v>
      </c>
      <c r="H13" s="12" t="n">
        <v>46190</v>
      </c>
      <c r="I13" s="17" t="n">
        <v>374.58</v>
      </c>
      <c r="J13" s="17" t="n">
        <v>388.6</v>
      </c>
      <c r="K13" s="18">
        <f>IF(I13&lt;&gt;"",I13/F13-1,"")</f>
        <v/>
      </c>
      <c r="L13" s="18">
        <f>IF(J13&lt;&gt;"",J13/F13-1,"")</f>
        <v/>
      </c>
      <c r="M13" s="16">
        <f>IF(K13&lt;&gt;"",IF(K13&gt;0,"YES","NO"),"")</f>
        <v/>
      </c>
      <c r="N13" s="16">
        <f>IF(L13&lt;&gt;"",IF(L13&gt;0,"YES","NO"),"")</f>
        <v/>
      </c>
      <c r="O13" s="14" t="inlineStr"/>
      <c r="P13" s="19" t="inlineStr">
        <is>
          <t>EXTENDED</t>
        </is>
      </c>
    </row>
    <row r="14">
      <c r="A14" s="12" t="n">
        <v>46176</v>
      </c>
      <c r="B14" s="13" t="inlineStr">
        <is>
          <t>NVDA</t>
        </is>
      </c>
      <c r="C14" s="14" t="inlineStr">
        <is>
          <t>Scout</t>
        </is>
      </c>
      <c r="D14" s="15" t="n">
        <v>0.66</v>
      </c>
      <c r="E14" s="16" t="inlineStr">
        <is>
          <t>MEDIUM</t>
        </is>
      </c>
      <c r="F14" s="17" t="n">
        <v>215.1283</v>
      </c>
      <c r="G14" s="12" t="n">
        <v>46183</v>
      </c>
      <c r="H14" s="12" t="n">
        <v>46190</v>
      </c>
      <c r="I14" s="17" t="n">
        <v>200.42</v>
      </c>
      <c r="J14" s="17" t="n">
        <v>204.65</v>
      </c>
      <c r="K14" s="18">
        <f>IF(I14&lt;&gt;"",I14/F14-1,"")</f>
        <v/>
      </c>
      <c r="L14" s="18">
        <f>IF(J14&lt;&gt;"",J14/F14-1,"")</f>
        <v/>
      </c>
      <c r="M14" s="16">
        <f>IF(K14&lt;&gt;"",IF(K14&gt;0,"YES","NO"),"")</f>
        <v/>
      </c>
      <c r="N14" s="16">
        <f>IF(L14&lt;&gt;"",IF(L14&gt;0,"YES","NO"),"")</f>
        <v/>
      </c>
      <c r="O14" s="14" t="inlineStr"/>
      <c r="P14" s="19" t="inlineStr">
        <is>
          <t>EXTENDED</t>
        </is>
      </c>
    </row>
    <row r="15">
      <c r="A15" s="12" t="n">
        <v>46177</v>
      </c>
      <c r="B15" s="13" t="inlineStr">
        <is>
          <t>NVDA</t>
        </is>
      </c>
      <c r="C15" s="14" t="inlineStr">
        <is>
          <t>Scout</t>
        </is>
      </c>
      <c r="D15" s="15" t="n">
        <v>0.65</v>
      </c>
      <c r="E15" s="16" t="inlineStr">
        <is>
          <t>MEDIUM</t>
        </is>
      </c>
      <c r="F15" s="17" t="n">
        <v>213.785</v>
      </c>
      <c r="G15" s="12" t="n">
        <v>46184</v>
      </c>
      <c r="H15" s="12" t="n">
        <v>46191</v>
      </c>
      <c r="I15" s="17" t="n">
        <v>204.87</v>
      </c>
      <c r="J15" s="17" t="n">
        <v>210.15</v>
      </c>
      <c r="K15" s="18">
        <f>IF(I15&lt;&gt;"",I15/F15-1,"")</f>
        <v/>
      </c>
      <c r="L15" s="18">
        <f>IF(J15&lt;&gt;"",J15/F15-1,"")</f>
        <v/>
      </c>
      <c r="M15" s="16">
        <f>IF(K15&lt;&gt;"",IF(K15&gt;0,"YES","NO"),"")</f>
        <v/>
      </c>
      <c r="N15" s="16">
        <f>IF(L15&lt;&gt;"",IF(L15&gt;0,"YES","NO"),"")</f>
        <v/>
      </c>
      <c r="O15" s="14" t="inlineStr"/>
      <c r="P15" s="19" t="inlineStr">
        <is>
          <t>EXTENDED</t>
        </is>
      </c>
    </row>
    <row r="16">
      <c r="A16" s="12" t="n">
        <v>46178</v>
      </c>
      <c r="B16" s="13" t="inlineStr">
        <is>
          <t>NVDA</t>
        </is>
      </c>
      <c r="C16" s="14" t="inlineStr">
        <is>
          <t>Scout</t>
        </is>
      </c>
      <c r="D16" s="15" t="n">
        <v>0.65</v>
      </c>
      <c r="E16" s="16" t="inlineStr">
        <is>
          <t>MEDIUM</t>
        </is>
      </c>
      <c r="F16" s="17" t="n">
        <v>211.975</v>
      </c>
      <c r="G16" s="12" t="n">
        <v>46185</v>
      </c>
      <c r="H16" s="12" t="n">
        <v>46195</v>
      </c>
      <c r="I16" s="17" t="n">
        <v>205.19</v>
      </c>
      <c r="J16" s="17" t="n">
        <v>208.65</v>
      </c>
      <c r="K16" s="18">
        <f>IF(I16&lt;&gt;"",I16/F16-1,"")</f>
        <v/>
      </c>
      <c r="L16" s="18">
        <f>IF(J16&lt;&gt;"",J16/F16-1,"")</f>
        <v/>
      </c>
      <c r="M16" s="16">
        <f>IF(K16&lt;&gt;"",IF(K16&gt;0,"YES","NO"),"")</f>
        <v/>
      </c>
      <c r="N16" s="16">
        <f>IF(L16&lt;&gt;"",IF(L16&gt;0,"YES","NO"),"")</f>
        <v/>
      </c>
      <c r="O16" s="14" t="inlineStr"/>
      <c r="P16" s="19" t="inlineStr">
        <is>
          <t>EXTENDED</t>
        </is>
      </c>
    </row>
    <row r="17">
      <c r="A17" s="12" t="n">
        <v>46181</v>
      </c>
      <c r="B17" s="13" t="inlineStr">
        <is>
          <t>NVDA</t>
        </is>
      </c>
      <c r="C17" s="14" t="inlineStr">
        <is>
          <t>Scout</t>
        </is>
      </c>
      <c r="D17" s="15" t="n">
        <v>0.68</v>
      </c>
      <c r="E17" s="16" t="inlineStr">
        <is>
          <t>MEDIUM</t>
        </is>
      </c>
      <c r="F17" s="17" t="n">
        <v>208.405</v>
      </c>
      <c r="G17" s="12" t="n">
        <v>46188</v>
      </c>
      <c r="H17" s="12" t="n">
        <v>46196</v>
      </c>
      <c r="I17" s="17" t="n">
        <v>212.45</v>
      </c>
      <c r="J17" s="17" t="n">
        <v>200.04</v>
      </c>
      <c r="K17" s="18">
        <f>IF(I17&lt;&gt;"",I17/F17-1,"")</f>
        <v/>
      </c>
      <c r="L17" s="18">
        <f>IF(J17&lt;&gt;"",J17/F17-1,"")</f>
        <v/>
      </c>
      <c r="M17" s="16">
        <f>IF(K17&lt;&gt;"",IF(K17&gt;0,"YES","NO"),"")</f>
        <v/>
      </c>
      <c r="N17" s="16">
        <f>IF(L17&lt;&gt;"",IF(L17&gt;0,"YES","NO"),"")</f>
        <v/>
      </c>
      <c r="O17" s="14" t="inlineStr"/>
      <c r="P17" s="19" t="inlineStr">
        <is>
          <t>EXTENDED</t>
        </is>
      </c>
    </row>
    <row r="18">
      <c r="A18" s="12" t="n">
        <v>46182</v>
      </c>
      <c r="B18" s="13" t="inlineStr">
        <is>
          <t>NVDA</t>
        </is>
      </c>
      <c r="C18" s="14" t="inlineStr">
        <is>
          <t>Scout</t>
        </is>
      </c>
      <c r="D18" s="15" t="n">
        <v>0.68</v>
      </c>
      <c r="E18" s="16" t="inlineStr">
        <is>
          <t>MEDIUM</t>
        </is>
      </c>
      <c r="F18" s="17" t="n">
        <v>207.4001</v>
      </c>
      <c r="G18" s="12" t="n">
        <v>46189</v>
      </c>
      <c r="H18" s="12" t="n">
        <v>46197</v>
      </c>
      <c r="I18" s="17" t="n">
        <v>207.41</v>
      </c>
      <c r="J18" s="17" t="n"/>
      <c r="K18" s="18">
        <f>IF(I18&lt;&gt;"",I18/F18-1,"")</f>
        <v/>
      </c>
      <c r="L18" s="18">
        <f>IF(J18&lt;&gt;"",J18/F18-1,"")</f>
        <v/>
      </c>
      <c r="M18" s="16">
        <f>IF(K18&lt;&gt;"",IF(K18&gt;0,"YES","NO"),"")</f>
        <v/>
      </c>
      <c r="N18" s="16">
        <f>IF(L18&lt;&gt;"",IF(L18&gt;0,"YES","NO"),"")</f>
        <v/>
      </c>
      <c r="O18" s="14" t="inlineStr"/>
      <c r="P18" s="19" t="inlineStr">
        <is>
          <t>EXTENDED</t>
        </is>
      </c>
    </row>
    <row r="19">
      <c r="A19" s="12" t="n">
        <v>46184</v>
      </c>
      <c r="B19" s="13" t="inlineStr">
        <is>
          <t>NVDA</t>
        </is>
      </c>
      <c r="C19" s="14" t="inlineStr">
        <is>
          <t>Scout</t>
        </is>
      </c>
      <c r="D19" s="15" t="n">
        <v>0.65</v>
      </c>
      <c r="E19" s="16" t="inlineStr">
        <is>
          <t>MEDIUM</t>
        </is>
      </c>
      <c r="F19" s="17" t="n">
        <v>199.94</v>
      </c>
      <c r="G19" s="12" t="n">
        <v>46191</v>
      </c>
      <c r="H19" s="12" t="n">
        <v>46199</v>
      </c>
      <c r="I19" s="17" t="n">
        <v>210.15</v>
      </c>
      <c r="J19" s="17" t="n"/>
      <c r="K19" s="18">
        <f>IF(I19&lt;&gt;"",I19/F19-1,"")</f>
        <v/>
      </c>
      <c r="L19" s="18">
        <f>IF(J19&lt;&gt;"",J19/F19-1,"")</f>
        <v/>
      </c>
      <c r="M19" s="16">
        <f>IF(K19&lt;&gt;"",IF(K19&gt;0,"YES","NO"),"")</f>
        <v/>
      </c>
      <c r="N19" s="16">
        <f>IF(L19&lt;&gt;"",IF(L19&gt;0,"YES","NO"),"")</f>
        <v/>
      </c>
      <c r="O19" s="14" t="inlineStr"/>
      <c r="P19" s="19" t="inlineStr">
        <is>
          <t>EXTENDED</t>
        </is>
      </c>
    </row>
    <row r="20">
      <c r="A20" s="12" t="n">
        <v>46185</v>
      </c>
      <c r="B20" s="13" t="inlineStr">
        <is>
          <t>NVDA</t>
        </is>
      </c>
      <c r="C20" s="14" t="inlineStr">
        <is>
          <t>Scout</t>
        </is>
      </c>
      <c r="D20" s="15" t="n">
        <v>0.62</v>
      </c>
      <c r="E20" s="16" t="inlineStr">
        <is>
          <t>MEDIUM</t>
        </is>
      </c>
      <c r="F20" s="17" t="n">
        <v>205.597</v>
      </c>
      <c r="G20" s="12" t="n">
        <v>46195</v>
      </c>
      <c r="H20" s="12" t="n">
        <v>46202</v>
      </c>
      <c r="I20" s="17" t="n">
        <v>208.65</v>
      </c>
      <c r="J20" s="17" t="n"/>
      <c r="K20" s="18">
        <f>IF(I20&lt;&gt;"",I20/F20-1,"")</f>
        <v/>
      </c>
      <c r="L20" s="18">
        <f>IF(J20&lt;&gt;"",J20/F20-1,"")</f>
        <v/>
      </c>
      <c r="M20" s="16">
        <f>IF(K20&lt;&gt;"",IF(K20&gt;0,"YES","NO"),"")</f>
        <v/>
      </c>
      <c r="N20" s="16">
        <f>IF(L20&lt;&gt;"",IF(L20&gt;0,"YES","NO"),"")</f>
        <v/>
      </c>
      <c r="O20" s="14" t="inlineStr"/>
      <c r="P20" s="19" t="inlineStr">
        <is>
          <t>EXTENDED</t>
        </is>
      </c>
    </row>
    <row r="21">
      <c r="A21" s="12" t="n">
        <v>46185</v>
      </c>
      <c r="B21" s="13" t="inlineStr">
        <is>
          <t>VTI</t>
        </is>
      </c>
      <c r="C21" s="14" t="inlineStr">
        <is>
          <t>Scout</t>
        </is>
      </c>
      <c r="D21" s="15" t="n">
        <v>0.68</v>
      </c>
      <c r="E21" s="16" t="inlineStr">
        <is>
          <t>HIGH</t>
        </is>
      </c>
      <c r="F21" s="17" t="n">
        <v>365.62</v>
      </c>
      <c r="G21" s="12" t="n">
        <v>46195</v>
      </c>
      <c r="H21" s="12" t="n">
        <v>46202</v>
      </c>
      <c r="I21" s="17" t="n">
        <v>368.81</v>
      </c>
      <c r="J21" s="17" t="n"/>
      <c r="K21" s="18">
        <f>IF(I21&lt;&gt;"",I21/F21-1,"")</f>
        <v/>
      </c>
      <c r="L21" s="18">
        <f>IF(J21&lt;&gt;"",J21/F21-1,"")</f>
        <v/>
      </c>
      <c r="M21" s="16">
        <f>IF(K21&lt;&gt;"",IF(K21&gt;0,"YES","NO"),"")</f>
        <v/>
      </c>
      <c r="N21" s="16">
        <f>IF(L21&lt;&gt;"",IF(L21&gt;0,"YES","NO"),"")</f>
        <v/>
      </c>
      <c r="O21" s="14" t="inlineStr"/>
      <c r="P21" s="19" t="inlineStr">
        <is>
          <t>EXTENDED</t>
        </is>
      </c>
    </row>
    <row r="22">
      <c r="A22" s="12" t="n">
        <v>46189</v>
      </c>
      <c r="B22" s="13" t="inlineStr">
        <is>
          <t>NVDA</t>
        </is>
      </c>
      <c r="C22" s="14" t="inlineStr">
        <is>
          <t>Scout</t>
        </is>
      </c>
      <c r="D22" s="15" t="n">
        <v>0.65</v>
      </c>
      <c r="E22" s="16" t="inlineStr">
        <is>
          <t>MEDIUM</t>
        </is>
      </c>
      <c r="F22" s="17" t="n">
        <v>209.12</v>
      </c>
      <c r="G22" s="12" t="n">
        <v>46197</v>
      </c>
      <c r="H22" s="12" t="n">
        <v>46204</v>
      </c>
      <c r="I22" s="17" t="n"/>
      <c r="J22" s="17" t="n"/>
      <c r="K22" s="18">
        <f>IF(I22&lt;&gt;"",I22/F22-1,"")</f>
        <v/>
      </c>
      <c r="L22" s="18">
        <f>IF(J22&lt;&gt;"",J22/F22-1,"")</f>
        <v/>
      </c>
      <c r="M22" s="16">
        <f>IF(K22&lt;&gt;"",IF(K22&gt;0,"YES","NO"),"")</f>
        <v/>
      </c>
      <c r="N22" s="16">
        <f>IF(L22&lt;&gt;"",IF(L22&gt;0,"YES","NO"),"")</f>
        <v/>
      </c>
      <c r="O22" s="14" t="inlineStr"/>
      <c r="P22" s="19" t="inlineStr">
        <is>
          <t>EXTENDED</t>
        </is>
      </c>
    </row>
    <row r="23">
      <c r="A23" s="12" t="n">
        <v>46189</v>
      </c>
      <c r="B23" s="13" t="inlineStr">
        <is>
          <t>VTI</t>
        </is>
      </c>
      <c r="C23" s="14" t="inlineStr">
        <is>
          <t>Scout</t>
        </is>
      </c>
      <c r="D23" s="15" t="n">
        <v>0.68</v>
      </c>
      <c r="E23" s="16" t="inlineStr">
        <is>
          <t>HIGH</t>
        </is>
      </c>
      <c r="F23" s="17" t="n">
        <v>372.15</v>
      </c>
      <c r="G23" s="12" t="n">
        <v>46197</v>
      </c>
      <c r="H23" s="12" t="n">
        <v>46204</v>
      </c>
      <c r="I23" s="17" t="n"/>
      <c r="J23" s="17" t="n"/>
      <c r="K23" s="18">
        <f>IF(I23&lt;&gt;"",I23/F23-1,"")</f>
        <v/>
      </c>
      <c r="L23" s="18">
        <f>IF(J23&lt;&gt;"",J23/F23-1,"")</f>
        <v/>
      </c>
      <c r="M23" s="16">
        <f>IF(K23&lt;&gt;"",IF(K23&gt;0,"YES","NO"),"")</f>
        <v/>
      </c>
      <c r="N23" s="16">
        <f>IF(L23&lt;&gt;"",IF(L23&gt;0,"YES","NO"),"")</f>
        <v/>
      </c>
      <c r="O23" s="14" t="inlineStr"/>
      <c r="P23" s="19" t="inlineStr">
        <is>
          <t>EXTENDED</t>
        </is>
      </c>
    </row>
    <row r="25">
      <c r="A25" s="20" t="inlineStr">
        <is>
          <t>LOCKED — final 7-of-7 verdict cohort</t>
        </is>
      </c>
      <c r="B25" s="21" t="inlineStr">
        <is>
          <t>signals on/before 2026-06-01 · immutable</t>
        </is>
      </c>
    </row>
    <row r="26">
      <c r="A26" s="22" t="inlineStr">
        <is>
          <t>Near-miss BUYs (n)</t>
        </is>
      </c>
      <c r="B26" s="23">
        <f>COUNTIF(P5:P23,"LOCKED")</f>
        <v/>
      </c>
    </row>
    <row r="27">
      <c r="A27" s="22" t="inlineStr">
        <is>
          <t>Completed +5d</t>
        </is>
      </c>
      <c r="B27" s="23">
        <f>COUNTIFS(P5:P23,"LOCKED",I5:I23,"&lt;&gt;")</f>
        <v/>
      </c>
    </row>
    <row r="28">
      <c r="A28" s="22" t="inlineStr">
        <is>
          <t>Hit count (+5d &gt; 0)</t>
        </is>
      </c>
      <c r="B28" s="23">
        <f>COUNTIFS(P5:P23,"LOCKED",M5:M23,"YES")</f>
        <v/>
      </c>
    </row>
    <row r="29">
      <c r="A29" s="22" t="inlineStr">
        <is>
          <t>Hit rate +5d</t>
        </is>
      </c>
      <c r="B29" s="24">
        <f>IFERROR(COUNTIFS(P5:P23,"LOCKED",M5:M23,"YES")/COUNTIFS(P5:P23,"LOCKED",I5:I23,"&lt;&gt;"),"—")</f>
        <v/>
      </c>
    </row>
    <row r="30">
      <c r="A30" s="22" t="inlineStr">
        <is>
          <t>Avg +5d return</t>
        </is>
      </c>
      <c r="B30" s="25">
        <f>IFERROR(AVERAGEIFS(K5:K23,P5:P23,"LOCKED",I5:I23,"&lt;&gt;"),"—")</f>
        <v/>
      </c>
    </row>
    <row r="31">
      <c r="A31" s="22" t="inlineStr">
        <is>
          <t>Completed +10d</t>
        </is>
      </c>
      <c r="B31" s="23">
        <f>COUNTIFS(P5:P23,"LOCKED",J5:J23,"&lt;&gt;")</f>
        <v/>
      </c>
    </row>
    <row r="32">
      <c r="A32" s="22" t="inlineStr">
        <is>
          <t>Hit count (+10d &gt; 0)</t>
        </is>
      </c>
      <c r="B32" s="23">
        <f>COUNTIFS(P5:P23,"LOCKED",N5:N23,"YES")</f>
        <v/>
      </c>
    </row>
    <row r="33">
      <c r="A33" s="22" t="inlineStr">
        <is>
          <t>Hit rate +10d</t>
        </is>
      </c>
      <c r="B33" s="24">
        <f>IFERROR(COUNTIFS(P5:P23,"LOCKED",N5:N23,"YES")/COUNTIFS(P5:P23,"LOCKED",J5:J23,"&lt;&gt;"),"—")</f>
        <v/>
      </c>
    </row>
    <row r="34">
      <c r="A34" s="22" t="inlineStr">
        <is>
          <t>Avg +10d return</t>
        </is>
      </c>
      <c r="B34" s="25">
        <f>IFERROR(AVERAGEIFS(L5:L23,P5:P23,"LOCKED",J5:J23,"&lt;&gt;"),"—")</f>
        <v/>
      </c>
    </row>
    <row r="36">
      <c r="A36" s="20" t="inlineStr">
        <is>
          <t>EXTENDED — running post-lock tracking</t>
        </is>
      </c>
      <c r="B36" s="21" t="inlineStr">
        <is>
          <t>signals after 2026-06-01 · fills over time</t>
        </is>
      </c>
    </row>
    <row r="37">
      <c r="A37" s="22" t="inlineStr">
        <is>
          <t>Near-miss BUYs (n)</t>
        </is>
      </c>
      <c r="B37" s="23">
        <f>COUNTIF(P5:P23,"EXTENDED")</f>
        <v/>
      </c>
    </row>
    <row r="38">
      <c r="A38" s="22" t="inlineStr">
        <is>
          <t>Completed +5d</t>
        </is>
      </c>
      <c r="B38" s="23">
        <f>COUNTIFS(P5:P23,"EXTENDED",I5:I23,"&lt;&gt;")</f>
        <v/>
      </c>
    </row>
    <row r="39">
      <c r="A39" s="22" t="inlineStr">
        <is>
          <t>Hit count (+5d &gt; 0)</t>
        </is>
      </c>
      <c r="B39" s="23">
        <f>COUNTIFS(P5:P23,"EXTENDED",M5:M23,"YES")</f>
        <v/>
      </c>
    </row>
    <row r="40">
      <c r="A40" s="22" t="inlineStr">
        <is>
          <t>Hit rate +5d</t>
        </is>
      </c>
      <c r="B40" s="24">
        <f>IFERROR(COUNTIFS(P5:P23,"EXTENDED",M5:M23,"YES")/COUNTIFS(P5:P23,"EXTENDED",I5:I23,"&lt;&gt;"),"—")</f>
        <v/>
      </c>
    </row>
    <row r="41">
      <c r="A41" s="22" t="inlineStr">
        <is>
          <t>Avg +5d return</t>
        </is>
      </c>
      <c r="B41" s="25">
        <f>IFERROR(AVERAGEIFS(K5:K23,P5:P23,"EXTENDED",I5:I23,"&lt;&gt;"),"—")</f>
        <v/>
      </c>
    </row>
    <row r="42">
      <c r="A42" s="22" t="inlineStr">
        <is>
          <t>Completed +10d</t>
        </is>
      </c>
      <c r="B42" s="23">
        <f>COUNTIFS(P5:P23,"EXTENDED",J5:J23,"&lt;&gt;")</f>
        <v/>
      </c>
    </row>
    <row r="43">
      <c r="A43" s="22" t="inlineStr">
        <is>
          <t>Hit count (+10d &gt; 0)</t>
        </is>
      </c>
      <c r="B43" s="23">
        <f>COUNTIFS(P5:P23,"EXTENDED",N5:N23,"YES")</f>
        <v/>
      </c>
    </row>
    <row r="44">
      <c r="A44" s="22" t="inlineStr">
        <is>
          <t>Hit rate +10d</t>
        </is>
      </c>
      <c r="B44" s="24">
        <f>IFERROR(COUNTIFS(P5:P23,"EXTENDED",N5:N23,"YES")/COUNTIFS(P5:P23,"EXTENDED",J5:J23,"&lt;&gt;"),"—")</f>
        <v/>
      </c>
    </row>
    <row r="45">
      <c r="A45" s="22" t="inlineStr">
        <is>
          <t>Avg +10d return</t>
        </is>
      </c>
      <c r="B45" s="25">
        <f>IFERROR(AVERAGEIFS(L5:L23,P5:P23,"EXTENDED",J5:J23,"&lt;&gt;"),"—")</f>
        <v/>
      </c>
    </row>
    <row r="47">
      <c r="A47" s="26" t="inlineStr">
        <is>
          <t>TOTAL near-miss BUYs</t>
        </is>
      </c>
      <c r="B47" s="27">
        <f>COUNTA(A5:A23)</f>
        <v/>
      </c>
    </row>
    <row r="49">
      <c r="A49" s="20" t="inlineStr">
        <is>
          <t>VERDICT — RESOLVED 2026-06-12 (Phase 2 close)</t>
        </is>
      </c>
    </row>
    <row r="50">
      <c r="A50" s="28" t="inlineStr">
        <is>
          <t>Decision: KEEP 70% threshold</t>
        </is>
      </c>
    </row>
    <row r="51">
      <c r="A51" s="2" t="inlineStr">
        <is>
          <t>Locked 7-of-7 cohort: hit rate 57.1% &lt; 75.0% required AND avg +5d -0.9% &lt; 3.0% required. Both gates fail; extended post-lock set corroborates (running). KEEP 70% confirmed at the 6/12 review.</t>
        </is>
      </c>
    </row>
    <row r="52">
      <c r="A52" s="21" t="inlineStr">
        <is>
          <t>Loosening gates: hit rate ≥ 75.0% AND avg +5d ≥ 3.0% → lower to 65%. Locked cohort 57.1% / -0.9% fails both.</t>
        </is>
      </c>
    </row>
    <row r="54">
      <c r="A54" s="29" t="inlineStr">
        <is>
          <t>Source: claude_equity_bot_tracker.xlsx · Signals tab · generated 2026-06-23 17:31 · near-miss band [60%, 70%) · +Nd = trading days (weekends + NYSE holidays excluded).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2026-06-23T22:31:39Z</dcterms:created>
  <dcterms:modified xsi:type="dcterms:W3CDTF">2026-06-23T22:31:39Z</dcterms:modified>
</cp:coreProperties>
</file>